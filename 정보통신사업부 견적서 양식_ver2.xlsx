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ster\Documents\Project\견적서 자동화 프로젝트\정보통신사업부\.claude\worktrees\blissful-kalam\"/>
    </mc:Choice>
  </mc:AlternateContent>
  <xr:revisionPtr revIDLastSave="0" documentId="13_ncr:1_{4E9C1AD1-AD76-4FD8-88FF-B39A5E297B21}" xr6:coauthVersionLast="47" xr6:coauthVersionMax="47" xr10:uidLastSave="{00000000-0000-0000-0000-000000000000}"/>
  <bookViews>
    <workbookView xWindow="-120" yWindow="-120" windowWidth="29040" windowHeight="15720" tabRatio="854" firstSheet="1" activeTab="6" xr2:uid="{00000000-000D-0000-FFFF-FFFF00000000}"/>
  </bookViews>
  <sheets>
    <sheet name="VXXXXX" sheetId="1" state="veryHidden" r:id="rId1"/>
    <sheet name="표지" sheetId="2" r:id="rId2"/>
    <sheet name="1. 견적서" sheetId="3" r:id="rId3"/>
    <sheet name="2.1 성능점검 산출내역" sheetId="4" r:id="rId4"/>
    <sheet name="2.2 유지점검 산출내역" sheetId="5" r:id="rId5"/>
    <sheet name="2.3 선임 산출내역" sheetId="6" r:id="rId6"/>
    <sheet name="3. 업무처리 절차" sheetId="7" r:id="rId7"/>
    <sheet name="Sheet1" sheetId="8" state="hidden" r:id="rId8"/>
    <sheet name="Sheet2" sheetId="9" state="hidden" r:id="rId9"/>
    <sheet name="Sheet3" sheetId="10" state="hidden" r:id="rId10"/>
    <sheet name="26'1월견적표" sheetId="11" state="hidden" r:id="rId11"/>
    <sheet name="26'1월계약진행" sheetId="12" state="hidden" r:id="rId12"/>
  </sheets>
  <externalReferences>
    <externalReference r:id="rId13"/>
    <externalReference r:id="rId14"/>
    <externalReference r:id="rId15"/>
  </externalReferences>
  <definedNames>
    <definedName name="__123Graph_D" hidden="1">[1]FAB별!#REF!</definedName>
    <definedName name="a">'[2]단가 및 재료비'!$AA$72</definedName>
    <definedName name="b">'[2]단가 및 재료비'!$S$170</definedName>
    <definedName name="_xlnm.Database">#REF!</definedName>
    <definedName name="KKK" localSheetId="1" hidden="1">{#N/A,#N/A,FALSE,"포장단가"}</definedName>
    <definedName name="KKK" hidden="1">{#N/A,#N/A,FALSE,"포장단가"}</definedName>
    <definedName name="p">#REF!</definedName>
    <definedName name="PA">#REF!</definedName>
    <definedName name="PB">#REF!</definedName>
    <definedName name="PC">#REF!</definedName>
    <definedName name="PD">#REF!</definedName>
    <definedName name="_xlnm.Print_Area" localSheetId="2">'1. 견적서'!$A$1:$AB$37</definedName>
    <definedName name="_xlnm.Print_Area" localSheetId="3">'2.1 성능점검 산출내역'!$A$1:$J$36</definedName>
    <definedName name="_xlnm.Print_Area" localSheetId="4">'2.2 유지점검 산출내역'!$A$1:$J$35</definedName>
    <definedName name="_xlnm.Print_Area" localSheetId="5">'2.3 선임 산출내역'!$A$1:$J$35</definedName>
    <definedName name="_xlnm.Print_Area" localSheetId="6">'3. 업무처리 절차'!$A$1:$Y$41</definedName>
    <definedName name="_xlnm.Print_Area" localSheetId="1">표지!$A$1:$J$28</definedName>
    <definedName name="_xlnm.Recorder">#REF!</definedName>
    <definedName name="wrn.포장단가." localSheetId="1" hidden="1">{#N/A,#N/A,FALSE,"포장단가"}</definedName>
    <definedName name="wrn.포장단가." hidden="1">{#N/A,#N/A,FALSE,"포장단가"}</definedName>
    <definedName name="각재">'[3]단가 및 재료비'!$S$171</definedName>
    <definedName name="견적서">#REF!</definedName>
    <definedName name="계약보증금납부서">#REF!</definedName>
    <definedName name="계약서">#REF!</definedName>
    <definedName name="공사원가">#REF!</definedName>
    <definedName name="공정표">#REF!</definedName>
    <definedName name="규____격">#REF!</definedName>
    <definedName name="내역서표지">#REF!</definedName>
    <definedName name="내역표지">#REF!</definedName>
    <definedName name="단_위">#REF!</definedName>
    <definedName name="대형브레이카0.4경비">[3]중기사용료산출근거!$G$20</definedName>
    <definedName name="대형브레이카0.4노무비">[3]중기사용료산출근거!$G$24</definedName>
    <definedName name="대형브레이카0.4재료비">[3]중기사용료산출근거!$G$28</definedName>
    <definedName name="ㄹ">#REF!</definedName>
    <definedName name="ㄹㅇㄴㅁㄹㅇ" hidden="1">{#N/A,#N/A,FALSE,"포장단가"}</definedName>
    <definedName name="ㄹㅇㄴㅇㄹㅇㄴㄹ" hidden="1">{#N/A,#N/A,FALSE,"포장단가"}</definedName>
    <definedName name="라인마아카10경비">[3]중기사용료산출근거!$G$95</definedName>
    <definedName name="라인마아카10노무비">[3]중기사용료산출근거!$G$99</definedName>
    <definedName name="라인마아카10재료비">[3]중기사용료산출근거!$G$103</definedName>
    <definedName name="ㅁ754">#REF!</definedName>
    <definedName name="못">'[3]단가 및 재료비'!$S$173</definedName>
    <definedName name="물탱크5500경비">[3]중기사용료산출근거!$G$155</definedName>
    <definedName name="물탱크5500노무비">[3]중기사용료산출근거!$G$159</definedName>
    <definedName name="물탱크5500재료비">[3]중기사용료산출근거!$G$163</definedName>
    <definedName name="법원원천사">#REF!</definedName>
    <definedName name="보통인부">'[3]단가 및 재료비'!$AA$91</definedName>
    <definedName name="비_고">#REF!</definedName>
    <definedName name="사용인감">#REF!</definedName>
    <definedName name="사용인감계">#REF!</definedName>
    <definedName name="산__출__근__거">#REF!</definedName>
    <definedName name="설계표지">#REF!</definedName>
    <definedName name="수_량">#REF!</definedName>
    <definedName name="수량산출타이틀">#REF!</definedName>
    <definedName name="수량산출행">#REF!</definedName>
    <definedName name="유리알버드">'[3]단가 및 재료비'!$S$143</definedName>
    <definedName name="유압식백호우0.4경비">[3]중기사용료산출근거!$G$215</definedName>
    <definedName name="유압식백호우0.4노무비">[3]중기사용료산출근거!$G$219</definedName>
    <definedName name="유압식백호우0.4재료비">[3]중기사용료산출근거!$G$223</definedName>
    <definedName name="융착성도료청색">'[3]단가 및 재료비'!$S$215</definedName>
    <definedName name="준공계">#REF!</definedName>
    <definedName name="중유">'[3]단가 및 재료비'!$U$34</definedName>
    <definedName name="진동로울러자주식4.4경비">[3]중기사용료산출근거!#REF!</definedName>
    <definedName name="진동로울러자주식4.4노무비">[3]중기사용료산출근거!#REF!</definedName>
    <definedName name="진동로울러자주식4.4재료비">[3]중기사용료산출근거!#REF!</definedName>
    <definedName name="철선">'[3]단가 및 재료비'!$S$172</definedName>
    <definedName name="치즐">'[3]단가 및 재료비'!$U$39</definedName>
    <definedName name="콘크리트캇타320경비">[3]중기사용료산출근거!$G$245</definedName>
    <definedName name="콘크리트캇타320노무비">[3]중기사용료산출근거!$G$249</definedName>
    <definedName name="콘크리트캇타320재료비">[3]중기사용료산출근거!$G$253</definedName>
    <definedName name="터파기기계0.4경비">#REF!</definedName>
    <definedName name="터파기기계0.4노무비">#REF!</definedName>
    <definedName name="터파기기계0.4재료비">#REF!</definedName>
    <definedName name="특별인부">'[3]단가 및 재료비'!$AA$90</definedName>
    <definedName name="포설공">'[3]단가 및 재료비'!$AA$72</definedName>
    <definedName name="품_____명">#REF!</definedName>
    <definedName name="프라이드">'[3]단가 및 재료비'!$S$144</definedName>
    <definedName name="프로판가스">'[3]단가 및 재료비'!$S$145</definedName>
    <definedName name="하수암거" localSheetId="1" hidden="1">{#N/A,#N/A,FALSE,"포장단가"}</definedName>
    <definedName name="하수암거" hidden="1">{#N/A,#N/A,FALSE,"포장단가"}</definedName>
    <definedName name="합판">'[3]단가 및 재료비'!$S$170</definedName>
    <definedName name="형틀목공">'[3]단가 및 재료비'!$AA$51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6" l="1"/>
  <c r="H9" i="6" s="1"/>
  <c r="F8" i="6"/>
  <c r="H8" i="6" s="1"/>
  <c r="F7" i="6"/>
  <c r="H7" i="6" s="1"/>
  <c r="F6" i="6"/>
  <c r="H6" i="6" s="1"/>
  <c r="H9" i="5"/>
  <c r="H8" i="5"/>
  <c r="H7" i="5"/>
  <c r="H6" i="5"/>
  <c r="H9" i="4"/>
  <c r="H8" i="4"/>
  <c r="H7" i="4"/>
  <c r="H6" i="4"/>
  <c r="J19" i="11"/>
  <c r="I19" i="11"/>
  <c r="H19" i="11"/>
  <c r="G19" i="11"/>
  <c r="I18" i="11"/>
  <c r="J18" i="11" s="1"/>
  <c r="H18" i="11"/>
  <c r="G18" i="11"/>
  <c r="J17" i="11"/>
  <c r="I17" i="11"/>
  <c r="H17" i="11"/>
  <c r="G17" i="11"/>
  <c r="I16" i="11"/>
  <c r="J16" i="11" s="1"/>
  <c r="H16" i="11"/>
  <c r="G16" i="11"/>
  <c r="I15" i="11"/>
  <c r="J15" i="11" s="1"/>
  <c r="H15" i="11"/>
  <c r="G15" i="11"/>
  <c r="I14" i="11"/>
  <c r="J14" i="11" s="1"/>
  <c r="H14" i="11"/>
  <c r="G14" i="11"/>
  <c r="I9" i="11"/>
  <c r="J9" i="11" s="1"/>
  <c r="H9" i="11"/>
  <c r="G9" i="11"/>
  <c r="I8" i="11"/>
  <c r="J8" i="11" s="1"/>
  <c r="H8" i="11"/>
  <c r="G8" i="11"/>
  <c r="I7" i="11"/>
  <c r="J7" i="11" s="1"/>
  <c r="H7" i="11"/>
  <c r="G7" i="11"/>
  <c r="I6" i="11"/>
  <c r="J6" i="11" s="1"/>
  <c r="H6" i="11"/>
  <c r="G6" i="11"/>
  <c r="I5" i="11"/>
  <c r="J5" i="11" s="1"/>
  <c r="H5" i="11"/>
  <c r="G5" i="11"/>
  <c r="E5" i="11"/>
  <c r="J4" i="11"/>
  <c r="I4" i="11"/>
  <c r="H4" i="11"/>
  <c r="G4" i="11"/>
  <c r="F9" i="10"/>
  <c r="F8" i="10"/>
  <c r="F7" i="10"/>
  <c r="F6" i="10"/>
  <c r="F5" i="10"/>
  <c r="F4" i="10"/>
  <c r="F3" i="10"/>
  <c r="F2" i="10"/>
  <c r="F20" i="8"/>
  <c r="E20" i="8"/>
  <c r="D20" i="8"/>
  <c r="F15" i="8"/>
  <c r="E15" i="8"/>
  <c r="D15" i="8"/>
  <c r="F10" i="8"/>
  <c r="E10" i="8"/>
  <c r="D10" i="8"/>
  <c r="F4" i="8"/>
  <c r="E4" i="8"/>
  <c r="D4" i="8"/>
  <c r="V22" i="3"/>
  <c r="O22" i="3"/>
  <c r="J15" i="3"/>
  <c r="E8" i="3"/>
  <c r="A18" i="2"/>
</calcChain>
</file>

<file path=xl/sharedStrings.xml><?xml version="1.0" encoding="utf-8"?>
<sst xmlns="http://schemas.openxmlformats.org/spreadsheetml/2006/main" count="482" uniqueCount="269">
  <si>
    <t>견   적   서</t>
  </si>
  <si>
    <t>견적명 : 정보통신설비 유지보수관리 업무 위탁</t>
  </si>
  <si>
    <t>[성능점검, 유지보수관리점검, 유지관리자 선임(비상주)]</t>
  </si>
  <si>
    <t>주식회사 우경정보통신</t>
  </si>
  <si>
    <t>[본       사] : 경기도 용인시 기흥구 죽현로 8-22, 301호(보정동, 휴먼타워)</t>
  </si>
  <si>
    <t>T. 031-8009-0084</t>
  </si>
  <si>
    <t>[북부 지사] : 경기도 의정부시 오목로 225번길 161, 202호 (마운틴프라자)</t>
  </si>
  <si>
    <t>FAX. 031-378-6045</t>
  </si>
  <si>
    <t>[부천 지사] : 경기도 부천시 길주로 125, 303호 (다승프라자)</t>
  </si>
  <si>
    <t>E-mail. wkict@naver.com</t>
  </si>
  <si>
    <t xml:space="preserve"> </t>
  </si>
  <si>
    <t>견      적      서</t>
  </si>
  <si>
    <t>(정보통신설비성능점검/정보통신설비유지관리자위탁선임/기계설비성능점검업/기계설비유지관리점검대행/소방안전관리업무대행업/종합정밀,
작동기능점검전문/소방시설공사/전기안전관리대행/전기직무고시/긴급전기사고복구공사/전기안전관리상주대행기관/위험물안전관리대행기관)</t>
  </si>
  <si>
    <t xml:space="preserve">일  자 : </t>
  </si>
  <si>
    <t>공
급
자</t>
  </si>
  <si>
    <t>사업자번호</t>
  </si>
  <si>
    <t>615-87-03488</t>
  </si>
  <si>
    <t xml:space="preserve">고객명 : </t>
  </si>
  <si>
    <t>상     호</t>
  </si>
  <si>
    <t>㈜우경정보통신</t>
  </si>
  <si>
    <t>대   표</t>
  </si>
  <si>
    <t>박진철</t>
  </si>
  <si>
    <t xml:space="preserve">견적명 : </t>
  </si>
  <si>
    <t>정보통신 유지보수관리 업무 위탁</t>
  </si>
  <si>
    <t>소 재 지</t>
  </si>
  <si>
    <t>경기도 용인시 기흥구 죽현로8-22 휴먼타워301호</t>
  </si>
  <si>
    <t xml:space="preserve">견적유효기간 : </t>
  </si>
  <si>
    <t>60일</t>
  </si>
  <si>
    <t>업    태</t>
  </si>
  <si>
    <t>서비스업</t>
  </si>
  <si>
    <t>종  목</t>
  </si>
  <si>
    <t>정보통신설비 성능점검 외</t>
  </si>
  <si>
    <t>담 당 자</t>
  </si>
  <si>
    <t>대표번호</t>
  </si>
  <si>
    <t>031-8009-0084</t>
  </si>
  <si>
    <t>아래와 같이 견적합니다.</t>
  </si>
  <si>
    <t>전화번호</t>
  </si>
  <si>
    <t>1.  대    상    물</t>
  </si>
  <si>
    <t>2.  주          소</t>
  </si>
  <si>
    <t>3.  사 용 승 인 일</t>
  </si>
  <si>
    <t>4.  건  물  개  요</t>
  </si>
  <si>
    <t>연면적</t>
  </si>
  <si>
    <t>㎡</t>
  </si>
  <si>
    <t>5.  담    당    자</t>
  </si>
  <si>
    <t>연락처</t>
  </si>
  <si>
    <t>6.  점  검  항  목</t>
  </si>
  <si>
    <t>합계금액</t>
  </si>
  <si>
    <t>(VAT 포함)</t>
  </si>
  <si>
    <t>일금</t>
  </si>
  <si>
    <t>원정</t>
  </si>
  <si>
    <t>(</t>
  </si>
  <si>
    <t>)</t>
  </si>
  <si>
    <t>No.</t>
  </si>
  <si>
    <t>구  분</t>
  </si>
  <si>
    <t>단   위</t>
  </si>
  <si>
    <t>수   량</t>
  </si>
  <si>
    <t>금   액</t>
  </si>
  <si>
    <t>비 고</t>
  </si>
  <si>
    <t>정보통신설비 성능점검[년 1회]</t>
  </si>
  <si>
    <t>식</t>
  </si>
  <si>
    <t>1회</t>
  </si>
  <si>
    <t>정보통신설비 유지점검[년 2회]</t>
  </si>
  <si>
    <t>2회</t>
  </si>
  <si>
    <t>유지관리자 비상주 위탁선임[12개월]</t>
  </si>
  <si>
    <t>합 계</t>
  </si>
  <si>
    <t>최종 견적금액 [년]</t>
  </si>
  <si>
    <t>결제 방식은
협의 가능</t>
  </si>
  <si>
    <t>월 견적금액 [12개월 분할 결재 시]</t>
  </si>
  <si>
    <t>[  견적 산출 근거 및 참고 사항  ]</t>
  </si>
  <si>
    <t>□ 정보통신공사업법 제37조의 2~4</t>
  </si>
  <si>
    <t>□ 정보통신공사업법 시행규칙 제8조~제11조</t>
  </si>
  <si>
    <t>□ 정보통신공사업법 시행령 제37조의 2~3</t>
  </si>
  <si>
    <t>□ 정보통신설비 유지보수·관리기준</t>
  </si>
  <si>
    <t>■ 견적금액 조정에 따른 기술인력 투입인원은 조정 될 수 있습니다.</t>
  </si>
  <si>
    <t>■ 반기 유지관리 점검과 성능점검은 동시에 진행 할 수 있습니다.</t>
  </si>
  <si>
    <t>■ 장기계약 및 전기, 기계, 소방 통합 계약 고객 할인 혜택을 적용</t>
  </si>
  <si>
    <t>성능점검 수수료 산출 내역서</t>
  </si>
  <si>
    <t>1. 성 능 점 검</t>
  </si>
  <si>
    <t>NO</t>
  </si>
  <si>
    <t>항 목</t>
  </si>
  <si>
    <t>단  위</t>
  </si>
  <si>
    <t>수  량</t>
  </si>
  <si>
    <t>노임단가</t>
  </si>
  <si>
    <t>금   액 (원)</t>
  </si>
  <si>
    <t>1)</t>
  </si>
  <si>
    <t>직접인건비</t>
  </si>
  <si>
    <t>특급</t>
  </si>
  <si>
    <t>정보통신기술자</t>
  </si>
  <si>
    <t>인</t>
  </si>
  <si>
    <t>고급</t>
  </si>
  <si>
    <t>중급</t>
  </si>
  <si>
    <t>초급</t>
  </si>
  <si>
    <t>직접인건비 합계</t>
  </si>
  <si>
    <t>2)</t>
  </si>
  <si>
    <t>직접경비</t>
  </si>
  <si>
    <t xml:space="preserve"> 직접인건비의</t>
  </si>
  <si>
    <t>여비,차량운행비
현장소요경비 등</t>
  </si>
  <si>
    <t>3)</t>
  </si>
  <si>
    <t>제 경 비</t>
  </si>
  <si>
    <t>110~120%</t>
  </si>
  <si>
    <t>4)</t>
  </si>
  <si>
    <t>기 술 료</t>
  </si>
  <si>
    <t xml:space="preserve"> 직접인건비+제경비의</t>
  </si>
  <si>
    <t>20~40%</t>
  </si>
  <si>
    <t>5)</t>
  </si>
  <si>
    <t>소계</t>
  </si>
  <si>
    <t>(1+2+3+4)</t>
  </si>
  <si>
    <t>6)</t>
  </si>
  <si>
    <t>조정금액</t>
  </si>
  <si>
    <t>7)</t>
  </si>
  <si>
    <t>합 계 금 액</t>
  </si>
  <si>
    <t>[견적 산출 조건]</t>
  </si>
  <si>
    <t>1. 관련 근거</t>
  </si>
  <si>
    <t>● 「정보통신공사업법」 제37조의 2~4, 제78조</t>
  </si>
  <si>
    <t>● 「정보통신공사업법 시행령」 제37조의 2~3, 제58조</t>
  </si>
  <si>
    <t>● 「정보통신공사업법 시행규칙」 제8조 ~ 제11조</t>
  </si>
  <si>
    <t>● 「정보통신설비 유지보수·관리기준」</t>
  </si>
  <si>
    <t>2. 성능점검 의무사항</t>
  </si>
  <si>
    <t>구분</t>
  </si>
  <si>
    <t>성능점검</t>
  </si>
  <si>
    <t>관리방식</t>
  </si>
  <si>
    <t>관리주체가 성능점검을 직접 실시하는 경우, 규칙 별표1의 유지보수, 관리자
선임기준을 준용하여 연면적 규모에 적합하게 고용하여 성능점검 실시
※ 공사업자, 용역업자에게 점검대행 가능</t>
  </si>
  <si>
    <t>점검주기</t>
  </si>
  <si>
    <t>매년 1회 이상</t>
  </si>
  <si>
    <t>점검사항</t>
  </si>
  <si>
    <t>1. 정보통신설비 성능점검표 기록 및 보존</t>
  </si>
  <si>
    <t>2. 정보통신설비 성능점검표 지차체 제출</t>
  </si>
  <si>
    <t>보존기간</t>
  </si>
  <si>
    <t>5년</t>
  </si>
  <si>
    <t>유지점검 수수료 산출 내역서</t>
  </si>
  <si>
    <t>2. 유 지 점 검</t>
  </si>
  <si>
    <t>소  계</t>
  </si>
  <si>
    <t>2. 유지보수·관리 의무사항</t>
  </si>
  <si>
    <t>유지보수·관리</t>
  </si>
  <si>
    <t>관리주체는 건축물 규모별 선임기준에 맞춰 관리자 선임
※ 정보통신 공사업자에게 위탁 가능</t>
  </si>
  <si>
    <t>반기별 1회 이상</t>
  </si>
  <si>
    <t>1. 설비의 외관, 기능 및 안전상태를 매년 주기적으로 점검 실시</t>
  </si>
  <si>
    <t>2. 점검결과를 반기별 1회 이상 정보통신설비 유지보수 관리 점검표에 기록</t>
  </si>
  <si>
    <t>해당 없음</t>
  </si>
  <si>
    <t>유지관리자 선임(비상주) 위탁 수수료 산출 내역서</t>
  </si>
  <si>
    <t>3. 유지관리자 선임</t>
  </si>
  <si>
    <t>투입인원</t>
  </si>
  <si>
    <t>기간[월]</t>
  </si>
  <si>
    <t>2.유지보수·관리자 선임기준</t>
  </si>
  <si>
    <t>유지보수·관리 및 성능점검 대상</t>
  </si>
  <si>
    <t>선임자격</t>
  </si>
  <si>
    <t>선임인원</t>
  </si>
  <si>
    <t>선임 유예 기한</t>
  </si>
  <si>
    <t>연면적 6만[㎡] 이상 건축물</t>
  </si>
  <si>
    <t>특급기술자</t>
  </si>
  <si>
    <t>1명</t>
  </si>
  <si>
    <t>연면적 3만[㎡] 이상 ~ 6만[㎡] 미만 건축물</t>
  </si>
  <si>
    <t>고급기술자 이상</t>
  </si>
  <si>
    <t>연면적 1만5천[㎡] 이상 ~ 3만[㎡] 미만 건축물</t>
  </si>
  <si>
    <t>중급기술자 이상</t>
  </si>
  <si>
    <t>연면적 1만[㎡] 이상 ~ 1만5천[㎡] 미만 건축물</t>
  </si>
  <si>
    <t>초급기술자 이상</t>
  </si>
  <si>
    <t>연면적 5천[㎡] 이상 ~ 1만[㎡] 미만 건축물</t>
  </si>
  <si>
    <t>※ 연면적 5천 제곱 미터 이상의 건축물</t>
  </si>
  <si>
    <t xml:space="preserve">   [공동주택 및 학교시설(초,중,고등학교 및 특수학교) 제외</t>
  </si>
  <si>
    <t>정보통신설비 유지보수·관리 업무처리 절차</t>
  </si>
  <si>
    <t>정보통신설비 유지보수관리</t>
  </si>
  <si>
    <t>정보통신설비 성능점검</t>
  </si>
  <si>
    <t>관리주체
[정보통신설비 소유자 또는 관리자]</t>
  </si>
  <si>
    <t>유지보수관리 자료 구비</t>
  </si>
  <si>
    <t>성능점검 자료 구비</t>
  </si>
  <si>
    <t>(정보통신설비 유지보수관리기준 제6조)</t>
  </si>
  <si>
    <t>자체관리</t>
  </si>
  <si>
    <t>관리위탁</t>
  </si>
  <si>
    <t>자체점검</t>
  </si>
  <si>
    <t>점검대행</t>
  </si>
  <si>
    <t>유지보수 관리자
선임</t>
  </si>
  <si>
    <t>공사업자</t>
  </si>
  <si>
    <t>선임기준에
적합하게 고용</t>
  </si>
  <si>
    <t>공사업자
또는
용역업자</t>
  </si>
  <si>
    <t>(정보통신공사업법 시행규칙 별표)</t>
  </si>
  <si>
    <t>지자체에 선,해임 신고</t>
  </si>
  <si>
    <t>유지보수관리 및 성능점검 계획 수립
(최초 점검 실시전)</t>
  </si>
  <si>
    <t>성능점검 계획 수립
(최초 점검 실시전)</t>
  </si>
  <si>
    <t>(정보통신설비 유지보수관리기준 제7조)</t>
  </si>
  <si>
    <t>정보통신설비 유지보수관리 실시
반기별 1회 이상 기록</t>
  </si>
  <si>
    <t>정보통신설비 성능점검 실시(매년 1회 이상)</t>
  </si>
  <si>
    <t>(정보통신설비 유지보수관리기준 제10조 제1항)</t>
  </si>
  <si>
    <t>(정보통신설비 유지보수관리기준 제8조)</t>
  </si>
  <si>
    <t>정보통신설비 성능점검표 기록 및 보존</t>
  </si>
  <si>
    <t>(정보통신설비 유지보수관리기준 제10조 제4항)</t>
  </si>
  <si>
    <t>성능점검표 제출 요청 시 제출</t>
  </si>
  <si>
    <t>(정보통신설비 유지보수관리기준 제10조 제5항)</t>
  </si>
  <si>
    <t>※ 시·군·구청장 요청시</t>
  </si>
  <si>
    <t>▣ 미사강변오벨리스크 정보통신설비 유지보수관리 견적내역</t>
  </si>
  <si>
    <t>한경이엔지</t>
  </si>
  <si>
    <t>나인정보기술</t>
  </si>
  <si>
    <t>우경정보통신</t>
  </si>
  <si>
    <t>비고</t>
  </si>
  <si>
    <t>견적금액</t>
  </si>
  <si>
    <t>월</t>
  </si>
  <si>
    <t>부가세별도</t>
  </si>
  <si>
    <t>년간</t>
  </si>
  <si>
    <t>▣ 효성해링턴더퍼스트 정보통신설비 유지보수관리 견적내역</t>
  </si>
  <si>
    <t>▣ 동탄레이크원 정보통신설비 유지보수관리 견적내역</t>
  </si>
  <si>
    <t>▣ 동작 협성휴포레시그니처 정보통신설비 유지보수관리 견적내역</t>
  </si>
  <si>
    <t>SK실트론 정보통신설비 유지보수관리 대상처 및 견적 내역</t>
  </si>
  <si>
    <t>대상처명</t>
  </si>
  <si>
    <t>주소</t>
  </si>
  <si>
    <t>건축물 용도</t>
  </si>
  <si>
    <t>연면적[㎡]</t>
  </si>
  <si>
    <t>등급</t>
  </si>
  <si>
    <t>사용승인일</t>
  </si>
  <si>
    <t>LS전선 동해공장</t>
  </si>
  <si>
    <t>강원도 동해시 대동로 215</t>
  </si>
  <si>
    <t>공장</t>
  </si>
  <si>
    <t>LS전선 구미공장</t>
  </si>
  <si>
    <t>경상북도 구미시 수출대로 228</t>
  </si>
  <si>
    <t>LS전선 안동공장</t>
  </si>
  <si>
    <t>경상북도 구미시 3공단2로 238</t>
  </si>
  <si>
    <t>LS전선 군포연구소</t>
  </si>
  <si>
    <t>경기도 군포시 공단로 140번길 27</t>
  </si>
  <si>
    <t>SK온 서산공장</t>
  </si>
  <si>
    <t>충청남도 서산시 무장산업로 59-122</t>
  </si>
  <si>
    <t>SK온 본사</t>
  </si>
  <si>
    <t>서울특별시 종로구 인사동7길 32</t>
  </si>
  <si>
    <t>SK바이오사이언스 안동공장</t>
  </si>
  <si>
    <t>경상북도 안동시 풍산읍 산업단지길 150</t>
  </si>
  <si>
    <t>순분</t>
  </si>
  <si>
    <t>월 분납금액</t>
  </si>
  <si>
    <t>군산1공장</t>
  </si>
  <si>
    <t>전북 군산시 외항로 82</t>
  </si>
  <si>
    <t>군산2공장</t>
  </si>
  <si>
    <t>전북 군산시 임해로 423</t>
  </si>
  <si>
    <t>포항공장</t>
  </si>
  <si>
    <t>경북 포항시 남구 청림서길 54</t>
  </si>
  <si>
    <t>괴동공장</t>
  </si>
  <si>
    <t>경북 포항시 남구 대송로101번길 66</t>
  </si>
  <si>
    <t>광양공장</t>
  </si>
  <si>
    <t>전남 광양시 산업로 109</t>
  </si>
  <si>
    <t>익산공장</t>
  </si>
  <si>
    <t>전북 익산시 보석로4길 107</t>
  </si>
  <si>
    <t>오씨아이 중앙연구소</t>
  </si>
  <si>
    <t>경기 성남시 중원구 사기막골로62번길 61</t>
  </si>
  <si>
    <t>▣ 정보통신 견적 조건표_기본견적</t>
  </si>
  <si>
    <t>연면적(㎡)</t>
  </si>
  <si>
    <t>하한값</t>
  </si>
  <si>
    <t>통합 견적금액</t>
  </si>
  <si>
    <t>선임위탁 비용</t>
  </si>
  <si>
    <t>유지, 성능 점검 합계</t>
  </si>
  <si>
    <t>성능점검
인력</t>
  </si>
  <si>
    <t>유지점검
인력</t>
  </si>
  <si>
    <t>유지비용</t>
  </si>
  <si>
    <t>성능비용</t>
  </si>
  <si>
    <t>합계</t>
  </si>
  <si>
    <t>5,000이상 ~ 10,000미만</t>
  </si>
  <si>
    <t>10,000이상 ~ 15,000미만</t>
  </si>
  <si>
    <t>15,000이상 ~ 30,000미만</t>
  </si>
  <si>
    <t>30,000이상 ~ 60,000미만</t>
  </si>
  <si>
    <t>60,000이상 ~ 150,000미만</t>
  </si>
  <si>
    <t>150,000이상</t>
  </si>
  <si>
    <t>▣ 정보통신 견적 조건표_최저견적</t>
  </si>
  <si>
    <t>* 견적 작성 시 연면적 확인 필수</t>
  </si>
  <si>
    <t>* 서울, 수도권 외 지역은 사업부와 금액 확인 필요</t>
  </si>
  <si>
    <t>* 영업비 있는 경우 영업비 금액 반영하여 견적 산정 필요</t>
  </si>
  <si>
    <t>★ 중요 ★ 계약 진행 시 확인사항</t>
  </si>
  <si>
    <t>1. 사업자등록증 받기_선임용, 세금계산서용 구분</t>
  </si>
  <si>
    <t>2. 건축물대장과 다를 경우 단지개요 받기</t>
  </si>
  <si>
    <t>3. 세금계산서 발행 정보 받기 _ 향후 계약서 상 명시 예정</t>
  </si>
  <si>
    <t xml:space="preserve">  (고객사 계약서 양식 사용 시 따로 받아둘것)</t>
  </si>
  <si>
    <t>4. 담당자 이름 / 전화번호 / 이메일주소 함께 전달 =&gt; 점검, 청구 문의 시 사용예정</t>
  </si>
  <si>
    <t>5. 계약서 상 계약일자 기입하기</t>
  </si>
  <si>
    <t>6. 선임신고 시 추가 보완서류 요청 가능</t>
  </si>
  <si>
    <t xml:space="preserve">  (신탁명부, 관리단 부재에 대한 공문, 등기부등본 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</si>
</sst>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);[Red]\(#,##0\)"/>
    <numFmt numFmtId="178" formatCode="[DBNum4][$-412]General"/>
    <numFmt numFmtId="179" formatCode="yyyy&quot;년&quot;\ m&quot;월&quot;\ d&quot;일&quot;;@"/>
    <numFmt numFmtId="180" formatCode="#,##0_ "/>
    <numFmt numFmtId="181" formatCode="_-* #,##0.00_-;\-* #,##0.00_-;_-* &quot;-&quot;_-;_-@_-"/>
    <numFmt numFmtId="182" formatCode="#,###\ &quot;m3&quot;"/>
    <numFmt numFmtId="183" formatCode="_ * #,##0_ ;_ * &quot;₩&quot;&quot;₩&quot;&quot;₩&quot;&quot;₩&quot;&quot;₩&quot;&quot;₩&quot;\-#,##0_ ;_ * &quot;-&quot;_ ;_ @_ "/>
    <numFmt numFmtId="184" formatCode="_ * #,##0_ ;_ * \-#,##0_ ;_ * &quot;-&quot;_ ;_ @_ "/>
    <numFmt numFmtId="185" formatCode="0.000"/>
    <numFmt numFmtId="186" formatCode="&quot;₩&quot;\ \ #,##0\ &quot;원정&quot;;\-&quot;₩&quot;#,##0"/>
    <numFmt numFmtId="187" formatCode="#,##0.00_);[Red]\(#,##0.00\)"/>
    <numFmt numFmtId="188" formatCode="0.000000"/>
    <numFmt numFmtId="189" formatCode="#,##0;[Red]&quot;-&quot;#,##0"/>
    <numFmt numFmtId="190" formatCode="#,##0.00;[Red]&quot;-&quot;#,##0.00"/>
    <numFmt numFmtId="191" formatCode="_ &quot;₩&quot;* #,##0_ ;_ &quot;₩&quot;* \-#,##0_ ;_ &quot;₩&quot;* &quot;-&quot;_ ;_ @_ "/>
    <numFmt numFmtId="192" formatCode="_ &quot;₩&quot;* #,##0.00_ ;_ &quot;₩&quot;* \-#,##0.00_ ;_ &quot;₩&quot;* &quot;-&quot;??_ ;_ @_ "/>
    <numFmt numFmtId="193" formatCode="&quot;₩&quot;#,##0;[Red]&quot;₩&quot;\-#,##0"/>
    <numFmt numFmtId="194" formatCode="_ * #,##0.00_ ;_ * \-#,##0.00_ ;_ * &quot;-&quot;??_ ;_ @_ "/>
    <numFmt numFmtId="195" formatCode="&quot;$&quot;#,##0.00;\-&quot;$&quot;#,##0.00"/>
    <numFmt numFmtId="196" formatCode="_(&quot;$&quot;* #,##0.00_);_(&quot;$&quot;* &quot;₩&quot;&quot;₩&quot;&quot;₩&quot;&quot;₩&quot;&quot;₩&quot;\(#,##0.00&quot;₩&quot;&quot;₩&quot;&quot;₩&quot;&quot;₩&quot;&quot;₩&quot;\);_(&quot;$&quot;* &quot;-&quot;??_);_(@_)"/>
    <numFmt numFmtId="197" formatCode="0.00_)"/>
    <numFmt numFmtId="198" formatCode="\$#.00"/>
    <numFmt numFmtId="199" formatCode="0%;[Red]\ \ &quot;-&quot;0%"/>
    <numFmt numFmtId="200" formatCode="&quot;₩&quot;#,##0.00;&quot;₩&quot;&quot;₩&quot;\-#,##0.00"/>
    <numFmt numFmtId="201" formatCode="m\o\n\th\ d\,\ yyyy"/>
    <numFmt numFmtId="202" formatCode="#,##0.000;[Red]&quot;-&quot;#,##0.000"/>
    <numFmt numFmtId="203" formatCode="_-&quot;?* #,##0.00_-;&quot;\&quot;&quot;₩&quot;&quot;₩&quot;&quot;₩&quot;\-&quot;?* #,##0.00_-;_-&quot;&quot;?&quot;* &quot;-&quot;??_-;_-@_-"/>
    <numFmt numFmtId="204" formatCode="#.00"/>
    <numFmt numFmtId="205" formatCode="#.#"/>
    <numFmt numFmtId="206" formatCode="#."/>
    <numFmt numFmtId="207" formatCode="#.##"/>
    <numFmt numFmtId="208" formatCode="General_)"/>
    <numFmt numFmtId="209" formatCode="&quot;₩&quot;#,##0;[Red]&quot;₩&quot;&quot;₩&quot;\!\-#,##0"/>
    <numFmt numFmtId="210" formatCode="#,##0&quot; $&quot;;\-#,##0&quot; $&quot;"/>
    <numFmt numFmtId="211" formatCode="%#.00"/>
    <numFmt numFmtId="212" formatCode="#,##0.0;[Red]&quot;-&quot;#,##0.0"/>
    <numFmt numFmtId="213" formatCode="#,###.0"/>
    <numFmt numFmtId="214" formatCode="0.0_)"/>
    <numFmt numFmtId="215" formatCode="\(&quot;₩&quot;#,##0\);[Red]\(\-&quot;₩&quot;#,##0\)"/>
    <numFmt numFmtId="216" formatCode="\(&quot;₩&quot;#,##0\);[Red]\(&quot;△&quot;&quot;₩&quot;#,##0\)"/>
    <numFmt numFmtId="217" formatCode="@\ &quot;주임&quot;"/>
    <numFmt numFmtId="218" formatCode="#,##0&quot;칸&quot;"/>
    <numFmt numFmtId="219" formatCode="&quot;₩&quot;#,##0;&quot;₩&quot;&quot;₩&quot;&quot;₩&quot;&quot;₩&quot;&quot;₩&quot;&quot;₩&quot;&quot;₩&quot;&quot;₩&quot;\-#,##0"/>
    <numFmt numFmtId="220" formatCode="_ * #,##0.00_ ;_ * &quot;₩&quot;&quot;₩&quot;&quot;₩&quot;&quot;₩&quot;&quot;₩&quot;&quot;₩&quot;&quot;₩&quot;&quot;₩&quot;&quot;₩&quot;&quot;₩&quot;\-#,##0.00_ ;_ * &quot;-&quot;??_ ;_ @_ "/>
    <numFmt numFmtId="221" formatCode="#,##0;&quot;-&quot;#,##0"/>
    <numFmt numFmtId="222" formatCode="000.000"/>
    <numFmt numFmtId="223" formatCode="_ * #,##0.0000_ ;_ * \-#,##0.0000_ ;_ * &quot;-&quot;_ ;_ @_ "/>
    <numFmt numFmtId="224" formatCode="000\-000"/>
    <numFmt numFmtId="225" formatCode="0.00_ "/>
    <numFmt numFmtId="226" formatCode="#,##0\ ;[Red]&quot;-&quot;#,##0\ "/>
    <numFmt numFmtId="227" formatCode="* #,##0\ ;[Red]* &quot;-&quot;#,##0\ "/>
    <numFmt numFmtId="228" formatCode="#,##0.####;[Red]&quot;-&quot;#,##0.####"/>
    <numFmt numFmtId="229" formatCode="#,##0.0###\ ;[Red]&quot;-&quot;#,##0.0###\ "/>
    <numFmt numFmtId="230" formatCode="&quot;₩&quot;#,##0.00\ ;\(&quot;₩&quot;#,##0.00\)"/>
    <numFmt numFmtId="231" formatCode="&quot;₩&quot;#,##0;&quot;₩&quot;\-#,##0"/>
  </numFmts>
  <fonts count="16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Times New Roman"/>
      <family val="1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굴림체"/>
      <family val="3"/>
      <charset val="129"/>
    </font>
    <font>
      <sz val="12"/>
      <name val="견명조"/>
      <family val="1"/>
      <charset val="129"/>
    </font>
    <font>
      <sz val="12"/>
      <name val="Arial"/>
      <family val="2"/>
    </font>
    <font>
      <sz val="9"/>
      <name val="굴림체"/>
      <family val="3"/>
      <charset val="129"/>
    </font>
    <font>
      <sz val="12"/>
      <name val="¹ÙÅÁÃ¼"/>
      <family val="1"/>
    </font>
    <font>
      <sz val="12"/>
      <name val="Tms Rmn"/>
      <family val="1"/>
    </font>
    <font>
      <sz val="8"/>
      <name val="¹UAAA¼"/>
      <family val="1"/>
    </font>
    <font>
      <sz val="10"/>
      <name val="한양중고딕"/>
      <family val="1"/>
      <charset val="129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u/>
      <sz val="8"/>
      <color indexed="12"/>
      <name val="Times New Roman"/>
      <family val="1"/>
    </font>
    <font>
      <b/>
      <i/>
      <sz val="12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1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7"/>
      <name val="*세고딕"/>
      <family val="3"/>
      <charset val="129"/>
    </font>
    <font>
      <sz val="10"/>
      <name val="굴림"/>
      <family val="3"/>
      <charset val="129"/>
    </font>
    <font>
      <sz val="12"/>
      <name val="¹UAAA¼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color indexed="8"/>
      <name val="바탕체"/>
      <family val="1"/>
      <charset val="129"/>
    </font>
    <font>
      <sz val="11"/>
      <name val="¾©"/>
      <family val="3"/>
      <charset val="129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2"/>
      <name val="뼻뮝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Harmony L"/>
      <family val="3"/>
      <charset val="129"/>
    </font>
    <font>
      <b/>
      <sz val="38"/>
      <color indexed="8"/>
      <name val="Harmony L"/>
      <family val="3"/>
      <charset val="129"/>
    </font>
    <font>
      <sz val="11"/>
      <color indexed="8"/>
      <name val="Harmony L"/>
      <family val="3"/>
      <charset val="129"/>
    </font>
    <font>
      <b/>
      <sz val="12"/>
      <color theme="0" tint="-0.499984740745262"/>
      <name val="Harmony L"/>
      <family val="3"/>
      <charset val="129"/>
    </font>
    <font>
      <b/>
      <sz val="18"/>
      <color indexed="8"/>
      <name val="Harmony L"/>
      <family val="3"/>
      <charset val="129"/>
    </font>
    <font>
      <b/>
      <sz val="14"/>
      <color theme="0" tint="-0.499984740745262"/>
      <name val="Harmony L"/>
      <family val="3"/>
      <charset val="129"/>
    </font>
    <font>
      <b/>
      <sz val="15"/>
      <color rgb="FF0000FF"/>
      <name val="Harmony L"/>
      <family val="3"/>
      <charset val="129"/>
    </font>
    <font>
      <b/>
      <sz val="36"/>
      <color indexed="8"/>
      <name val="Harmony L"/>
      <family val="3"/>
      <charset val="129"/>
    </font>
    <font>
      <b/>
      <sz val="26"/>
      <color indexed="8"/>
      <name val="Harmony L"/>
      <family val="3"/>
      <charset val="129"/>
    </font>
    <font>
      <b/>
      <sz val="11"/>
      <color indexed="8"/>
      <name val="Harmony L"/>
      <family val="3"/>
      <charset val="129"/>
    </font>
    <font>
      <sz val="15"/>
      <color indexed="8"/>
      <name val="Harmony L"/>
      <family val="3"/>
      <charset val="129"/>
    </font>
    <font>
      <b/>
      <sz val="15"/>
      <color indexed="8"/>
      <name val="Harmony L"/>
      <family val="3"/>
      <charset val="129"/>
    </font>
    <font>
      <b/>
      <sz val="13"/>
      <color indexed="8"/>
      <name val="Harmony L"/>
      <family val="3"/>
      <charset val="129"/>
    </font>
    <font>
      <sz val="13"/>
      <color indexed="8"/>
      <name val="Harmony L"/>
      <family val="3"/>
      <charset val="129"/>
    </font>
    <font>
      <b/>
      <i/>
      <u/>
      <sz val="16"/>
      <color theme="1"/>
      <name val="Harmony L"/>
      <family val="3"/>
      <charset val="129"/>
    </font>
    <font>
      <b/>
      <i/>
      <sz val="15"/>
      <color theme="1"/>
      <name val="Harmony L"/>
      <family val="3"/>
      <charset val="129"/>
    </font>
    <font>
      <b/>
      <sz val="12"/>
      <color indexed="8"/>
      <name val="Harmony L"/>
      <family val="3"/>
      <charset val="129"/>
    </font>
    <font>
      <b/>
      <sz val="16"/>
      <color indexed="8"/>
      <name val="Harmony L"/>
      <family val="3"/>
      <charset val="129"/>
    </font>
    <font>
      <sz val="14"/>
      <color indexed="8"/>
      <name val="Harmony L"/>
      <family val="3"/>
      <charset val="129"/>
    </font>
    <font>
      <b/>
      <sz val="15"/>
      <color theme="1"/>
      <name val="Harmony L"/>
      <family val="3"/>
      <charset val="129"/>
    </font>
    <font>
      <b/>
      <sz val="15"/>
      <color theme="0"/>
      <name val="Harmony L"/>
      <family val="3"/>
      <charset val="129"/>
    </font>
    <font>
      <sz val="12"/>
      <color indexed="8"/>
      <name val="Harmony L"/>
      <family val="3"/>
      <charset val="129"/>
    </font>
    <font>
      <sz val="12"/>
      <name val="Harmony L"/>
      <family val="3"/>
      <charset val="129"/>
    </font>
    <font>
      <b/>
      <sz val="14"/>
      <color theme="1"/>
      <name val="Harmony L"/>
      <family val="3"/>
      <charset val="129"/>
    </font>
    <font>
      <b/>
      <sz val="14"/>
      <color indexed="8"/>
      <name val="Harmony L"/>
      <family val="3"/>
      <charset val="129"/>
    </font>
    <font>
      <b/>
      <sz val="10"/>
      <name val="Harmony L"/>
      <family val="3"/>
      <charset val="129"/>
    </font>
    <font>
      <sz val="10"/>
      <name val="Harmony L"/>
      <family val="3"/>
      <charset val="129"/>
    </font>
    <font>
      <b/>
      <sz val="22"/>
      <color theme="1"/>
      <name val="Harmony L"/>
      <family val="3"/>
      <charset val="129"/>
    </font>
    <font>
      <b/>
      <sz val="10"/>
      <color theme="1"/>
      <name val="Harmony L"/>
      <family val="3"/>
      <charset val="129"/>
    </font>
    <font>
      <sz val="10"/>
      <color theme="1"/>
      <name val="Harmony L"/>
      <family val="3"/>
      <charset val="129"/>
    </font>
    <font>
      <sz val="10"/>
      <color theme="0"/>
      <name val="Harmony L"/>
      <family val="3"/>
      <charset val="129"/>
    </font>
    <font>
      <b/>
      <sz val="14"/>
      <color theme="3"/>
      <name val="Harmony L"/>
      <family val="3"/>
      <charset val="129"/>
    </font>
    <font>
      <b/>
      <sz val="16"/>
      <color rgb="FFFF0000"/>
      <name val="휴먼엑스포"/>
      <family val="1"/>
      <charset val="129"/>
    </font>
    <font>
      <b/>
      <sz val="16"/>
      <color theme="0" tint="-4.9989318521683403E-2"/>
      <name val="휴먼엑스포"/>
      <family val="1"/>
      <charset val="129"/>
    </font>
    <font>
      <b/>
      <sz val="36"/>
      <name val="휴먼엑스포"/>
      <family val="1"/>
      <charset val="129"/>
    </font>
    <font>
      <sz val="16"/>
      <color theme="1" tint="0.34998626667073579"/>
      <name val="휴먼엑스포"/>
      <family val="1"/>
      <charset val="129"/>
    </font>
    <font>
      <sz val="14"/>
      <color theme="1" tint="4.9989318521683403E-2"/>
      <name val="휴먼엑스포"/>
      <family val="1"/>
      <charset val="129"/>
    </font>
    <font>
      <b/>
      <sz val="18"/>
      <color theme="1" tint="4.9989318521683403E-2"/>
      <name val="휴먼엑스포"/>
      <family val="1"/>
      <charset val="129"/>
    </font>
    <font>
      <b/>
      <sz val="8.5"/>
      <color theme="0"/>
      <name val="함초롬바탕 확장B"/>
      <family val="1"/>
      <charset val="129"/>
    </font>
    <font>
      <b/>
      <sz val="12"/>
      <color theme="1"/>
      <name val="Harmony L"/>
      <family val="3"/>
      <charset val="129"/>
    </font>
    <font>
      <b/>
      <sz val="12"/>
      <name val="Harmony L"/>
      <family val="3"/>
      <charset val="129"/>
    </font>
    <font>
      <sz val="9"/>
      <name val="Harmony L"/>
      <family val="3"/>
      <charset val="129"/>
    </font>
    <font>
      <b/>
      <sz val="10"/>
      <color theme="0"/>
      <name val="Harmony L"/>
      <family val="3"/>
      <charset val="129"/>
    </font>
    <font>
      <b/>
      <sz val="10"/>
      <name val="굴림체"/>
      <family val="3"/>
      <charset val="129"/>
    </font>
    <font>
      <b/>
      <sz val="11"/>
      <color theme="1"/>
      <name val="Harmony L"/>
      <family val="3"/>
      <charset val="129"/>
    </font>
    <font>
      <b/>
      <sz val="10"/>
      <color theme="0" tint="-0.499984740745262"/>
      <name val="Harmony L"/>
      <family val="3"/>
      <charset val="129"/>
    </font>
    <font>
      <b/>
      <sz val="9"/>
      <color theme="0" tint="-0.499984740745262"/>
      <name val="Harmony L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0"/>
      <name val="함초롬바탕 확장B"/>
      <family val="1"/>
      <charset val="129"/>
    </font>
    <font>
      <b/>
      <sz val="10"/>
      <color theme="0"/>
      <name val="굴림"/>
      <family val="3"/>
      <charset val="129"/>
    </font>
    <font>
      <b/>
      <sz val="9"/>
      <name val="Harmony L"/>
      <family val="3"/>
      <charset val="129"/>
    </font>
    <font>
      <b/>
      <sz val="11"/>
      <name val="Harmony L"/>
      <family val="3"/>
      <charset val="129"/>
    </font>
    <font>
      <sz val="11"/>
      <color theme="1"/>
      <name val="맑은 고딕"/>
      <family val="2"/>
      <charset val="129"/>
    </font>
    <font>
      <b/>
      <sz val="16"/>
      <color theme="1" tint="4.9989318521683403E-2"/>
      <name val="휴먼엑스포"/>
      <family val="1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4"/>
      <color rgb="FFFF0000"/>
      <name val="Harmony L"/>
      <family val="1"/>
      <charset val="129"/>
    </font>
    <font>
      <b/>
      <sz val="13"/>
      <name val="Harmony L"/>
      <family val="3"/>
      <charset val="129"/>
    </font>
    <font>
      <sz val="9"/>
      <color rgb="FF000000"/>
      <name val="나눔스퀘어 네오 Regular"/>
      <family val="3"/>
      <charset val="129"/>
    </font>
    <font>
      <sz val="9"/>
      <name val="나눔스퀘어 네오 Regular"/>
      <family val="3"/>
      <charset val="129"/>
    </font>
    <font>
      <b/>
      <sz val="14"/>
      <color theme="3" tint="-0.499984740745262"/>
      <name val="Harmony L"/>
      <family val="3"/>
      <charset val="129"/>
    </font>
    <font>
      <sz val="14"/>
      <color theme="3" tint="-0.499984740745262"/>
      <name val="Harmony L"/>
      <family val="3"/>
      <charset val="129"/>
    </font>
    <font>
      <sz val="12"/>
      <color theme="3" tint="-0.499984740745262"/>
      <name val="Harmony L"/>
      <family val="3"/>
      <charset val="129"/>
    </font>
    <font>
      <b/>
      <sz val="14"/>
      <color theme="5" tint="-0.499984740745262"/>
      <name val="Harmony L"/>
      <family val="3"/>
      <charset val="129"/>
    </font>
    <font>
      <b/>
      <sz val="16"/>
      <color theme="5" tint="-0.499984740745262"/>
      <name val="HY목각파임B"/>
      <family val="1"/>
      <charset val="129"/>
    </font>
    <font>
      <b/>
      <sz val="16"/>
      <color theme="3" tint="-0.499984740745262"/>
      <name val="HY목각파임B"/>
      <family val="1"/>
      <charset val="129"/>
    </font>
    <font>
      <sz val="16"/>
      <color theme="3" tint="-0.499984740745262"/>
      <name val="HY목각파임B"/>
      <family val="1"/>
      <charset val="129"/>
    </font>
    <font>
      <b/>
      <sz val="10.5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</fills>
  <borders count="1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/>
      <bottom style="hair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34998626667073579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34998626667073579"/>
      </left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medium">
        <color theme="0" tint="-0.499984740745262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499984740745262"/>
      </right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68">
    <xf numFmtId="0" fontId="0" fillId="0" borderId="0"/>
    <xf numFmtId="0" fontId="14" fillId="0" borderId="0"/>
    <xf numFmtId="183" fontId="9" fillId="0" borderId="0"/>
    <xf numFmtId="183" fontId="9" fillId="0" borderId="0"/>
    <xf numFmtId="0" fontId="15" fillId="0" borderId="1">
      <alignment horizontal="center"/>
    </xf>
    <xf numFmtId="3" fontId="7" fillId="0" borderId="2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9" fillId="0" borderId="0"/>
    <xf numFmtId="0" fontId="6" fillId="0" borderId="0"/>
    <xf numFmtId="184" fontId="6" fillId="0" borderId="0"/>
    <xf numFmtId="184" fontId="83" fillId="0" borderId="0"/>
    <xf numFmtId="184" fontId="83" fillId="0" borderId="0"/>
    <xf numFmtId="184" fontId="6" fillId="0" borderId="0"/>
    <xf numFmtId="184" fontId="83" fillId="0" borderId="0"/>
    <xf numFmtId="184" fontId="6" fillId="0" borderId="0"/>
    <xf numFmtId="184" fontId="6" fillId="0" borderId="0"/>
    <xf numFmtId="184" fontId="6" fillId="0" borderId="0"/>
    <xf numFmtId="184" fontId="6" fillId="0" borderId="0"/>
    <xf numFmtId="184" fontId="83" fillId="0" borderId="0"/>
    <xf numFmtId="184" fontId="6" fillId="0" borderId="0"/>
    <xf numFmtId="184" fontId="6" fillId="0" borderId="0"/>
    <xf numFmtId="184" fontId="83" fillId="0" borderId="0"/>
    <xf numFmtId="184" fontId="6" fillId="0" borderId="0"/>
    <xf numFmtId="184" fontId="83" fillId="0" borderId="0"/>
    <xf numFmtId="184" fontId="83" fillId="0" borderId="0"/>
    <xf numFmtId="184" fontId="83" fillId="0" borderId="0"/>
    <xf numFmtId="184" fontId="83" fillId="0" borderId="0"/>
    <xf numFmtId="184" fontId="83" fillId="0" borderId="0"/>
    <xf numFmtId="0" fontId="6" fillId="0" borderId="0"/>
    <xf numFmtId="0" fontId="6" fillId="0" borderId="0"/>
    <xf numFmtId="0" fontId="83" fillId="0" borderId="0"/>
    <xf numFmtId="0" fontId="8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3" fillId="0" borderId="0"/>
    <xf numFmtId="0" fontId="6" fillId="0" borderId="0"/>
    <xf numFmtId="0" fontId="6" fillId="0" borderId="0"/>
    <xf numFmtId="0" fontId="83" fillId="0" borderId="0"/>
    <xf numFmtId="0" fontId="6" fillId="0" borderId="0"/>
    <xf numFmtId="0" fontId="6" fillId="0" borderId="0"/>
    <xf numFmtId="0" fontId="83" fillId="0" borderId="0"/>
    <xf numFmtId="0" fontId="8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3" fillId="0" borderId="0"/>
    <xf numFmtId="0" fontId="6" fillId="0" borderId="0"/>
    <xf numFmtId="0" fontId="6" fillId="0" borderId="0"/>
    <xf numFmtId="0" fontId="83" fillId="0" borderId="0"/>
    <xf numFmtId="0" fontId="9" fillId="0" borderId="0"/>
    <xf numFmtId="184" fontId="83" fillId="0" borderId="0"/>
    <xf numFmtId="184" fontId="6" fillId="0" borderId="0"/>
    <xf numFmtId="0" fontId="16" fillId="0" borderId="0"/>
    <xf numFmtId="184" fontId="6" fillId="0" borderId="0"/>
    <xf numFmtId="184" fontId="83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6" fillId="0" borderId="0"/>
    <xf numFmtId="0" fontId="9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4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84" fillId="0" borderId="0"/>
    <xf numFmtId="3" fontId="7" fillId="0" borderId="2"/>
    <xf numFmtId="3" fontId="7" fillId="0" borderId="2"/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0" fontId="19" fillId="0" borderId="0">
      <alignment horizontal="center"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0" fontId="19" fillId="0" borderId="0">
      <alignment horizontal="center" vertical="center"/>
    </xf>
    <xf numFmtId="0" fontId="19" fillId="0" borderId="0">
      <alignment horizontal="center" vertical="center"/>
    </xf>
    <xf numFmtId="0" fontId="20" fillId="0" borderId="0"/>
    <xf numFmtId="0" fontId="19" fillId="0" borderId="0">
      <alignment horizontal="center" vertical="center"/>
    </xf>
    <xf numFmtId="0" fontId="19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185" fontId="21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0" fontId="20" fillId="0" borderId="0"/>
    <xf numFmtId="0" fontId="20" fillId="0" borderId="0"/>
    <xf numFmtId="0" fontId="19" fillId="0" borderId="0">
      <alignment horizontal="center"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0" fontId="20" fillId="0" borderId="0"/>
    <xf numFmtId="0" fontId="9" fillId="0" borderId="0"/>
    <xf numFmtId="186" fontId="4" fillId="0" borderId="0">
      <protection locked="0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65" fillId="2" borderId="0">
      <alignment vertical="center"/>
    </xf>
    <xf numFmtId="0" fontId="65" fillId="4" borderId="0">
      <alignment vertical="center"/>
    </xf>
    <xf numFmtId="0" fontId="65" fillId="6" borderId="0">
      <alignment vertical="center"/>
    </xf>
    <xf numFmtId="0" fontId="65" fillId="7" borderId="0">
      <alignment vertical="center"/>
    </xf>
    <xf numFmtId="0" fontId="65" fillId="8" borderId="0">
      <alignment vertical="center"/>
    </xf>
    <xf numFmtId="0" fontId="65" fillId="3" borderId="0">
      <alignment vertical="center"/>
    </xf>
    <xf numFmtId="0" fontId="65" fillId="10" borderId="0">
      <alignment vertical="center"/>
    </xf>
    <xf numFmtId="0" fontId="65" fillId="11" borderId="0">
      <alignment vertical="center"/>
    </xf>
    <xf numFmtId="0" fontId="65" fillId="13" borderId="0">
      <alignment vertical="center"/>
    </xf>
    <xf numFmtId="0" fontId="65" fillId="7" borderId="0">
      <alignment vertical="center"/>
    </xf>
    <xf numFmtId="0" fontId="65" fillId="10" borderId="0">
      <alignment vertical="center"/>
    </xf>
    <xf numFmtId="0" fontId="65" fillId="14" borderId="0">
      <alignment vertical="center"/>
    </xf>
    <xf numFmtId="9" fontId="6" fillId="0" borderId="0">
      <protection locked="0"/>
    </xf>
    <xf numFmtId="0" fontId="66" fillId="16" borderId="0">
      <alignment vertical="center"/>
    </xf>
    <xf numFmtId="0" fontId="66" fillId="11" borderId="0">
      <alignment vertical="center"/>
    </xf>
    <xf numFmtId="0" fontId="66" fillId="13" borderId="0">
      <alignment vertical="center"/>
    </xf>
    <xf numFmtId="0" fontId="66" fillId="17" borderId="0">
      <alignment vertical="center"/>
    </xf>
    <xf numFmtId="0" fontId="66" fillId="15" borderId="0">
      <alignment vertical="center"/>
    </xf>
    <xf numFmtId="0" fontId="66" fillId="18" borderId="0">
      <alignment vertical="center"/>
    </xf>
    <xf numFmtId="186" fontId="4" fillId="0" borderId="0">
      <protection locked="0"/>
    </xf>
    <xf numFmtId="0" fontId="22" fillId="0" borderId="0"/>
    <xf numFmtId="187" fontId="6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189" fontId="15" fillId="0" borderId="0"/>
    <xf numFmtId="43" fontId="85" fillId="0" borderId="0"/>
    <xf numFmtId="190" fontId="15" fillId="0" borderId="0"/>
    <xf numFmtId="0" fontId="85" fillId="0" borderId="0"/>
    <xf numFmtId="186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191" fontId="64" fillId="0" borderId="0"/>
    <xf numFmtId="191" fontId="24" fillId="0" borderId="0"/>
    <xf numFmtId="191" fontId="64" fillId="0" borderId="0"/>
    <xf numFmtId="0" fontId="86" fillId="0" borderId="0"/>
    <xf numFmtId="0" fontId="87" fillId="0" borderId="0"/>
    <xf numFmtId="0" fontId="88" fillId="0" borderId="0"/>
    <xf numFmtId="0" fontId="87" fillId="0" borderId="0"/>
    <xf numFmtId="0" fontId="24" fillId="0" borderId="0"/>
    <xf numFmtId="37" fontId="64" fillId="0" borderId="0"/>
    <xf numFmtId="187" fontId="6" fillId="0" borderId="0">
      <protection locked="0"/>
    </xf>
    <xf numFmtId="192" fontId="64" fillId="0" borderId="0"/>
    <xf numFmtId="192" fontId="24" fillId="0" borderId="0"/>
    <xf numFmtId="192" fontId="64" fillId="0" borderId="0"/>
    <xf numFmtId="0" fontId="86" fillId="0" borderId="0"/>
    <xf numFmtId="0" fontId="87" fillId="0" borderId="0"/>
    <xf numFmtId="0" fontId="88" fillId="0" borderId="0"/>
    <xf numFmtId="0" fontId="87" fillId="0" borderId="0"/>
    <xf numFmtId="0" fontId="24" fillId="0" borderId="0"/>
    <xf numFmtId="37" fontId="64" fillId="0" borderId="0"/>
    <xf numFmtId="186" fontId="4" fillId="0" borderId="0">
      <protection locked="0"/>
    </xf>
    <xf numFmtId="193" fontId="15" fillId="0" borderId="0"/>
    <xf numFmtId="193" fontId="15" fillId="0" borderId="0"/>
    <xf numFmtId="0" fontId="85" fillId="0" borderId="0"/>
    <xf numFmtId="0" fontId="85" fillId="0" borderId="0"/>
    <xf numFmtId="0" fontId="15" fillId="0" borderId="0"/>
    <xf numFmtId="186" fontId="4" fillId="0" borderId="0">
      <protection locked="0"/>
    </xf>
    <xf numFmtId="184" fontId="64" fillId="0" borderId="0"/>
    <xf numFmtId="184" fontId="24" fillId="0" borderId="0"/>
    <xf numFmtId="184" fontId="64" fillId="0" borderId="0"/>
    <xf numFmtId="0" fontId="86" fillId="0" borderId="0"/>
    <xf numFmtId="0" fontId="6" fillId="0" borderId="0"/>
    <xf numFmtId="0" fontId="88" fillId="0" borderId="0"/>
    <xf numFmtId="0" fontId="4" fillId="0" borderId="0"/>
    <xf numFmtId="0" fontId="24" fillId="0" borderId="0"/>
    <xf numFmtId="37" fontId="64" fillId="0" borderId="0"/>
    <xf numFmtId="194" fontId="64" fillId="0" borderId="0"/>
    <xf numFmtId="194" fontId="24" fillId="0" borderId="0"/>
    <xf numFmtId="194" fontId="64" fillId="0" borderId="0"/>
    <xf numFmtId="0" fontId="86" fillId="0" borderId="0"/>
    <xf numFmtId="0" fontId="6" fillId="0" borderId="0"/>
    <xf numFmtId="0" fontId="86" fillId="0" borderId="0"/>
    <xf numFmtId="0" fontId="16" fillId="0" borderId="0"/>
    <xf numFmtId="0" fontId="24" fillId="0" borderId="0"/>
    <xf numFmtId="37" fontId="64" fillId="0" borderId="0"/>
    <xf numFmtId="0" fontId="4" fillId="0" borderId="0"/>
    <xf numFmtId="0" fontId="25" fillId="0" borderId="0"/>
    <xf numFmtId="186" fontId="4" fillId="0" borderId="0">
      <protection locked="0"/>
    </xf>
    <xf numFmtId="0" fontId="9" fillId="0" borderId="0"/>
    <xf numFmtId="187" fontId="6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0" fontId="15" fillId="0" borderId="0"/>
    <xf numFmtId="0" fontId="89" fillId="0" borderId="0"/>
    <xf numFmtId="0" fontId="26" fillId="0" borderId="0"/>
    <xf numFmtId="0" fontId="24" fillId="0" borderId="0"/>
    <xf numFmtId="0" fontId="64" fillId="0" borderId="0"/>
    <xf numFmtId="0" fontId="24" fillId="0" borderId="0"/>
    <xf numFmtId="0" fontId="89" fillId="0" borderId="0"/>
    <xf numFmtId="0" fontId="88" fillId="0" borderId="0"/>
    <xf numFmtId="0" fontId="87" fillId="0" borderId="0"/>
    <xf numFmtId="0" fontId="88" fillId="0" borderId="0"/>
    <xf numFmtId="0" fontId="9" fillId="0" borderId="0"/>
    <xf numFmtId="195" fontId="4" fillId="0" borderId="0"/>
    <xf numFmtId="0" fontId="8" fillId="0" borderId="0"/>
    <xf numFmtId="186" fontId="4" fillId="0" borderId="0">
      <protection locked="0"/>
    </xf>
    <xf numFmtId="3" fontId="27" fillId="0" borderId="0">
      <alignment horizontal="center"/>
    </xf>
    <xf numFmtId="4" fontId="28" fillId="0" borderId="0">
      <protection locked="0"/>
    </xf>
    <xf numFmtId="41" fontId="22" fillId="0" borderId="0"/>
    <xf numFmtId="40" fontId="15" fillId="0" borderId="0"/>
    <xf numFmtId="196" fontId="6" fillId="0" borderId="0"/>
    <xf numFmtId="194" fontId="9" fillId="0" borderId="0"/>
    <xf numFmtId="197" fontId="4" fillId="0" borderId="0">
      <protection locked="0"/>
    </xf>
    <xf numFmtId="40" fontId="15" fillId="0" borderId="0"/>
    <xf numFmtId="0" fontId="29" fillId="0" borderId="0">
      <alignment horizontal="left"/>
    </xf>
    <xf numFmtId="0" fontId="16" fillId="0" borderId="0"/>
    <xf numFmtId="198" fontId="28" fillId="0" borderId="0">
      <protection locked="0"/>
    </xf>
    <xf numFmtId="0" fontId="22" fillId="0" borderId="0"/>
    <xf numFmtId="199" fontId="6" fillId="0" borderId="0">
      <protection locked="0"/>
    </xf>
    <xf numFmtId="199" fontId="6" fillId="0" borderId="0">
      <protection locked="0"/>
    </xf>
    <xf numFmtId="199" fontId="6" fillId="0" borderId="0">
      <protection locked="0"/>
    </xf>
    <xf numFmtId="199" fontId="6" fillId="0" borderId="0">
      <protection locked="0"/>
    </xf>
    <xf numFmtId="194" fontId="16" fillId="0" borderId="0">
      <protection locked="0"/>
    </xf>
    <xf numFmtId="200" fontId="4" fillId="0" borderId="0"/>
    <xf numFmtId="197" fontId="4" fillId="0" borderId="0">
      <protection locked="0"/>
    </xf>
    <xf numFmtId="0" fontId="3" fillId="0" borderId="0"/>
    <xf numFmtId="201" fontId="28" fillId="0" borderId="0">
      <protection locked="0"/>
    </xf>
    <xf numFmtId="202" fontId="6" fillId="0" borderId="0">
      <protection locked="0"/>
    </xf>
    <xf numFmtId="197" fontId="4" fillId="0" borderId="0">
      <protection locked="0"/>
    </xf>
    <xf numFmtId="41" fontId="9" fillId="0" borderId="0"/>
    <xf numFmtId="43" fontId="9" fillId="0" borderId="0"/>
    <xf numFmtId="203" fontId="6" fillId="0" borderId="0"/>
    <xf numFmtId="0" fontId="30" fillId="0" borderId="0">
      <alignment horizontal="left"/>
    </xf>
    <xf numFmtId="0" fontId="28" fillId="0" borderId="0">
      <protection locked="0"/>
    </xf>
    <xf numFmtId="0" fontId="28" fillId="0" borderId="0">
      <protection locked="0"/>
    </xf>
    <xf numFmtId="0" fontId="31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31" fillId="0" borderId="0">
      <protection locked="0"/>
    </xf>
    <xf numFmtId="204" fontId="28" fillId="0" borderId="0">
      <protection locked="0"/>
    </xf>
    <xf numFmtId="205" fontId="6" fillId="0" borderId="0">
      <protection locked="0"/>
    </xf>
    <xf numFmtId="197" fontId="4" fillId="0" borderId="0">
      <protection locked="0"/>
    </xf>
    <xf numFmtId="0" fontId="32" fillId="0" borderId="0"/>
    <xf numFmtId="38" fontId="10" fillId="19" borderId="0"/>
    <xf numFmtId="38" fontId="10" fillId="20" borderId="0"/>
    <xf numFmtId="3" fontId="14" fillId="0" borderId="4">
      <alignment horizontal="right" vertical="center"/>
    </xf>
    <xf numFmtId="4" fontId="14" fillId="0" borderId="4">
      <alignment horizontal="right" vertical="center"/>
    </xf>
    <xf numFmtId="0" fontId="11" fillId="0" borderId="0">
      <alignment horizontal="left"/>
    </xf>
    <xf numFmtId="0" fontId="12" fillId="0" borderId="5">
      <alignment horizontal="left" vertical="center"/>
    </xf>
    <xf numFmtId="0" fontId="12" fillId="0" borderId="6">
      <alignment horizontal="left" vertical="center"/>
    </xf>
    <xf numFmtId="197" fontId="4" fillId="0" borderId="0">
      <protection locked="0"/>
    </xf>
    <xf numFmtId="197" fontId="4" fillId="0" borderId="0">
      <protection locked="0"/>
    </xf>
    <xf numFmtId="206" fontId="33" fillId="0" borderId="0">
      <protection locked="0"/>
    </xf>
    <xf numFmtId="207" fontId="6" fillId="0" borderId="0">
      <protection locked="0"/>
    </xf>
    <xf numFmtId="0" fontId="33" fillId="0" borderId="0">
      <protection locked="0"/>
    </xf>
    <xf numFmtId="206" fontId="33" fillId="0" borderId="0">
      <protection locked="0"/>
    </xf>
    <xf numFmtId="207" fontId="6" fillId="0" borderId="0">
      <protection locked="0"/>
    </xf>
    <xf numFmtId="0" fontId="33" fillId="0" borderId="0">
      <protection locked="0"/>
    </xf>
    <xf numFmtId="0" fontId="9" fillId="0" borderId="0">
      <protection locked="0"/>
    </xf>
    <xf numFmtId="0" fontId="34" fillId="0" borderId="0"/>
    <xf numFmtId="0" fontId="35" fillId="0" borderId="0">
      <alignment vertical="top"/>
      <protection locked="0"/>
    </xf>
    <xf numFmtId="10" fontId="10" fillId="19" borderId="2"/>
    <xf numFmtId="10" fontId="10" fillId="21" borderId="2"/>
    <xf numFmtId="208" fontId="36" fillId="0" borderId="0">
      <alignment horizontal="left"/>
    </xf>
    <xf numFmtId="38" fontId="15" fillId="0" borderId="0"/>
    <xf numFmtId="40" fontId="15" fillId="0" borderId="0"/>
    <xf numFmtId="0" fontId="13" fillId="0" borderId="7"/>
    <xf numFmtId="0" fontId="48" fillId="0" borderId="0"/>
    <xf numFmtId="209" fontId="48" fillId="0" borderId="0"/>
    <xf numFmtId="0" fontId="9" fillId="0" borderId="0"/>
    <xf numFmtId="37" fontId="37" fillId="0" borderId="0"/>
    <xf numFmtId="0" fontId="6" fillId="0" borderId="0"/>
    <xf numFmtId="210" fontId="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15" fillId="0" borderId="0"/>
    <xf numFmtId="0" fontId="9" fillId="0" borderId="0"/>
    <xf numFmtId="0" fontId="9" fillId="0" borderId="0"/>
    <xf numFmtId="0" fontId="9" fillId="0" borderId="0"/>
    <xf numFmtId="211" fontId="28" fillId="0" borderId="0">
      <protection locked="0"/>
    </xf>
    <xf numFmtId="10" fontId="9" fillId="0" borderId="0"/>
    <xf numFmtId="212" fontId="6" fillId="0" borderId="0">
      <protection locked="0"/>
    </xf>
    <xf numFmtId="212" fontId="6" fillId="0" borderId="0">
      <protection locked="0"/>
    </xf>
    <xf numFmtId="212" fontId="6" fillId="0" borderId="0">
      <protection locked="0"/>
    </xf>
    <xf numFmtId="212" fontId="6" fillId="0" borderId="0">
      <protection locked="0"/>
    </xf>
    <xf numFmtId="213" fontId="16" fillId="0" borderId="0">
      <protection locked="0"/>
    </xf>
    <xf numFmtId="9" fontId="9" fillId="0" borderId="0"/>
    <xf numFmtId="0" fontId="39" fillId="0" borderId="0">
      <alignment horizontal="left"/>
    </xf>
    <xf numFmtId="209" fontId="48" fillId="0" borderId="0">
      <alignment horizontal="center"/>
    </xf>
    <xf numFmtId="0" fontId="13" fillId="0" borderId="0"/>
    <xf numFmtId="40" fontId="40" fillId="0" borderId="0">
      <alignment horizontal="right"/>
    </xf>
    <xf numFmtId="214" fontId="41" fillId="0" borderId="0">
      <alignment horizontal="center"/>
    </xf>
    <xf numFmtId="0" fontId="42" fillId="0" borderId="0">
      <alignment horizontal="centerContinuous" vertical="center"/>
    </xf>
    <xf numFmtId="0" fontId="20" fillId="19" borderId="0">
      <alignment horizontal="center" vertical="center"/>
    </xf>
    <xf numFmtId="206" fontId="28" fillId="0" borderId="8">
      <protection locked="0"/>
    </xf>
    <xf numFmtId="207" fontId="6" fillId="0" borderId="8">
      <protection locked="0"/>
    </xf>
    <xf numFmtId="197" fontId="4" fillId="0" borderId="9">
      <protection locked="0"/>
    </xf>
    <xf numFmtId="0" fontId="43" fillId="0" borderId="10">
      <alignment horizontal="left"/>
    </xf>
    <xf numFmtId="37" fontId="10" fillId="0" borderId="0"/>
    <xf numFmtId="0" fontId="9" fillId="0" borderId="0"/>
    <xf numFmtId="0" fontId="9" fillId="0" borderId="0"/>
    <xf numFmtId="0" fontId="44" fillId="0" borderId="0">
      <protection locked="0"/>
    </xf>
    <xf numFmtId="0" fontId="66" fillId="22" borderId="0">
      <alignment vertical="center"/>
    </xf>
    <xf numFmtId="0" fontId="66" fillId="23" borderId="0">
      <alignment vertical="center"/>
    </xf>
    <xf numFmtId="0" fontId="66" fillId="24" borderId="0">
      <alignment vertical="center"/>
    </xf>
    <xf numFmtId="0" fontId="66" fillId="17" borderId="0">
      <alignment vertical="center"/>
    </xf>
    <xf numFmtId="0" fontId="66" fillId="15" borderId="0">
      <alignment vertical="center"/>
    </xf>
    <xf numFmtId="0" fontId="66" fillId="25" borderId="0">
      <alignment vertical="center"/>
    </xf>
    <xf numFmtId="0" fontId="67" fillId="0" borderId="0">
      <alignment vertical="center"/>
    </xf>
    <xf numFmtId="0" fontId="68" fillId="9" borderId="11">
      <alignment vertical="center"/>
    </xf>
    <xf numFmtId="2" fontId="45" fillId="0" borderId="0"/>
    <xf numFmtId="0" fontId="46" fillId="0" borderId="0"/>
    <xf numFmtId="0" fontId="47" fillId="0" borderId="0"/>
    <xf numFmtId="0" fontId="48" fillId="0" borderId="0"/>
    <xf numFmtId="0" fontId="48" fillId="0" borderId="12">
      <alignment horizontal="center"/>
    </xf>
    <xf numFmtId="0" fontId="48" fillId="0" borderId="13"/>
    <xf numFmtId="0" fontId="49" fillId="0" borderId="0"/>
    <xf numFmtId="184" fontId="6" fillId="0" borderId="0"/>
    <xf numFmtId="41" fontId="50" fillId="0" borderId="14">
      <alignment horizontal="center" vertical="center"/>
    </xf>
    <xf numFmtId="0" fontId="4" fillId="0" borderId="0">
      <protection locked="0"/>
    </xf>
    <xf numFmtId="0" fontId="69" fillId="4" borderId="0">
      <alignment vertical="center"/>
    </xf>
    <xf numFmtId="0" fontId="45" fillId="0" borderId="0"/>
    <xf numFmtId="3" fontId="15" fillId="0" borderId="15">
      <alignment horizontal="center"/>
    </xf>
    <xf numFmtId="0" fontId="27" fillId="0" borderId="0">
      <alignment horizontal="left"/>
    </xf>
    <xf numFmtId="0" fontId="45" fillId="0" borderId="0"/>
    <xf numFmtId="0" fontId="78" fillId="0" borderId="0">
      <alignment vertical="top"/>
      <protection locked="0"/>
    </xf>
    <xf numFmtId="0" fontId="9" fillId="0" borderId="0"/>
    <xf numFmtId="0" fontId="9" fillId="0" borderId="0"/>
    <xf numFmtId="0" fontId="5" fillId="5" borderId="16">
      <alignment vertical="center"/>
    </xf>
    <xf numFmtId="0" fontId="4" fillId="5" borderId="16">
      <alignment vertical="center"/>
    </xf>
    <xf numFmtId="0" fontId="9" fillId="0" borderId="0"/>
    <xf numFmtId="0" fontId="9" fillId="0" borderId="0"/>
    <xf numFmtId="41" fontId="51" fillId="0" borderId="2">
      <alignment horizontal="distributed" vertical="center"/>
    </xf>
    <xf numFmtId="186" fontId="4" fillId="0" borderId="0">
      <protection locked="0"/>
    </xf>
    <xf numFmtId="0" fontId="52" fillId="0" borderId="0">
      <protection locked="0"/>
    </xf>
    <xf numFmtId="206" fontId="52" fillId="0" borderId="0">
      <protection locked="0"/>
    </xf>
    <xf numFmtId="0" fontId="52" fillId="0" borderId="0">
      <protection locked="0"/>
    </xf>
    <xf numFmtId="187" fontId="6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206" fontId="52" fillId="0" borderId="0">
      <protection locked="0"/>
    </xf>
    <xf numFmtId="186" fontId="4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9" fontId="19" fillId="19" borderId="0">
      <alignment horizontal="right"/>
    </xf>
    <xf numFmtId="10" fontId="19" fillId="0" borderId="0">
      <alignment horizontal="right"/>
    </xf>
    <xf numFmtId="9" fontId="4" fillId="0" borderId="0"/>
    <xf numFmtId="9" fontId="4" fillId="0" borderId="0">
      <alignment vertical="center"/>
    </xf>
    <xf numFmtId="9" fontId="4" fillId="0" borderId="0">
      <alignment vertical="center"/>
    </xf>
    <xf numFmtId="9" fontId="4" fillId="0" borderId="0">
      <alignment vertical="center"/>
    </xf>
    <xf numFmtId="9" fontId="4" fillId="0" borderId="0"/>
    <xf numFmtId="9" fontId="6" fillId="0" borderId="0"/>
    <xf numFmtId="9" fontId="4" fillId="0" borderId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215" fontId="4" fillId="0" borderId="0"/>
    <xf numFmtId="216" fontId="4" fillId="0" borderId="0"/>
    <xf numFmtId="0" fontId="53" fillId="0" borderId="0"/>
    <xf numFmtId="0" fontId="70" fillId="12" borderId="0">
      <alignment vertical="center"/>
    </xf>
    <xf numFmtId="0" fontId="90" fillId="0" borderId="0"/>
    <xf numFmtId="217" fontId="4" fillId="0" borderId="17"/>
    <xf numFmtId="215" fontId="4" fillId="0" borderId="0">
      <alignment horizontal="centerContinuous" vertical="center"/>
    </xf>
    <xf numFmtId="38" fontId="54" fillId="0" borderId="0">
      <alignment vertical="center" wrapText="1"/>
    </xf>
    <xf numFmtId="0" fontId="71" fillId="0" borderId="0">
      <alignment vertical="center"/>
    </xf>
    <xf numFmtId="0" fontId="72" fillId="26" borderId="18">
      <alignment vertical="center"/>
    </xf>
    <xf numFmtId="0" fontId="49" fillId="0" borderId="19"/>
    <xf numFmtId="4" fontId="49" fillId="0" borderId="17"/>
    <xf numFmtId="218" fontId="4" fillId="0" borderId="17"/>
    <xf numFmtId="0" fontId="4" fillId="0" borderId="17"/>
    <xf numFmtId="3" fontId="55" fillId="0" borderId="0">
      <alignment vertical="center" wrapText="1"/>
    </xf>
    <xf numFmtId="3" fontId="56" fillId="0" borderId="0">
      <alignment vertical="center" wrapText="1"/>
    </xf>
    <xf numFmtId="0" fontId="57" fillId="0" borderId="0">
      <alignment vertical="center"/>
    </xf>
    <xf numFmtId="189" fontId="58" fillId="0" borderId="0">
      <alignment vertical="center"/>
    </xf>
    <xf numFmtId="41" fontId="4" fillId="0" borderId="0"/>
    <xf numFmtId="41" fontId="4" fillId="0" borderId="0">
      <alignment vertical="center"/>
    </xf>
    <xf numFmtId="41" fontId="6" fillId="0" borderId="0"/>
    <xf numFmtId="41" fontId="4" fillId="0" borderId="0"/>
    <xf numFmtId="41" fontId="4" fillId="0" borderId="0">
      <alignment vertical="center"/>
    </xf>
    <xf numFmtId="41" fontId="4" fillId="0" borderId="0"/>
    <xf numFmtId="41" fontId="4" fillId="0" borderId="0"/>
    <xf numFmtId="41" fontId="5" fillId="0" borderId="0">
      <alignment vertical="center"/>
    </xf>
    <xf numFmtId="41" fontId="4" fillId="0" borderId="0"/>
    <xf numFmtId="41" fontId="5" fillId="0" borderId="0">
      <alignment vertical="center"/>
    </xf>
    <xf numFmtId="41" fontId="91" fillId="0" borderId="0">
      <alignment vertical="center"/>
    </xf>
    <xf numFmtId="184" fontId="6" fillId="0" borderId="0"/>
    <xf numFmtId="0" fontId="9" fillId="0" borderId="0"/>
    <xf numFmtId="0" fontId="9" fillId="0" borderId="0"/>
    <xf numFmtId="183" fontId="9" fillId="0" borderId="0"/>
    <xf numFmtId="0" fontId="9" fillId="0" borderId="0"/>
    <xf numFmtId="183" fontId="9" fillId="0" borderId="0"/>
    <xf numFmtId="183" fontId="9" fillId="0" borderId="0"/>
    <xf numFmtId="0" fontId="9" fillId="0" borderId="0"/>
    <xf numFmtId="183" fontId="9" fillId="0" borderId="0"/>
    <xf numFmtId="0" fontId="9" fillId="0" borderId="0"/>
    <xf numFmtId="183" fontId="9" fillId="0" borderId="0"/>
    <xf numFmtId="0" fontId="6" fillId="0" borderId="0"/>
    <xf numFmtId="0" fontId="6" fillId="0" borderId="0"/>
    <xf numFmtId="0" fontId="9" fillId="0" borderId="0"/>
    <xf numFmtId="0" fontId="9" fillId="0" borderId="0"/>
    <xf numFmtId="183" fontId="9" fillId="0" borderId="0"/>
    <xf numFmtId="0" fontId="9" fillId="0" borderId="0"/>
    <xf numFmtId="183" fontId="9" fillId="0" borderId="0"/>
    <xf numFmtId="183" fontId="9" fillId="0" borderId="0"/>
    <xf numFmtId="0" fontId="9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219" fontId="9" fillId="0" borderId="0"/>
    <xf numFmtId="0" fontId="20" fillId="0" borderId="0"/>
    <xf numFmtId="0" fontId="20" fillId="0" borderId="0"/>
    <xf numFmtId="220" fontId="20" fillId="0" borderId="0"/>
    <xf numFmtId="0" fontId="20" fillId="0" borderId="0"/>
    <xf numFmtId="220" fontId="20" fillId="0" borderId="0"/>
    <xf numFmtId="183" fontId="9" fillId="0" borderId="0"/>
    <xf numFmtId="0" fontId="20" fillId="0" borderId="0"/>
    <xf numFmtId="0" fontId="20" fillId="0" borderId="0"/>
    <xf numFmtId="220" fontId="20" fillId="0" borderId="0"/>
    <xf numFmtId="0" fontId="20" fillId="0" borderId="0"/>
    <xf numFmtId="220" fontId="20" fillId="0" borderId="0"/>
    <xf numFmtId="220" fontId="20" fillId="0" borderId="0"/>
    <xf numFmtId="0" fontId="20" fillId="0" borderId="0"/>
    <xf numFmtId="220" fontId="20" fillId="0" borderId="0"/>
    <xf numFmtId="0" fontId="20" fillId="0" borderId="0"/>
    <xf numFmtId="220" fontId="20" fillId="0" borderId="0"/>
    <xf numFmtId="0" fontId="9" fillId="0" borderId="0"/>
    <xf numFmtId="0" fontId="20" fillId="0" borderId="0"/>
    <xf numFmtId="0" fontId="20" fillId="0" borderId="0"/>
    <xf numFmtId="220" fontId="20" fillId="0" borderId="0"/>
    <xf numFmtId="0" fontId="20" fillId="0" borderId="0"/>
    <xf numFmtId="220" fontId="20" fillId="0" borderId="0"/>
    <xf numFmtId="220" fontId="20" fillId="0" borderId="0"/>
    <xf numFmtId="183" fontId="9" fillId="0" borderId="0"/>
    <xf numFmtId="0" fontId="9" fillId="0" borderId="0"/>
    <xf numFmtId="183" fontId="9" fillId="0" borderId="0"/>
    <xf numFmtId="0" fontId="6" fillId="0" borderId="0"/>
    <xf numFmtId="0" fontId="59" fillId="0" borderId="20"/>
    <xf numFmtId="0" fontId="73" fillId="0" borderId="21">
      <alignment vertical="center"/>
    </xf>
    <xf numFmtId="0" fontId="74" fillId="0" borderId="22">
      <alignment vertical="center"/>
    </xf>
    <xf numFmtId="221" fontId="60" fillId="0" borderId="0"/>
    <xf numFmtId="222" fontId="4" fillId="0" borderId="0"/>
    <xf numFmtId="221" fontId="60" fillId="0" borderId="0"/>
    <xf numFmtId="221" fontId="60" fillId="0" borderId="0"/>
    <xf numFmtId="0" fontId="61" fillId="0" borderId="0">
      <alignment vertical="center"/>
    </xf>
    <xf numFmtId="0" fontId="62" fillId="0" borderId="0">
      <alignment horizontal="left" vertical="center"/>
    </xf>
    <xf numFmtId="0" fontId="54" fillId="0" borderId="0">
      <alignment horizontal="centerContinuous" vertical="center"/>
    </xf>
    <xf numFmtId="0" fontId="75" fillId="3" borderId="11">
      <alignment vertical="center"/>
    </xf>
    <xf numFmtId="4" fontId="45" fillId="0" borderId="0"/>
    <xf numFmtId="0" fontId="49" fillId="0" borderId="0"/>
    <xf numFmtId="4" fontId="45" fillId="0" borderId="0"/>
    <xf numFmtId="3" fontId="45" fillId="0" borderId="0"/>
    <xf numFmtId="0" fontId="80" fillId="0" borderId="23">
      <alignment vertical="center"/>
    </xf>
    <xf numFmtId="0" fontId="81" fillId="0" borderId="24">
      <alignment vertical="center"/>
    </xf>
    <xf numFmtId="0" fontId="82" fillId="0" borderId="25">
      <alignment vertical="center"/>
    </xf>
    <xf numFmtId="0" fontId="82" fillId="0" borderId="0">
      <alignment vertical="center"/>
    </xf>
    <xf numFmtId="0" fontId="79" fillId="0" borderId="0">
      <alignment vertical="center"/>
    </xf>
    <xf numFmtId="0" fontId="76" fillId="6" borderId="0">
      <alignment vertical="center"/>
    </xf>
    <xf numFmtId="0" fontId="6" fillId="0" borderId="0"/>
    <xf numFmtId="0" fontId="77" fillId="9" borderId="26">
      <alignment vertical="center"/>
    </xf>
    <xf numFmtId="186" fontId="4" fillId="0" borderId="0">
      <protection locked="0"/>
    </xf>
    <xf numFmtId="0" fontId="52" fillId="0" borderId="0">
      <protection locked="0"/>
    </xf>
    <xf numFmtId="206" fontId="52" fillId="0" borderId="0">
      <protection locked="0"/>
    </xf>
    <xf numFmtId="0" fontId="52" fillId="0" borderId="0">
      <protection locked="0"/>
    </xf>
    <xf numFmtId="187" fontId="6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206" fontId="52" fillId="0" borderId="0">
      <protection locked="0"/>
    </xf>
    <xf numFmtId="186" fontId="4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189" fontId="63" fillId="0" borderId="0">
      <alignment vertical="center"/>
    </xf>
    <xf numFmtId="186" fontId="4" fillId="0" borderId="0">
      <protection locked="0"/>
    </xf>
    <xf numFmtId="223" fontId="4" fillId="0" borderId="0">
      <alignment vertical="center"/>
    </xf>
    <xf numFmtId="38" fontId="51" fillId="0" borderId="0">
      <alignment vertical="center"/>
    </xf>
    <xf numFmtId="187" fontId="6" fillId="0" borderId="0">
      <protection locked="0"/>
    </xf>
    <xf numFmtId="41" fontId="4" fillId="0" borderId="0"/>
    <xf numFmtId="192" fontId="6" fillId="19" borderId="0">
      <alignment horizontal="right"/>
    </xf>
    <xf numFmtId="224" fontId="6" fillId="19" borderId="0">
      <alignment horizontal="right"/>
    </xf>
    <xf numFmtId="38" fontId="51" fillId="0" borderId="0">
      <alignment vertical="center"/>
    </xf>
    <xf numFmtId="225" fontId="4" fillId="0" borderId="0">
      <alignment vertical="center"/>
    </xf>
    <xf numFmtId="187" fontId="4" fillId="0" borderId="0">
      <alignment vertical="center"/>
    </xf>
    <xf numFmtId="226" fontId="16" fillId="0" borderId="0">
      <alignment textRotation="255"/>
    </xf>
    <xf numFmtId="227" fontId="16" fillId="0" borderId="0">
      <alignment textRotation="255"/>
    </xf>
    <xf numFmtId="228" fontId="16" fillId="0" borderId="0">
      <alignment textRotation="255"/>
    </xf>
    <xf numFmtId="229" fontId="16" fillId="0" borderId="0">
      <alignment textRotation="255"/>
    </xf>
    <xf numFmtId="43" fontId="7" fillId="0" borderId="0"/>
    <xf numFmtId="186" fontId="4" fillId="0" borderId="0">
      <protection locked="0"/>
    </xf>
    <xf numFmtId="0" fontId="52" fillId="0" borderId="0">
      <protection locked="0"/>
    </xf>
    <xf numFmtId="206" fontId="52" fillId="0" borderId="0">
      <protection locked="0"/>
    </xf>
    <xf numFmtId="0" fontId="52" fillId="0" borderId="0">
      <protection locked="0"/>
    </xf>
    <xf numFmtId="187" fontId="6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206" fontId="52" fillId="0" borderId="0">
      <protection locked="0"/>
    </xf>
    <xf numFmtId="186" fontId="4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42" fontId="4" fillId="0" borderId="0"/>
    <xf numFmtId="42" fontId="4" fillId="0" borderId="0"/>
    <xf numFmtId="10" fontId="45" fillId="0" borderId="0"/>
    <xf numFmtId="186" fontId="4" fillId="0" borderId="0">
      <protection locked="0"/>
    </xf>
    <xf numFmtId="0" fontId="52" fillId="0" borderId="0">
      <protection locked="0"/>
    </xf>
    <xf numFmtId="206" fontId="52" fillId="0" borderId="0">
      <protection locked="0"/>
    </xf>
    <xf numFmtId="0" fontId="52" fillId="0" borderId="0">
      <protection locked="0"/>
    </xf>
    <xf numFmtId="187" fontId="6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206" fontId="52" fillId="0" borderId="0">
      <protection locked="0"/>
    </xf>
    <xf numFmtId="186" fontId="4" fillId="0" borderId="0">
      <protection locked="0"/>
    </xf>
    <xf numFmtId="188" fontId="2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3" fillId="0" borderId="0">
      <protection locked="0"/>
    </xf>
    <xf numFmtId="0" fontId="4" fillId="0" borderId="0"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9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91" fillId="0" borderId="0">
      <alignment vertical="center"/>
    </xf>
    <xf numFmtId="0" fontId="65" fillId="0" borderId="0">
      <alignment vertical="center"/>
    </xf>
    <xf numFmtId="0" fontId="4" fillId="0" borderId="0">
      <alignment vertical="center"/>
    </xf>
    <xf numFmtId="0" fontId="4" fillId="0" borderId="0"/>
    <xf numFmtId="0" fontId="91" fillId="0" borderId="0">
      <alignment vertical="center"/>
    </xf>
    <xf numFmtId="0" fontId="65" fillId="0" borderId="0">
      <alignment vertical="center"/>
    </xf>
    <xf numFmtId="0" fontId="4" fillId="0" borderId="0">
      <alignment vertical="center"/>
    </xf>
    <xf numFmtId="0" fontId="4" fillId="0" borderId="0"/>
    <xf numFmtId="0" fontId="9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91" fillId="0" borderId="0">
      <alignment vertical="center"/>
    </xf>
    <xf numFmtId="0" fontId="4" fillId="0" borderId="0"/>
    <xf numFmtId="0" fontId="45" fillId="0" borderId="9"/>
    <xf numFmtId="230" fontId="45" fillId="0" borderId="0"/>
    <xf numFmtId="231" fontId="45" fillId="0" borderId="0"/>
    <xf numFmtId="184" fontId="6" fillId="0" borderId="27"/>
    <xf numFmtId="0" fontId="144" fillId="0" borderId="0">
      <alignment vertical="center"/>
    </xf>
    <xf numFmtId="41" fontId="144" fillId="0" borderId="0">
      <alignment vertical="center"/>
    </xf>
    <xf numFmtId="9" fontId="144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41" fontId="1" fillId="0" borderId="0">
      <alignment vertical="center"/>
    </xf>
    <xf numFmtId="0" fontId="148" fillId="0" borderId="0">
      <alignment vertical="center"/>
    </xf>
    <xf numFmtId="9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186" fontId="4" fillId="0" borderId="0">
      <protection locked="0"/>
    </xf>
    <xf numFmtId="186" fontId="4" fillId="0" borderId="0">
      <protection locked="0"/>
    </xf>
    <xf numFmtId="4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0" fontId="4" fillId="0" borderId="0"/>
    <xf numFmtId="186" fontId="4" fillId="0" borderId="0">
      <protection locked="0"/>
    </xf>
    <xf numFmtId="4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95" fontId="4" fillId="0" borderId="0"/>
    <xf numFmtId="186" fontId="4" fillId="0" borderId="0">
      <protection locked="0"/>
    </xf>
    <xf numFmtId="41" fontId="22" fillId="0" borderId="0"/>
    <xf numFmtId="197" fontId="4" fillId="0" borderId="0">
      <protection locked="0"/>
    </xf>
    <xf numFmtId="197" fontId="4" fillId="0" borderId="0">
      <protection locked="0"/>
    </xf>
    <xf numFmtId="197" fontId="4" fillId="0" borderId="0">
      <protection locked="0"/>
    </xf>
    <xf numFmtId="197" fontId="4" fillId="0" borderId="0">
      <protection locked="0"/>
    </xf>
    <xf numFmtId="197" fontId="4" fillId="0" borderId="0">
      <protection locked="0"/>
    </xf>
    <xf numFmtId="197" fontId="4" fillId="0" borderId="0">
      <protection locked="0"/>
    </xf>
    <xf numFmtId="197" fontId="4" fillId="0" borderId="9">
      <protection locked="0"/>
    </xf>
    <xf numFmtId="41" fontId="50" fillId="0" borderId="14">
      <alignment horizontal="center" vertical="center"/>
    </xf>
    <xf numFmtId="0" fontId="4" fillId="0" borderId="0">
      <protection locked="0"/>
    </xf>
    <xf numFmtId="0" fontId="4" fillId="5" borderId="16">
      <alignment vertical="center"/>
    </xf>
    <xf numFmtId="41" fontId="51" fillId="0" borderId="2">
      <alignment horizontal="distributed" vertical="center"/>
    </xf>
    <xf numFmtId="186" fontId="4" fillId="0" borderId="0">
      <protection locked="0"/>
    </xf>
    <xf numFmtId="4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/>
    <xf numFmtId="9" fontId="4" fillId="0" borderId="0">
      <alignment vertical="center"/>
    </xf>
    <xf numFmtId="9" fontId="4" fillId="0" borderId="0">
      <alignment vertical="center"/>
    </xf>
    <xf numFmtId="9" fontId="4" fillId="0" borderId="0">
      <alignment vertical="center"/>
    </xf>
    <xf numFmtId="9" fontId="4" fillId="0" borderId="0"/>
    <xf numFmtId="9" fontId="4" fillId="0" borderId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215" fontId="4" fillId="0" borderId="0"/>
    <xf numFmtId="216" fontId="4" fillId="0" borderId="0"/>
    <xf numFmtId="217" fontId="4" fillId="0" borderId="17"/>
    <xf numFmtId="215" fontId="4" fillId="0" borderId="0">
      <alignment horizontal="centerContinuous" vertical="center"/>
    </xf>
    <xf numFmtId="218" fontId="4" fillId="0" borderId="17"/>
    <xf numFmtId="0" fontId="4" fillId="0" borderId="17"/>
    <xf numFmtId="41" fontId="4" fillId="0" borderId="0"/>
    <xf numFmtId="41" fontId="4" fillId="0" borderId="0">
      <alignment vertical="center"/>
    </xf>
    <xf numFmtId="41" fontId="6" fillId="0" borderId="0"/>
    <xf numFmtId="41" fontId="4" fillId="0" borderId="0"/>
    <xf numFmtId="41" fontId="4" fillId="0" borderId="0">
      <alignment vertical="center"/>
    </xf>
    <xf numFmtId="41" fontId="4" fillId="0" borderId="0"/>
    <xf numFmtId="41" fontId="4" fillId="0" borderId="0"/>
    <xf numFmtId="41" fontId="5" fillId="0" borderId="0">
      <alignment vertical="center"/>
    </xf>
    <xf numFmtId="41" fontId="4" fillId="0" borderId="0"/>
    <xf numFmtId="41" fontId="5" fillId="0" borderId="0">
      <alignment vertical="center"/>
    </xf>
    <xf numFmtId="41" fontId="91" fillId="0" borderId="0">
      <alignment vertical="center"/>
    </xf>
    <xf numFmtId="222" fontId="4" fillId="0" borderId="0"/>
    <xf numFmtId="186" fontId="4" fillId="0" borderId="0">
      <protection locked="0"/>
    </xf>
    <xf numFmtId="4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223" fontId="4" fillId="0" borderId="0">
      <alignment vertical="center"/>
    </xf>
    <xf numFmtId="41" fontId="4" fillId="0" borderId="0"/>
    <xf numFmtId="225" fontId="4" fillId="0" borderId="0">
      <alignment vertical="center"/>
    </xf>
    <xf numFmtId="40" fontId="4" fillId="0" borderId="0">
      <alignment vertical="center"/>
    </xf>
    <xf numFmtId="186" fontId="4" fillId="0" borderId="0">
      <protection locked="0"/>
    </xf>
    <xf numFmtId="4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42" fontId="4" fillId="0" borderId="0"/>
    <xf numFmtId="42" fontId="4" fillId="0" borderId="0"/>
    <xf numFmtId="186" fontId="4" fillId="0" borderId="0">
      <protection locked="0"/>
    </xf>
    <xf numFmtId="4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86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41" fontId="144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</cellStyleXfs>
  <cellXfs count="551">
    <xf numFmtId="0" fontId="0" fillId="0" borderId="0" xfId="0"/>
    <xf numFmtId="0" fontId="92" fillId="0" borderId="53" xfId="0" applyFont="1" applyBorder="1" applyAlignment="1">
      <alignment vertical="center"/>
    </xf>
    <xf numFmtId="0" fontId="92" fillId="0" borderId="54" xfId="0" applyFont="1" applyBorder="1" applyAlignment="1">
      <alignment vertical="center"/>
    </xf>
    <xf numFmtId="0" fontId="92" fillId="0" borderId="55" xfId="0" applyFont="1" applyBorder="1" applyAlignment="1">
      <alignment vertical="center"/>
    </xf>
    <xf numFmtId="0" fontId="92" fillId="0" borderId="0" xfId="0" applyFont="1" applyAlignment="1">
      <alignment vertical="center"/>
    </xf>
    <xf numFmtId="0" fontId="94" fillId="0" borderId="57" xfId="0" applyFont="1" applyBorder="1" applyAlignment="1">
      <alignment vertical="center"/>
    </xf>
    <xf numFmtId="0" fontId="94" fillId="0" borderId="0" xfId="0" applyFont="1" applyAlignment="1">
      <alignment vertical="center"/>
    </xf>
    <xf numFmtId="0" fontId="96" fillId="0" borderId="56" xfId="0" applyFont="1" applyBorder="1" applyAlignment="1">
      <alignment horizontal="center" vertical="top"/>
    </xf>
    <xf numFmtId="0" fontId="96" fillId="0" borderId="0" xfId="0" applyFont="1" applyAlignment="1">
      <alignment horizontal="center" vertical="top"/>
    </xf>
    <xf numFmtId="0" fontId="98" fillId="0" borderId="57" xfId="0" applyFont="1" applyBorder="1" applyAlignment="1">
      <alignment vertical="center"/>
    </xf>
    <xf numFmtId="0" fontId="94" fillId="0" borderId="56" xfId="0" applyFont="1" applyBorder="1" applyAlignment="1">
      <alignment vertical="center"/>
    </xf>
    <xf numFmtId="0" fontId="102" fillId="0" borderId="56" xfId="0" applyFont="1" applyBorder="1" applyAlignment="1">
      <alignment vertical="center"/>
    </xf>
    <xf numFmtId="0" fontId="104" fillId="0" borderId="28" xfId="0" applyFont="1" applyBorder="1" applyAlignment="1">
      <alignment vertical="center" wrapText="1"/>
    </xf>
    <xf numFmtId="0" fontId="103" fillId="32" borderId="42" xfId="0" applyFont="1" applyFill="1" applyBorder="1" applyAlignment="1">
      <alignment vertical="center" wrapText="1"/>
    </xf>
    <xf numFmtId="0" fontId="103" fillId="0" borderId="30" xfId="0" applyFont="1" applyBorder="1" applyAlignment="1">
      <alignment vertical="center" wrapText="1"/>
    </xf>
    <xf numFmtId="0" fontId="108" fillId="0" borderId="57" xfId="0" applyFont="1" applyBorder="1" applyAlignment="1">
      <alignment vertical="center" wrapText="1"/>
    </xf>
    <xf numFmtId="0" fontId="101" fillId="0" borderId="56" xfId="0" applyFont="1" applyBorder="1" applyAlignment="1">
      <alignment vertical="center"/>
    </xf>
    <xf numFmtId="0" fontId="101" fillId="0" borderId="0" xfId="0" applyFont="1" applyAlignment="1">
      <alignment vertical="center"/>
    </xf>
    <xf numFmtId="0" fontId="103" fillId="32" borderId="49" xfId="0" applyFont="1" applyFill="1" applyBorder="1" applyAlignment="1">
      <alignment vertical="center" wrapText="1"/>
    </xf>
    <xf numFmtId="0" fontId="103" fillId="0" borderId="50" xfId="0" applyFont="1" applyBorder="1" applyAlignment="1">
      <alignment vertical="center" wrapText="1"/>
    </xf>
    <xf numFmtId="0" fontId="109" fillId="0" borderId="56" xfId="0" applyFont="1" applyBorder="1" applyAlignment="1">
      <alignment vertical="center"/>
    </xf>
    <xf numFmtId="0" fontId="109" fillId="33" borderId="43" xfId="0" applyFont="1" applyFill="1" applyBorder="1" applyAlignment="1">
      <alignment vertical="center"/>
    </xf>
    <xf numFmtId="0" fontId="109" fillId="0" borderId="57" xfId="0" applyFont="1" applyBorder="1" applyAlignment="1">
      <alignment vertical="center"/>
    </xf>
    <xf numFmtId="0" fontId="109" fillId="0" borderId="0" xfId="0" applyFont="1" applyAlignment="1">
      <alignment vertical="center"/>
    </xf>
    <xf numFmtId="0" fontId="94" fillId="33" borderId="43" xfId="0" applyFont="1" applyFill="1" applyBorder="1" applyAlignment="1">
      <alignment vertical="center"/>
    </xf>
    <xf numFmtId="0" fontId="110" fillId="0" borderId="56" xfId="0" applyFont="1" applyBorder="1" applyAlignment="1">
      <alignment vertical="center"/>
    </xf>
    <xf numFmtId="0" fontId="110" fillId="33" borderId="43" xfId="0" applyFont="1" applyFill="1" applyBorder="1" applyAlignment="1">
      <alignment vertical="center"/>
    </xf>
    <xf numFmtId="0" fontId="110" fillId="0" borderId="57" xfId="0" applyFont="1" applyBorder="1" applyAlignment="1">
      <alignment vertical="center"/>
    </xf>
    <xf numFmtId="0" fontId="110" fillId="0" borderId="0" xfId="0" applyFont="1" applyAlignment="1">
      <alignment vertical="center"/>
    </xf>
    <xf numFmtId="0" fontId="114" fillId="0" borderId="56" xfId="0" applyFont="1" applyBorder="1" applyAlignment="1">
      <alignment vertical="center"/>
    </xf>
    <xf numFmtId="0" fontId="114" fillId="0" borderId="57" xfId="0" applyFont="1" applyBorder="1" applyAlignment="1">
      <alignment vertical="center"/>
    </xf>
    <xf numFmtId="0" fontId="114" fillId="0" borderId="0" xfId="0" applyFont="1" applyAlignment="1">
      <alignment vertical="center"/>
    </xf>
    <xf numFmtId="0" fontId="114" fillId="0" borderId="58" xfId="0" applyFont="1" applyBorder="1" applyAlignment="1">
      <alignment vertical="center"/>
    </xf>
    <xf numFmtId="0" fontId="114" fillId="0" borderId="59" xfId="0" applyFont="1" applyBorder="1" applyAlignment="1">
      <alignment vertical="center"/>
    </xf>
    <xf numFmtId="0" fontId="114" fillId="0" borderId="60" xfId="0" applyFont="1" applyBorder="1" applyAlignment="1">
      <alignment vertical="center"/>
    </xf>
    <xf numFmtId="0" fontId="92" fillId="0" borderId="0" xfId="0" applyFont="1"/>
    <xf numFmtId="0" fontId="118" fillId="0" borderId="0" xfId="0" applyFont="1"/>
    <xf numFmtId="0" fontId="115" fillId="0" borderId="0" xfId="0" applyFont="1" applyAlignment="1">
      <alignment horizontal="center" vertical="center"/>
    </xf>
    <xf numFmtId="0" fontId="120" fillId="0" borderId="0" xfId="0" applyFont="1" applyAlignment="1">
      <alignment vertical="center"/>
    </xf>
    <xf numFmtId="0" fontId="120" fillId="28" borderId="34" xfId="0" applyFont="1" applyFill="1" applyBorder="1" applyAlignment="1">
      <alignment horizontal="center" vertical="center"/>
    </xf>
    <xf numFmtId="0" fontId="120" fillId="28" borderId="33" xfId="0" applyFont="1" applyFill="1" applyBorder="1" applyAlignment="1">
      <alignment horizontal="center" vertical="center" wrapText="1"/>
    </xf>
    <xf numFmtId="0" fontId="120" fillId="28" borderId="35" xfId="0" applyFont="1" applyFill="1" applyBorder="1" applyAlignment="1">
      <alignment horizontal="center" vertical="center" wrapText="1"/>
    </xf>
    <xf numFmtId="0" fontId="120" fillId="28" borderId="36" xfId="0" applyFont="1" applyFill="1" applyBorder="1" applyAlignment="1">
      <alignment horizontal="center" vertical="center"/>
    </xf>
    <xf numFmtId="0" fontId="120" fillId="28" borderId="35" xfId="0" applyFont="1" applyFill="1" applyBorder="1" applyAlignment="1">
      <alignment horizontal="center" vertical="center"/>
    </xf>
    <xf numFmtId="0" fontId="120" fillId="28" borderId="34" xfId="0" applyFont="1" applyFill="1" applyBorder="1" applyAlignment="1">
      <alignment horizontal="right" vertical="center"/>
    </xf>
    <xf numFmtId="0" fontId="118" fillId="28" borderId="31" xfId="0" applyFont="1" applyFill="1" applyBorder="1" applyAlignment="1">
      <alignment horizontal="center" vertical="center"/>
    </xf>
    <xf numFmtId="41" fontId="121" fillId="0" borderId="33" xfId="1267" applyFont="1" applyBorder="1" applyAlignment="1">
      <alignment vertical="center"/>
    </xf>
    <xf numFmtId="41" fontId="121" fillId="0" borderId="31" xfId="1267" applyFont="1" applyBorder="1" applyAlignment="1">
      <alignment vertical="center"/>
    </xf>
    <xf numFmtId="0" fontId="121" fillId="28" borderId="33" xfId="0" applyFont="1" applyFill="1" applyBorder="1" applyAlignment="1">
      <alignment horizontal="center" vertical="center"/>
    </xf>
    <xf numFmtId="176" fontId="121" fillId="0" borderId="33" xfId="1235" applyNumberFormat="1" applyFont="1" applyBorder="1" applyAlignment="1">
      <alignment horizontal="center" vertical="center"/>
    </xf>
    <xf numFmtId="177" fontId="121" fillId="0" borderId="31" xfId="0" applyNumberFormat="1" applyFont="1" applyBorder="1" applyAlignment="1">
      <alignment horizontal="right" vertical="center"/>
    </xf>
    <xf numFmtId="177" fontId="117" fillId="29" borderId="31" xfId="0" applyNumberFormat="1" applyFont="1" applyFill="1" applyBorder="1" applyAlignment="1">
      <alignment vertical="center"/>
    </xf>
    <xf numFmtId="0" fontId="120" fillId="0" borderId="34" xfId="0" applyFont="1" applyBorder="1" applyAlignment="1">
      <alignment vertical="center"/>
    </xf>
    <xf numFmtId="0" fontId="120" fillId="0" borderId="34" xfId="0" applyFont="1" applyBorder="1" applyAlignment="1">
      <alignment horizontal="center" vertical="center"/>
    </xf>
    <xf numFmtId="41" fontId="121" fillId="0" borderId="31" xfId="1270" applyFont="1" applyBorder="1" applyAlignment="1">
      <alignment vertical="center"/>
    </xf>
    <xf numFmtId="0" fontId="118" fillId="28" borderId="33" xfId="0" applyFont="1" applyFill="1" applyBorder="1" applyAlignment="1">
      <alignment horizontal="center" vertical="center"/>
    </xf>
    <xf numFmtId="41" fontId="121" fillId="0" borderId="33" xfId="1270" applyFont="1" applyBorder="1" applyAlignment="1">
      <alignment vertical="center"/>
    </xf>
    <xf numFmtId="0" fontId="117" fillId="0" borderId="34" xfId="0" applyFont="1" applyBorder="1" applyAlignment="1">
      <alignment horizontal="right" vertical="center"/>
    </xf>
    <xf numFmtId="0" fontId="117" fillId="0" borderId="34" xfId="0" applyFont="1" applyBorder="1" applyAlignment="1">
      <alignment horizontal="left" vertical="center"/>
    </xf>
    <xf numFmtId="0" fontId="122" fillId="0" borderId="34" xfId="0" applyFont="1" applyBorder="1" applyAlignment="1">
      <alignment vertical="center"/>
    </xf>
    <xf numFmtId="0" fontId="97" fillId="0" borderId="0" xfId="0" applyFont="1" applyAlignment="1">
      <alignment horizontal="right"/>
    </xf>
    <xf numFmtId="0" fontId="103" fillId="0" borderId="45" xfId="0" applyFont="1" applyBorder="1" applyAlignment="1">
      <alignment horizontal="center" vertical="center"/>
    </xf>
    <xf numFmtId="0" fontId="103" fillId="0" borderId="34" xfId="0" applyFont="1" applyBorder="1" applyAlignment="1">
      <alignment horizontal="center" vertical="center"/>
    </xf>
    <xf numFmtId="0" fontId="120" fillId="28" borderId="33" xfId="0" applyFont="1" applyFill="1" applyBorder="1" applyAlignment="1">
      <alignment vertical="center"/>
    </xf>
    <xf numFmtId="0" fontId="103" fillId="0" borderId="40" xfId="0" applyFont="1" applyBorder="1" applyAlignment="1">
      <alignment vertical="center" wrapText="1"/>
    </xf>
    <xf numFmtId="31" fontId="103" fillId="0" borderId="30" xfId="0" applyNumberFormat="1" applyFont="1" applyBorder="1" applyAlignment="1">
      <alignment vertical="center"/>
    </xf>
    <xf numFmtId="0" fontId="103" fillId="0" borderId="30" xfId="0" applyFont="1" applyBorder="1" applyAlignment="1">
      <alignment vertical="center"/>
    </xf>
    <xf numFmtId="0" fontId="103" fillId="0" borderId="40" xfId="0" applyFont="1" applyBorder="1" applyAlignment="1">
      <alignment vertical="center"/>
    </xf>
    <xf numFmtId="177" fontId="120" fillId="0" borderId="31" xfId="0" applyNumberFormat="1" applyFont="1" applyBorder="1" applyAlignment="1">
      <alignment horizontal="right" vertical="center"/>
    </xf>
    <xf numFmtId="178" fontId="125" fillId="31" borderId="34" xfId="0" applyNumberFormat="1" applyFont="1" applyFill="1" applyBorder="1" applyAlignment="1">
      <alignment horizontal="right" vertical="center" shrinkToFit="1"/>
    </xf>
    <xf numFmtId="177" fontId="125" fillId="31" borderId="33" xfId="0" applyNumberFormat="1" applyFont="1" applyFill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41" fontId="16" fillId="0" borderId="0" xfId="1267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30" fillId="36" borderId="0" xfId="0" applyFont="1" applyFill="1" applyAlignment="1">
      <alignment horizontal="left" vertical="center" indent="1"/>
    </xf>
    <xf numFmtId="0" fontId="118" fillId="28" borderId="33" xfId="0" applyFont="1" applyFill="1" applyBorder="1" applyAlignment="1">
      <alignment horizontal="left" vertical="center"/>
    </xf>
    <xf numFmtId="0" fontId="120" fillId="37" borderId="34" xfId="0" applyFont="1" applyFill="1" applyBorder="1" applyAlignment="1">
      <alignment horizontal="center" vertical="center"/>
    </xf>
    <xf numFmtId="0" fontId="120" fillId="37" borderId="33" xfId="0" applyFont="1" applyFill="1" applyBorder="1" applyAlignment="1">
      <alignment horizontal="center" vertical="center" wrapText="1"/>
    </xf>
    <xf numFmtId="0" fontId="120" fillId="37" borderId="35" xfId="0" applyFont="1" applyFill="1" applyBorder="1" applyAlignment="1">
      <alignment horizontal="center" vertical="center" wrapText="1"/>
    </xf>
    <xf numFmtId="0" fontId="120" fillId="37" borderId="35" xfId="0" applyFont="1" applyFill="1" applyBorder="1" applyAlignment="1">
      <alignment horizontal="center" vertical="center"/>
    </xf>
    <xf numFmtId="0" fontId="120" fillId="37" borderId="34" xfId="0" applyFont="1" applyFill="1" applyBorder="1" applyAlignment="1">
      <alignment horizontal="right" vertical="center"/>
    </xf>
    <xf numFmtId="0" fontId="120" fillId="37" borderId="33" xfId="0" applyFont="1" applyFill="1" applyBorder="1" applyAlignment="1">
      <alignment vertical="center"/>
    </xf>
    <xf numFmtId="0" fontId="122" fillId="37" borderId="31" xfId="0" applyFont="1" applyFill="1" applyBorder="1" applyAlignment="1">
      <alignment vertical="center"/>
    </xf>
    <xf numFmtId="0" fontId="121" fillId="37" borderId="34" xfId="0" applyFont="1" applyFill="1" applyBorder="1" applyAlignment="1">
      <alignment vertical="center"/>
    </xf>
    <xf numFmtId="0" fontId="121" fillId="37" borderId="33" xfId="0" applyFont="1" applyFill="1" applyBorder="1" applyAlignment="1">
      <alignment vertical="center"/>
    </xf>
    <xf numFmtId="0" fontId="121" fillId="37" borderId="31" xfId="0" applyFont="1" applyFill="1" applyBorder="1" applyAlignment="1">
      <alignment horizontal="center" vertical="center"/>
    </xf>
    <xf numFmtId="0" fontId="118" fillId="37" borderId="34" xfId="0" applyFont="1" applyFill="1" applyBorder="1" applyAlignment="1">
      <alignment vertical="center"/>
    </xf>
    <xf numFmtId="0" fontId="118" fillId="37" borderId="33" xfId="0" applyFont="1" applyFill="1" applyBorder="1" applyAlignment="1">
      <alignment vertical="center"/>
    </xf>
    <xf numFmtId="0" fontId="117" fillId="37" borderId="34" xfId="0" applyFont="1" applyFill="1" applyBorder="1" applyAlignment="1">
      <alignment horizontal="right" vertical="center"/>
    </xf>
    <xf numFmtId="0" fontId="117" fillId="37" borderId="33" xfId="0" applyFont="1" applyFill="1" applyBorder="1" applyAlignment="1">
      <alignment horizontal="left" vertical="center"/>
    </xf>
    <xf numFmtId="0" fontId="117" fillId="37" borderId="34" xfId="0" applyFont="1" applyFill="1" applyBorder="1" applyAlignment="1">
      <alignment horizontal="left" vertical="center"/>
    </xf>
    <xf numFmtId="0" fontId="120" fillId="37" borderId="39" xfId="0" applyFont="1" applyFill="1" applyBorder="1" applyAlignment="1">
      <alignment horizontal="right" vertical="center"/>
    </xf>
    <xf numFmtId="0" fontId="120" fillId="37" borderId="39" xfId="0" applyFont="1" applyFill="1" applyBorder="1" applyAlignment="1">
      <alignment horizontal="left" vertical="center"/>
    </xf>
    <xf numFmtId="0" fontId="122" fillId="37" borderId="39" xfId="0" applyFont="1" applyFill="1" applyBorder="1" applyAlignment="1">
      <alignment vertical="center"/>
    </xf>
    <xf numFmtId="0" fontId="122" fillId="37" borderId="37" xfId="0" applyFont="1" applyFill="1" applyBorder="1" applyAlignment="1">
      <alignment vertical="center"/>
    </xf>
    <xf numFmtId="177" fontId="120" fillId="37" borderId="38" xfId="0" applyNumberFormat="1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7" fillId="0" borderId="56" xfId="0" applyFont="1" applyBorder="1" applyAlignment="1">
      <alignment horizontal="left" vertical="center"/>
    </xf>
    <xf numFmtId="0" fontId="117" fillId="0" borderId="0" xfId="0" applyFont="1" applyAlignment="1">
      <alignment horizontal="left" vertical="center"/>
    </xf>
    <xf numFmtId="0" fontId="118" fillId="0" borderId="57" xfId="0" applyFont="1" applyBorder="1" applyAlignment="1">
      <alignment horizontal="center" vertical="center"/>
    </xf>
    <xf numFmtId="0" fontId="118" fillId="0" borderId="56" xfId="0" applyFont="1" applyBorder="1" applyAlignment="1">
      <alignment horizontal="left" vertical="center" indent="1"/>
    </xf>
    <xf numFmtId="0" fontId="118" fillId="0" borderId="0" xfId="0" applyFont="1" applyAlignment="1">
      <alignment horizontal="left" vertical="center" indent="1"/>
    </xf>
    <xf numFmtId="0" fontId="118" fillId="0" borderId="56" xfId="0" applyFont="1" applyBorder="1" applyAlignment="1">
      <alignment horizontal="left"/>
    </xf>
    <xf numFmtId="0" fontId="118" fillId="0" borderId="0" xfId="0" applyFont="1" applyAlignment="1">
      <alignment horizontal="left" vertical="center"/>
    </xf>
    <xf numFmtId="0" fontId="117" fillId="0" borderId="56" xfId="0" applyFont="1" applyBorder="1" applyAlignment="1">
      <alignment vertical="center"/>
    </xf>
    <xf numFmtId="0" fontId="117" fillId="0" borderId="57" xfId="0" applyFont="1" applyBorder="1" applyAlignment="1">
      <alignment vertical="center"/>
    </xf>
    <xf numFmtId="0" fontId="118" fillId="0" borderId="56" xfId="0" applyFont="1" applyBorder="1" applyAlignment="1">
      <alignment vertical="center"/>
    </xf>
    <xf numFmtId="0" fontId="118" fillId="0" borderId="57" xfId="0" applyFont="1" applyBorder="1" applyAlignment="1">
      <alignment vertical="center" wrapText="1"/>
    </xf>
    <xf numFmtId="0" fontId="118" fillId="0" borderId="57" xfId="0" applyFont="1" applyBorder="1" applyAlignment="1">
      <alignment vertical="center"/>
    </xf>
    <xf numFmtId="0" fontId="92" fillId="0" borderId="58" xfId="0" applyFont="1" applyBorder="1"/>
    <xf numFmtId="0" fontId="92" fillId="0" borderId="59" xfId="0" applyFont="1" applyBorder="1"/>
    <xf numFmtId="0" fontId="92" fillId="0" borderId="60" xfId="0" applyFont="1" applyBorder="1"/>
    <xf numFmtId="0" fontId="117" fillId="0" borderId="0" xfId="0" applyFont="1" applyAlignment="1">
      <alignment horizontal="center" vertical="center"/>
    </xf>
    <xf numFmtId="180" fontId="118" fillId="0" borderId="31" xfId="1267" applyNumberFormat="1" applyFont="1" applyBorder="1" applyAlignment="1">
      <alignment horizontal="center" vertical="center"/>
    </xf>
    <xf numFmtId="0" fontId="120" fillId="34" borderId="33" xfId="0" applyFont="1" applyFill="1" applyBorder="1" applyAlignment="1">
      <alignment horizontal="center" vertical="center" wrapText="1"/>
    </xf>
    <xf numFmtId="0" fontId="120" fillId="34" borderId="35" xfId="0" applyFont="1" applyFill="1" applyBorder="1" applyAlignment="1">
      <alignment horizontal="center" vertical="center" wrapText="1"/>
    </xf>
    <xf numFmtId="0" fontId="120" fillId="34" borderId="35" xfId="0" applyFont="1" applyFill="1" applyBorder="1" applyAlignment="1">
      <alignment horizontal="center" vertical="center"/>
    </xf>
    <xf numFmtId="0" fontId="120" fillId="34" borderId="34" xfId="0" applyFont="1" applyFill="1" applyBorder="1" applyAlignment="1">
      <alignment horizontal="right" vertical="center"/>
    </xf>
    <xf numFmtId="0" fontId="120" fillId="34" borderId="33" xfId="0" applyFont="1" applyFill="1" applyBorder="1" applyAlignment="1">
      <alignment vertical="center"/>
    </xf>
    <xf numFmtId="0" fontId="122" fillId="34" borderId="31" xfId="0" applyFont="1" applyFill="1" applyBorder="1" applyAlignment="1">
      <alignment vertical="center"/>
    </xf>
    <xf numFmtId="0" fontId="121" fillId="34" borderId="34" xfId="0" applyFont="1" applyFill="1" applyBorder="1" applyAlignment="1">
      <alignment vertical="center"/>
    </xf>
    <xf numFmtId="0" fontId="121" fillId="34" borderId="33" xfId="0" applyFont="1" applyFill="1" applyBorder="1" applyAlignment="1">
      <alignment vertical="center"/>
    </xf>
    <xf numFmtId="0" fontId="121" fillId="34" borderId="31" xfId="0" applyFont="1" applyFill="1" applyBorder="1" applyAlignment="1">
      <alignment horizontal="center" vertical="center"/>
    </xf>
    <xf numFmtId="0" fontId="118" fillId="34" borderId="34" xfId="0" applyFont="1" applyFill="1" applyBorder="1" applyAlignment="1">
      <alignment vertical="center"/>
    </xf>
    <xf numFmtId="0" fontId="118" fillId="34" borderId="33" xfId="0" applyFont="1" applyFill="1" applyBorder="1" applyAlignment="1">
      <alignment vertical="center"/>
    </xf>
    <xf numFmtId="0" fontId="117" fillId="34" borderId="34" xfId="0" applyFont="1" applyFill="1" applyBorder="1" applyAlignment="1">
      <alignment horizontal="right" vertical="center"/>
    </xf>
    <xf numFmtId="0" fontId="117" fillId="34" borderId="33" xfId="0" applyFont="1" applyFill="1" applyBorder="1" applyAlignment="1">
      <alignment horizontal="left" vertical="center"/>
    </xf>
    <xf numFmtId="0" fontId="117" fillId="34" borderId="34" xfId="0" applyFont="1" applyFill="1" applyBorder="1" applyAlignment="1">
      <alignment horizontal="left" vertical="center"/>
    </xf>
    <xf numFmtId="0" fontId="120" fillId="34" borderId="39" xfId="0" applyFont="1" applyFill="1" applyBorder="1" applyAlignment="1">
      <alignment horizontal="right" vertical="center"/>
    </xf>
    <xf numFmtId="0" fontId="120" fillId="34" borderId="39" xfId="0" applyFont="1" applyFill="1" applyBorder="1" applyAlignment="1">
      <alignment horizontal="left" vertical="center"/>
    </xf>
    <xf numFmtId="0" fontId="122" fillId="34" borderId="39" xfId="0" applyFont="1" applyFill="1" applyBorder="1" applyAlignment="1">
      <alignment vertical="center"/>
    </xf>
    <xf numFmtId="0" fontId="122" fillId="34" borderId="37" xfId="0" applyFont="1" applyFill="1" applyBorder="1" applyAlignment="1">
      <alignment vertical="center"/>
    </xf>
    <xf numFmtId="177" fontId="120" fillId="34" borderId="38" xfId="0" applyNumberFormat="1" applyFont="1" applyFill="1" applyBorder="1" applyAlignment="1">
      <alignment vertical="center"/>
    </xf>
    <xf numFmtId="0" fontId="120" fillId="34" borderId="34" xfId="0" applyFont="1" applyFill="1" applyBorder="1" applyAlignment="1">
      <alignment horizontal="center" vertical="center"/>
    </xf>
    <xf numFmtId="0" fontId="133" fillId="0" borderId="110" xfId="0" applyFont="1" applyBorder="1" applyAlignment="1">
      <alignment horizontal="center" vertical="center" wrapText="1"/>
    </xf>
    <xf numFmtId="0" fontId="133" fillId="0" borderId="109" xfId="0" applyFont="1" applyBorder="1" applyAlignment="1">
      <alignment horizontal="center" vertical="center" wrapText="1"/>
    </xf>
    <xf numFmtId="0" fontId="133" fillId="0" borderId="0" xfId="0" applyFont="1" applyAlignment="1">
      <alignment vertical="center"/>
    </xf>
    <xf numFmtId="0" fontId="103" fillId="0" borderId="29" xfId="0" applyFont="1" applyBorder="1" applyAlignment="1">
      <alignment vertical="center"/>
    </xf>
    <xf numFmtId="0" fontId="120" fillId="0" borderId="0" xfId="0" applyFont="1" applyAlignment="1">
      <alignment horizontal="center" vertical="center"/>
    </xf>
    <xf numFmtId="177" fontId="117" fillId="0" borderId="0" xfId="0" applyNumberFormat="1" applyFont="1" applyAlignment="1">
      <alignment vertical="center"/>
    </xf>
    <xf numFmtId="177" fontId="120" fillId="0" borderId="0" xfId="0" applyNumberFormat="1" applyFont="1" applyAlignment="1">
      <alignment vertical="center"/>
    </xf>
    <xf numFmtId="0" fontId="134" fillId="0" borderId="0" xfId="0" applyFont="1" applyAlignment="1">
      <alignment vertical="center"/>
    </xf>
    <xf numFmtId="180" fontId="117" fillId="0" borderId="0" xfId="1267" applyNumberFormat="1" applyFont="1" applyAlignment="1">
      <alignment horizontal="center" vertical="center"/>
    </xf>
    <xf numFmtId="41" fontId="120" fillId="0" borderId="0" xfId="1267" applyFont="1" applyAlignment="1">
      <alignment vertical="center"/>
    </xf>
    <xf numFmtId="180" fontId="120" fillId="0" borderId="0" xfId="0" applyNumberFormat="1" applyFont="1" applyAlignment="1">
      <alignment vertical="center"/>
    </xf>
    <xf numFmtId="41" fontId="120" fillId="0" borderId="0" xfId="1270" applyFont="1" applyAlignment="1">
      <alignment vertical="center"/>
    </xf>
    <xf numFmtId="0" fontId="117" fillId="0" borderId="0" xfId="0" applyFont="1"/>
    <xf numFmtId="0" fontId="135" fillId="0" borderId="0" xfId="0" applyFont="1"/>
    <xf numFmtId="0" fontId="117" fillId="0" borderId="0" xfId="0" applyFont="1" applyAlignment="1">
      <alignment vertical="center" wrapText="1"/>
    </xf>
    <xf numFmtId="179" fontId="117" fillId="0" borderId="0" xfId="0" applyNumberFormat="1" applyFont="1" applyAlignment="1">
      <alignment horizontal="center" vertical="center" wrapText="1"/>
    </xf>
    <xf numFmtId="0" fontId="117" fillId="0" borderId="88" xfId="0" applyFont="1" applyBorder="1" applyAlignment="1">
      <alignment horizontal="center" vertical="center"/>
    </xf>
    <xf numFmtId="0" fontId="117" fillId="0" borderId="88" xfId="0" applyFont="1" applyBorder="1" applyAlignment="1">
      <alignment horizontal="center" vertical="center" wrapText="1"/>
    </xf>
    <xf numFmtId="41" fontId="120" fillId="0" borderId="29" xfId="1267" applyFont="1" applyBorder="1" applyAlignment="1">
      <alignment vertical="center"/>
    </xf>
    <xf numFmtId="41" fontId="120" fillId="0" borderId="81" xfId="1270" applyFont="1" applyBorder="1" applyAlignment="1">
      <alignment vertical="center"/>
    </xf>
    <xf numFmtId="0" fontId="135" fillId="0" borderId="81" xfId="0" applyFont="1" applyBorder="1"/>
    <xf numFmtId="0" fontId="120" fillId="0" borderId="86" xfId="0" applyFont="1" applyBorder="1" applyAlignment="1">
      <alignment vertical="center"/>
    </xf>
    <xf numFmtId="0" fontId="120" fillId="0" borderId="28" xfId="0" applyFont="1" applyBorder="1" applyAlignment="1">
      <alignment vertical="center"/>
    </xf>
    <xf numFmtId="176" fontId="120" fillId="0" borderId="28" xfId="1235" applyNumberFormat="1" applyFont="1" applyBorder="1" applyAlignment="1">
      <alignment horizontal="center" vertical="center"/>
    </xf>
    <xf numFmtId="177" fontId="120" fillId="0" borderId="28" xfId="0" applyNumberFormat="1" applyFont="1" applyBorder="1" applyAlignment="1">
      <alignment horizontal="right" vertical="center"/>
    </xf>
    <xf numFmtId="177" fontId="120" fillId="0" borderId="28" xfId="0" applyNumberFormat="1" applyFont="1" applyBorder="1" applyAlignment="1">
      <alignment vertical="center"/>
    </xf>
    <xf numFmtId="177" fontId="120" fillId="0" borderId="87" xfId="0" applyNumberFormat="1" applyFont="1" applyBorder="1" applyAlignment="1">
      <alignment vertical="center"/>
    </xf>
    <xf numFmtId="177" fontId="120" fillId="0" borderId="85" xfId="0" applyNumberFormat="1" applyFont="1" applyBorder="1" applyAlignment="1">
      <alignment horizontal="right" vertical="center"/>
    </xf>
    <xf numFmtId="0" fontId="120" fillId="0" borderId="85" xfId="0" applyFont="1" applyBorder="1" applyAlignment="1">
      <alignment horizontal="center" vertical="center"/>
    </xf>
    <xf numFmtId="0" fontId="117" fillId="0" borderId="85" xfId="0" applyFont="1" applyBorder="1"/>
    <xf numFmtId="0" fontId="117" fillId="0" borderId="86" xfId="0" applyFont="1" applyBorder="1" applyAlignment="1">
      <alignment horizontal="center" vertical="center"/>
    </xf>
    <xf numFmtId="0" fontId="117" fillId="0" borderId="86" xfId="0" applyFont="1" applyBorder="1"/>
    <xf numFmtId="0" fontId="117" fillId="0" borderId="89" xfId="0" applyFont="1" applyBorder="1"/>
    <xf numFmtId="0" fontId="117" fillId="0" borderId="88" xfId="0" applyFont="1" applyBorder="1"/>
    <xf numFmtId="0" fontId="118" fillId="0" borderId="88" xfId="0" applyFont="1" applyBorder="1"/>
    <xf numFmtId="0" fontId="120" fillId="0" borderId="56" xfId="0" applyFont="1" applyBorder="1" applyAlignment="1">
      <alignment horizontal="center" vertical="center"/>
    </xf>
    <xf numFmtId="0" fontId="117" fillId="0" borderId="57" xfId="0" applyFont="1" applyBorder="1"/>
    <xf numFmtId="0" fontId="120" fillId="0" borderId="56" xfId="0" applyFont="1" applyBorder="1" applyAlignment="1">
      <alignment vertical="center"/>
    </xf>
    <xf numFmtId="0" fontId="120" fillId="0" borderId="56" xfId="0" applyFont="1" applyBorder="1" applyAlignment="1">
      <alignment horizontal="right" vertical="center"/>
    </xf>
    <xf numFmtId="0" fontId="135" fillId="0" borderId="57" xfId="0" applyFont="1" applyBorder="1"/>
    <xf numFmtId="0" fontId="117" fillId="0" borderId="56" xfId="0" applyFont="1" applyBorder="1" applyAlignment="1">
      <alignment horizontal="right" vertical="center"/>
    </xf>
    <xf numFmtId="0" fontId="117" fillId="0" borderId="56" xfId="0" applyFont="1" applyBorder="1" applyAlignment="1">
      <alignment horizontal="left" vertical="center" indent="1"/>
    </xf>
    <xf numFmtId="0" fontId="117" fillId="0" borderId="56" xfId="0" applyFont="1" applyBorder="1" applyAlignment="1">
      <alignment horizontal="left"/>
    </xf>
    <xf numFmtId="0" fontId="117" fillId="0" borderId="56" xfId="0" applyFont="1" applyBorder="1"/>
    <xf numFmtId="0" fontId="118" fillId="0" borderId="56" xfId="0" applyFont="1" applyBorder="1"/>
    <xf numFmtId="0" fontId="118" fillId="0" borderId="57" xfId="0" applyFont="1" applyBorder="1"/>
    <xf numFmtId="0" fontId="138" fillId="0" borderId="59" xfId="0" applyFont="1" applyBorder="1" applyAlignment="1">
      <alignment vertical="center"/>
    </xf>
    <xf numFmtId="0" fontId="137" fillId="0" borderId="0" xfId="0" applyFont="1" applyAlignment="1">
      <alignment horizontal="center" vertical="center"/>
    </xf>
    <xf numFmtId="0" fontId="138" fillId="0" borderId="0" xfId="0" applyFont="1" applyAlignment="1">
      <alignment vertical="center"/>
    </xf>
    <xf numFmtId="0" fontId="137" fillId="0" borderId="28" xfId="0" applyFont="1" applyBorder="1" applyAlignment="1">
      <alignment vertical="center"/>
    </xf>
    <xf numFmtId="0" fontId="140" fillId="36" borderId="0" xfId="0" applyFont="1" applyFill="1" applyAlignment="1">
      <alignment horizontal="left" vertical="center" indent="1"/>
    </xf>
    <xf numFmtId="0" fontId="139" fillId="36" borderId="0" xfId="0" applyFont="1" applyFill="1" applyAlignment="1">
      <alignment horizontal="right" vertical="center" indent="2"/>
    </xf>
    <xf numFmtId="0" fontId="141" fillId="36" borderId="0" xfId="0" applyFont="1" applyFill="1" applyAlignment="1">
      <alignment horizontal="left" vertical="center" indent="1"/>
    </xf>
    <xf numFmtId="41" fontId="136" fillId="0" borderId="0" xfId="1267" applyFont="1" applyAlignment="1">
      <alignment vertical="center"/>
    </xf>
    <xf numFmtId="0" fontId="135" fillId="0" borderId="87" xfId="0" applyFont="1" applyBorder="1"/>
    <xf numFmtId="179" fontId="133" fillId="0" borderId="110" xfId="0" applyNumberFormat="1" applyFont="1" applyBorder="1" applyAlignment="1">
      <alignment horizontal="center" vertical="center" wrapText="1"/>
    </xf>
    <xf numFmtId="179" fontId="133" fillId="0" borderId="109" xfId="0" applyNumberFormat="1" applyFont="1" applyBorder="1" applyAlignment="1">
      <alignment horizontal="center" vertical="center" wrapText="1"/>
    </xf>
    <xf numFmtId="0" fontId="142" fillId="32" borderId="31" xfId="0" applyFont="1" applyFill="1" applyBorder="1" applyAlignment="1">
      <alignment horizontal="center" vertical="center"/>
    </xf>
    <xf numFmtId="0" fontId="133" fillId="0" borderId="123" xfId="0" applyFont="1" applyBorder="1" applyAlignment="1">
      <alignment horizontal="center" vertical="center" wrapText="1"/>
    </xf>
    <xf numFmtId="179" fontId="133" fillId="0" borderId="123" xfId="0" applyNumberFormat="1" applyFont="1" applyBorder="1" applyAlignment="1">
      <alignment horizontal="center" vertical="center" wrapText="1"/>
    </xf>
    <xf numFmtId="0" fontId="143" fillId="0" borderId="0" xfId="0" applyFont="1"/>
    <xf numFmtId="0" fontId="146" fillId="0" borderId="0" xfId="0" applyFont="1" applyAlignment="1">
      <alignment horizontal="center" vertical="center"/>
    </xf>
    <xf numFmtId="0" fontId="147" fillId="0" borderId="0" xfId="0" applyFont="1" applyAlignment="1">
      <alignment vertical="center"/>
    </xf>
    <xf numFmtId="0" fontId="147" fillId="35" borderId="2" xfId="0" applyFont="1" applyFill="1" applyBorder="1" applyAlignment="1">
      <alignment horizontal="center" vertical="center"/>
    </xf>
    <xf numFmtId="180" fontId="146" fillId="0" borderId="2" xfId="0" applyNumberFormat="1" applyFont="1" applyBorder="1" applyAlignment="1">
      <alignment horizontal="center" vertical="center"/>
    </xf>
    <xf numFmtId="0" fontId="146" fillId="0" borderId="0" xfId="0" applyFont="1" applyAlignment="1">
      <alignment vertical="center"/>
    </xf>
    <xf numFmtId="180" fontId="147" fillId="0" borderId="2" xfId="0" applyNumberFormat="1" applyFont="1" applyBorder="1" applyAlignment="1">
      <alignment horizontal="center" vertical="center"/>
    </xf>
    <xf numFmtId="0" fontId="147" fillId="35" borderId="131" xfId="0" applyFont="1" applyFill="1" applyBorder="1" applyAlignment="1">
      <alignment horizontal="center" vertical="center"/>
    </xf>
    <xf numFmtId="180" fontId="146" fillId="0" borderId="131" xfId="0" applyNumberFormat="1" applyFont="1" applyBorder="1" applyAlignment="1">
      <alignment horizontal="center" vertical="center"/>
    </xf>
    <xf numFmtId="180" fontId="147" fillId="0" borderId="131" xfId="0" applyNumberFormat="1" applyFont="1" applyBorder="1" applyAlignment="1">
      <alignment horizontal="center" vertical="center"/>
    </xf>
    <xf numFmtId="0" fontId="147" fillId="35" borderId="126" xfId="0" applyFont="1" applyFill="1" applyBorder="1" applyAlignment="1">
      <alignment horizontal="center" vertical="center"/>
    </xf>
    <xf numFmtId="0" fontId="147" fillId="27" borderId="124" xfId="0" applyFont="1" applyFill="1" applyBorder="1" applyAlignment="1">
      <alignment horizontal="center" vertical="center"/>
    </xf>
    <xf numFmtId="180" fontId="147" fillId="27" borderId="125" xfId="0" applyNumberFormat="1" applyFont="1" applyFill="1" applyBorder="1" applyAlignment="1">
      <alignment horizontal="center" vertical="center"/>
    </xf>
    <xf numFmtId="180" fontId="147" fillId="27" borderId="133" xfId="0" applyNumberFormat="1" applyFont="1" applyFill="1" applyBorder="1" applyAlignment="1">
      <alignment horizontal="center" vertical="center"/>
    </xf>
    <xf numFmtId="181" fontId="16" fillId="0" borderId="0" xfId="1267" applyNumberFormat="1" applyFont="1" applyAlignment="1">
      <alignment horizontal="center" vertical="center"/>
    </xf>
    <xf numFmtId="0" fontId="103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3" fillId="0" borderId="0" xfId="0" applyFont="1" applyAlignment="1">
      <alignment horizontal="center" vertical="center"/>
    </xf>
    <xf numFmtId="0" fontId="106" fillId="0" borderId="0" xfId="0" applyFont="1" applyAlignment="1">
      <alignment vertical="center"/>
    </xf>
    <xf numFmtId="31" fontId="103" fillId="0" borderId="0" xfId="0" applyNumberFormat="1" applyFont="1" applyAlignment="1">
      <alignment vertical="center"/>
    </xf>
    <xf numFmtId="0" fontId="94" fillId="33" borderId="0" xfId="0" applyFont="1" applyFill="1" applyAlignment="1">
      <alignment vertical="center"/>
    </xf>
    <xf numFmtId="0" fontId="101" fillId="33" borderId="0" xfId="0" applyFont="1" applyFill="1" applyAlignment="1">
      <alignment vertical="center"/>
    </xf>
    <xf numFmtId="0" fontId="108" fillId="0" borderId="0" xfId="0" applyFont="1" applyAlignment="1">
      <alignment vertical="center" wrapText="1"/>
    </xf>
    <xf numFmtId="0" fontId="114" fillId="33" borderId="0" xfId="0" applyFont="1" applyFill="1" applyAlignment="1">
      <alignment vertical="center"/>
    </xf>
    <xf numFmtId="0" fontId="150" fillId="0" borderId="59" xfId="1442" applyFont="1" applyBorder="1">
      <alignment vertical="center"/>
    </xf>
    <xf numFmtId="0" fontId="132" fillId="0" borderId="59" xfId="1442" applyFont="1" applyBorder="1">
      <alignment vertical="center"/>
    </xf>
    <xf numFmtId="0" fontId="149" fillId="0" borderId="59" xfId="1442" applyFont="1" applyBorder="1">
      <alignment vertical="center"/>
    </xf>
    <xf numFmtId="0" fontId="99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0" fontId="152" fillId="0" borderId="0" xfId="0" applyFont="1" applyAlignment="1">
      <alignment horizontal="center" vertical="center" wrapText="1"/>
    </xf>
    <xf numFmtId="41" fontId="152" fillId="0" borderId="0" xfId="1267" applyFont="1" applyAlignment="1">
      <alignment horizontal="center" vertical="center" wrapText="1"/>
    </xf>
    <xf numFmtId="0" fontId="152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/>
    </xf>
    <xf numFmtId="41" fontId="152" fillId="0" borderId="0" xfId="1267" applyFont="1" applyAlignment="1">
      <alignment horizontal="center" vertical="center"/>
    </xf>
    <xf numFmtId="0" fontId="153" fillId="0" borderId="63" xfId="1442" applyFont="1" applyBorder="1" applyAlignment="1">
      <alignment horizontal="left" vertical="center" indent="1"/>
    </xf>
    <xf numFmtId="0" fontId="155" fillId="0" borderId="62" xfId="0" applyFont="1" applyBorder="1" applyAlignment="1">
      <alignment vertical="center"/>
    </xf>
    <xf numFmtId="0" fontId="156" fillId="0" borderId="63" xfId="1442" applyFont="1" applyBorder="1" applyAlignment="1">
      <alignment horizontal="left" vertical="center" indent="1"/>
    </xf>
    <xf numFmtId="0" fontId="153" fillId="0" borderId="0" xfId="1442" applyFont="1">
      <alignment vertical="center"/>
    </xf>
    <xf numFmtId="0" fontId="154" fillId="0" borderId="0" xfId="0" applyFont="1" applyAlignment="1">
      <alignment vertical="center"/>
    </xf>
    <xf numFmtId="0" fontId="153" fillId="0" borderId="0" xfId="0" applyFont="1" applyAlignment="1">
      <alignment vertical="center"/>
    </xf>
    <xf numFmtId="0" fontId="157" fillId="27" borderId="134" xfId="1442" applyFont="1" applyFill="1" applyBorder="1" applyAlignment="1">
      <alignment horizontal="left" vertical="center" indent="1"/>
    </xf>
    <xf numFmtId="0" fontId="158" fillId="27" borderId="135" xfId="1442" applyFont="1" applyFill="1" applyBorder="1">
      <alignment vertical="center"/>
    </xf>
    <xf numFmtId="0" fontId="159" fillId="27" borderId="135" xfId="0" applyFont="1" applyFill="1" applyBorder="1" applyAlignment="1">
      <alignment vertical="center"/>
    </xf>
    <xf numFmtId="0" fontId="159" fillId="27" borderId="136" xfId="0" applyFont="1" applyFill="1" applyBorder="1" applyAlignment="1">
      <alignment vertical="center"/>
    </xf>
    <xf numFmtId="0" fontId="118" fillId="28" borderId="34" xfId="0" applyFont="1" applyFill="1" applyBorder="1" applyAlignment="1">
      <alignment horizontal="left" vertical="center"/>
    </xf>
    <xf numFmtId="0" fontId="118" fillId="37" borderId="31" xfId="0" applyFont="1" applyFill="1" applyBorder="1" applyAlignment="1">
      <alignment horizontal="center" vertical="center"/>
    </xf>
    <xf numFmtId="182" fontId="111" fillId="29" borderId="30" xfId="0" applyNumberFormat="1" applyFont="1" applyFill="1" applyBorder="1" applyAlignment="1">
      <alignment horizontal="center" vertical="center" wrapText="1"/>
    </xf>
    <xf numFmtId="182" fontId="111" fillId="0" borderId="40" xfId="0" applyNumberFormat="1" applyFont="1" applyBorder="1" applyAlignment="1">
      <alignment vertical="center" wrapText="1"/>
    </xf>
    <xf numFmtId="0" fontId="162" fillId="0" borderId="0" xfId="0" applyFont="1"/>
    <xf numFmtId="0" fontId="161" fillId="35" borderId="90" xfId="0" applyFont="1" applyFill="1" applyBorder="1" applyAlignment="1">
      <alignment horizontal="center" vertical="center"/>
    </xf>
    <xf numFmtId="0" fontId="161" fillId="35" borderId="91" xfId="0" applyFont="1" applyFill="1" applyBorder="1" applyAlignment="1">
      <alignment horizontal="center" vertical="center"/>
    </xf>
    <xf numFmtId="0" fontId="161" fillId="35" borderId="92" xfId="0" applyFont="1" applyFill="1" applyBorder="1" applyAlignment="1">
      <alignment horizontal="center" vertical="center"/>
    </xf>
    <xf numFmtId="0" fontId="161" fillId="35" borderId="93" xfId="0" applyFont="1" applyFill="1" applyBorder="1" applyAlignment="1">
      <alignment horizontal="center" vertical="center"/>
    </xf>
    <xf numFmtId="0" fontId="161" fillId="35" borderId="90" xfId="1267" applyNumberFormat="1" applyFont="1" applyFill="1" applyBorder="1" applyAlignment="1">
      <alignment horizontal="center" vertical="center"/>
    </xf>
    <xf numFmtId="0" fontId="161" fillId="35" borderId="94" xfId="1267" applyNumberFormat="1" applyFont="1" applyFill="1" applyBorder="1" applyAlignment="1">
      <alignment horizontal="center" vertical="center"/>
    </xf>
    <xf numFmtId="0" fontId="161" fillId="35" borderId="139" xfId="1267" applyNumberFormat="1" applyFont="1" applyFill="1" applyBorder="1" applyAlignment="1">
      <alignment horizontal="center" vertical="center"/>
    </xf>
    <xf numFmtId="41" fontId="162" fillId="0" borderId="0" xfId="0" applyNumberFormat="1" applyFont="1"/>
    <xf numFmtId="0" fontId="160" fillId="0" borderId="0" xfId="0" applyFont="1" applyAlignment="1">
      <alignment horizontal="left" vertical="center"/>
    </xf>
    <xf numFmtId="41" fontId="160" fillId="0" borderId="0" xfId="1267" applyFont="1" applyAlignment="1">
      <alignment horizontal="center"/>
    </xf>
    <xf numFmtId="0" fontId="160" fillId="0" borderId="0" xfId="0" applyFont="1" applyAlignment="1">
      <alignment horizontal="center"/>
    </xf>
    <xf numFmtId="0" fontId="163" fillId="0" borderId="0" xfId="0" applyFont="1"/>
    <xf numFmtId="41" fontId="163" fillId="0" borderId="0" xfId="0" applyNumberFormat="1" applyFont="1"/>
    <xf numFmtId="0" fontId="164" fillId="0" borderId="102" xfId="0" applyFont="1" applyBorder="1" applyAlignment="1">
      <alignment horizontal="center" vertical="center"/>
    </xf>
    <xf numFmtId="41" fontId="164" fillId="0" borderId="67" xfId="1267" applyFont="1" applyBorder="1" applyAlignment="1">
      <alignment horizontal="center" vertical="center"/>
    </xf>
    <xf numFmtId="2" fontId="164" fillId="0" borderId="103" xfId="0" applyNumberFormat="1" applyFont="1" applyBorder="1" applyAlignment="1">
      <alignment horizontal="center" vertical="center"/>
    </xf>
    <xf numFmtId="41" fontId="164" fillId="0" borderId="102" xfId="1267" applyFont="1" applyBorder="1" applyAlignment="1">
      <alignment horizontal="center" vertical="center"/>
    </xf>
    <xf numFmtId="41" fontId="164" fillId="30" borderId="104" xfId="1267" applyFont="1" applyFill="1" applyBorder="1" applyAlignment="1">
      <alignment horizontal="center" vertical="center"/>
    </xf>
    <xf numFmtId="41" fontId="164" fillId="0" borderId="105" xfId="1267" applyFont="1" applyBorder="1" applyAlignment="1">
      <alignment horizontal="center" vertical="center"/>
    </xf>
    <xf numFmtId="41" fontId="164" fillId="29" borderId="103" xfId="1267" applyFont="1" applyFill="1" applyBorder="1" applyAlignment="1">
      <alignment horizontal="center" vertical="center"/>
    </xf>
    <xf numFmtId="41" fontId="164" fillId="0" borderId="106" xfId="1267" applyFont="1" applyBorder="1" applyAlignment="1">
      <alignment horizontal="center" vertical="center"/>
    </xf>
    <xf numFmtId="41" fontId="164" fillId="0" borderId="103" xfId="1267" applyFont="1" applyBorder="1" applyAlignment="1">
      <alignment horizontal="center" vertical="center"/>
    </xf>
    <xf numFmtId="41" fontId="164" fillId="0" borderId="107" xfId="1267" applyFont="1" applyBorder="1" applyAlignment="1">
      <alignment horizontal="center" vertical="center"/>
    </xf>
    <xf numFmtId="0" fontId="164" fillId="0" borderId="72" xfId="0" applyFont="1" applyBorder="1" applyAlignment="1">
      <alignment horizontal="center" vertical="center"/>
    </xf>
    <xf numFmtId="41" fontId="164" fillId="0" borderId="79" xfId="1267" applyFont="1" applyBorder="1" applyAlignment="1">
      <alignment horizontal="center" vertical="center"/>
    </xf>
    <xf numFmtId="2" fontId="164" fillId="0" borderId="76" xfId="0" applyNumberFormat="1" applyFont="1" applyBorder="1" applyAlignment="1">
      <alignment horizontal="center" vertical="center"/>
    </xf>
    <xf numFmtId="41" fontId="164" fillId="0" borderId="72" xfId="1267" applyFont="1" applyBorder="1" applyAlignment="1">
      <alignment horizontal="center" vertical="center"/>
    </xf>
    <xf numFmtId="41" fontId="164" fillId="30" borderId="73" xfId="1267" applyFont="1" applyFill="1" applyBorder="1" applyAlignment="1">
      <alignment horizontal="center" vertical="center"/>
    </xf>
    <xf numFmtId="41" fontId="164" fillId="0" borderId="77" xfId="1267" applyFont="1" applyBorder="1" applyAlignment="1">
      <alignment horizontal="center" vertical="center"/>
    </xf>
    <xf numFmtId="41" fontId="164" fillId="29" borderId="76" xfId="1267" applyFont="1" applyFill="1" applyBorder="1" applyAlignment="1">
      <alignment horizontal="center" vertical="center"/>
    </xf>
    <xf numFmtId="41" fontId="164" fillId="0" borderId="78" xfId="1267" applyFont="1" applyBorder="1" applyAlignment="1">
      <alignment horizontal="center" vertical="center"/>
    </xf>
    <xf numFmtId="41" fontId="164" fillId="0" borderId="76" xfId="1267" applyFont="1" applyBorder="1" applyAlignment="1">
      <alignment horizontal="center" vertical="center"/>
    </xf>
    <xf numFmtId="41" fontId="164" fillId="0" borderId="83" xfId="1267" applyFont="1" applyBorder="1" applyAlignment="1">
      <alignment horizontal="center" vertical="center"/>
    </xf>
    <xf numFmtId="0" fontId="164" fillId="0" borderId="127" xfId="0" applyFont="1" applyBorder="1" applyAlignment="1">
      <alignment horizontal="center" vertical="center"/>
    </xf>
    <xf numFmtId="41" fontId="164" fillId="0" borderId="5" xfId="1267" applyFont="1" applyBorder="1" applyAlignment="1">
      <alignment horizontal="center" vertical="center"/>
    </xf>
    <xf numFmtId="2" fontId="164" fillId="0" borderId="137" xfId="0" applyNumberFormat="1" applyFont="1" applyBorder="1" applyAlignment="1">
      <alignment horizontal="center" vertical="center"/>
    </xf>
    <xf numFmtId="41" fontId="164" fillId="0" borderId="127" xfId="1267" applyFont="1" applyBorder="1" applyAlignment="1">
      <alignment horizontal="center" vertical="center"/>
    </xf>
    <xf numFmtId="41" fontId="164" fillId="30" borderId="129" xfId="1267" applyFont="1" applyFill="1" applyBorder="1" applyAlignment="1">
      <alignment horizontal="center" vertical="center"/>
    </xf>
    <xf numFmtId="41" fontId="164" fillId="0" borderId="138" xfId="1267" applyFont="1" applyBorder="1" applyAlignment="1">
      <alignment horizontal="center" vertical="center"/>
    </xf>
    <xf numFmtId="41" fontId="164" fillId="29" borderId="137" xfId="1267" applyFont="1" applyFill="1" applyBorder="1" applyAlignment="1">
      <alignment horizontal="center" vertical="center"/>
    </xf>
    <xf numFmtId="41" fontId="164" fillId="0" borderId="128" xfId="1267" applyFont="1" applyBorder="1" applyAlignment="1">
      <alignment horizontal="center" vertical="center"/>
    </xf>
    <xf numFmtId="41" fontId="164" fillId="0" borderId="137" xfId="1267" applyFont="1" applyBorder="1" applyAlignment="1">
      <alignment horizontal="center" vertical="center"/>
    </xf>
    <xf numFmtId="41" fontId="164" fillId="0" borderId="130" xfId="1267" applyFont="1" applyBorder="1" applyAlignment="1">
      <alignment horizontal="center" vertical="center"/>
    </xf>
    <xf numFmtId="0" fontId="164" fillId="0" borderId="96" xfId="0" applyFont="1" applyBorder="1" applyAlignment="1">
      <alignment horizontal="center" vertical="center"/>
    </xf>
    <xf numFmtId="41" fontId="164" fillId="0" borderId="20" xfId="1267" applyFont="1" applyBorder="1" applyAlignment="1">
      <alignment horizontal="center" vertical="center"/>
    </xf>
    <xf numFmtId="2" fontId="164" fillId="0" borderId="97" xfId="0" applyNumberFormat="1" applyFont="1" applyBorder="1" applyAlignment="1">
      <alignment horizontal="center" vertical="center"/>
    </xf>
    <xf numFmtId="41" fontId="164" fillId="0" borderId="96" xfId="1267" applyFont="1" applyBorder="1" applyAlignment="1">
      <alignment horizontal="center" vertical="center"/>
    </xf>
    <xf numFmtId="41" fontId="164" fillId="30" borderId="98" xfId="1267" applyFont="1" applyFill="1" applyBorder="1" applyAlignment="1">
      <alignment horizontal="center" vertical="center"/>
    </xf>
    <xf numFmtId="41" fontId="164" fillId="0" borderId="99" xfId="1267" applyFont="1" applyBorder="1" applyAlignment="1">
      <alignment horizontal="center" vertical="center"/>
    </xf>
    <xf numFmtId="41" fontId="164" fillId="29" borderId="97" xfId="1267" applyFont="1" applyFill="1" applyBorder="1" applyAlignment="1">
      <alignment horizontal="center" vertical="center"/>
    </xf>
    <xf numFmtId="41" fontId="164" fillId="0" borderId="100" xfId="1267" applyFont="1" applyBorder="1" applyAlignment="1">
      <alignment horizontal="center" vertical="center"/>
    </xf>
    <xf numFmtId="41" fontId="164" fillId="0" borderId="97" xfId="1267" applyFont="1" applyBorder="1" applyAlignment="1">
      <alignment horizontal="center" vertical="center"/>
    </xf>
    <xf numFmtId="41" fontId="164" fillId="0" borderId="101" xfId="1267" applyFont="1" applyBorder="1" applyAlignment="1">
      <alignment horizontal="center" vertical="center"/>
    </xf>
    <xf numFmtId="0" fontId="164" fillId="0" borderId="0" xfId="0" applyFont="1"/>
    <xf numFmtId="0" fontId="48" fillId="0" borderId="0" xfId="0" applyFont="1"/>
    <xf numFmtId="0" fontId="164" fillId="0" borderId="0" xfId="0" applyFont="1" applyAlignment="1">
      <alignment horizontal="left" vertical="center"/>
    </xf>
    <xf numFmtId="0" fontId="162" fillId="0" borderId="0" xfId="0" applyFont="1" applyAlignment="1">
      <alignment horizontal="left"/>
    </xf>
    <xf numFmtId="0" fontId="166" fillId="0" borderId="86" xfId="0" applyFont="1" applyBorder="1"/>
    <xf numFmtId="0" fontId="163" fillId="0" borderId="28" xfId="0" applyFont="1" applyBorder="1"/>
    <xf numFmtId="0" fontId="163" fillId="0" borderId="87" xfId="0" applyFont="1" applyBorder="1"/>
    <xf numFmtId="0" fontId="162" fillId="0" borderId="89" xfId="0" applyFont="1" applyBorder="1" applyAlignment="1">
      <alignment horizontal="left"/>
    </xf>
    <xf numFmtId="0" fontId="162" fillId="0" borderId="29" xfId="0" applyFont="1" applyBorder="1"/>
    <xf numFmtId="0" fontId="165" fillId="0" borderId="89" xfId="0" applyFont="1" applyBorder="1"/>
    <xf numFmtId="0" fontId="162" fillId="0" borderId="88" xfId="0" applyFont="1" applyBorder="1" applyAlignment="1">
      <alignment horizontal="left"/>
    </xf>
    <xf numFmtId="0" fontId="162" fillId="0" borderId="7" xfId="0" applyFont="1" applyBorder="1"/>
    <xf numFmtId="0" fontId="162" fillId="0" borderId="81" xfId="0" applyFont="1" applyBorder="1"/>
    <xf numFmtId="31" fontId="111" fillId="0" borderId="0" xfId="0" applyNumberFormat="1" applyFont="1" applyAlignment="1">
      <alignment horizontal="left" vertical="center"/>
    </xf>
    <xf numFmtId="31" fontId="111" fillId="0" borderId="29" xfId="0" applyNumberFormat="1" applyFont="1" applyBorder="1" applyAlignment="1">
      <alignment horizontal="left" vertical="center"/>
    </xf>
    <xf numFmtId="0" fontId="120" fillId="0" borderId="145" xfId="0" applyFont="1" applyBorder="1" applyAlignment="1">
      <alignment vertical="center"/>
    </xf>
    <xf numFmtId="0" fontId="120" fillId="28" borderId="148" xfId="0" applyFont="1" applyFill="1" applyBorder="1" applyAlignment="1">
      <alignment horizontal="center" vertical="center"/>
    </xf>
    <xf numFmtId="0" fontId="120" fillId="28" borderId="148" xfId="0" applyFont="1" applyFill="1" applyBorder="1" applyAlignment="1">
      <alignment horizontal="right" vertical="center"/>
    </xf>
    <xf numFmtId="0" fontId="118" fillId="28" borderId="148" xfId="0" applyFont="1" applyFill="1" applyBorder="1" applyAlignment="1">
      <alignment vertical="center"/>
    </xf>
    <xf numFmtId="0" fontId="120" fillId="0" borderId="148" xfId="0" applyFont="1" applyBorder="1" applyAlignment="1">
      <alignment vertical="center"/>
    </xf>
    <xf numFmtId="0" fontId="120" fillId="28" borderId="150" xfId="0" applyFont="1" applyFill="1" applyBorder="1" applyAlignment="1">
      <alignment horizontal="right" vertical="center"/>
    </xf>
    <xf numFmtId="0" fontId="120" fillId="28" borderId="151" xfId="0" applyFont="1" applyFill="1" applyBorder="1" applyAlignment="1">
      <alignment horizontal="right" vertical="center"/>
    </xf>
    <xf numFmtId="0" fontId="120" fillId="28" borderId="151" xfId="0" applyFont="1" applyFill="1" applyBorder="1" applyAlignment="1">
      <alignment horizontal="left" vertical="center"/>
    </xf>
    <xf numFmtId="0" fontId="120" fillId="28" borderId="151" xfId="0" applyFont="1" applyFill="1" applyBorder="1" applyAlignment="1">
      <alignment horizontal="center" vertical="center"/>
    </xf>
    <xf numFmtId="0" fontId="122" fillId="28" borderId="151" xfId="0" applyFont="1" applyFill="1" applyBorder="1" applyAlignment="1">
      <alignment vertical="center"/>
    </xf>
    <xf numFmtId="0" fontId="122" fillId="28" borderId="152" xfId="0" applyFont="1" applyFill="1" applyBorder="1" applyAlignment="1">
      <alignment vertical="center"/>
    </xf>
    <xf numFmtId="177" fontId="120" fillId="28" borderId="153" xfId="0" applyNumberFormat="1" applyFont="1" applyFill="1" applyBorder="1" applyAlignment="1">
      <alignment vertical="center"/>
    </xf>
    <xf numFmtId="0" fontId="92" fillId="0" borderId="155" xfId="0" applyFont="1" applyBorder="1"/>
    <xf numFmtId="0" fontId="92" fillId="0" borderId="156" xfId="0" applyFont="1" applyBorder="1"/>
    <xf numFmtId="0" fontId="92" fillId="0" borderId="157" xfId="0" applyFont="1" applyBorder="1"/>
    <xf numFmtId="0" fontId="120" fillId="34" borderId="148" xfId="0" applyFont="1" applyFill="1" applyBorder="1" applyAlignment="1">
      <alignment horizontal="center" vertical="center"/>
    </xf>
    <xf numFmtId="0" fontId="120" fillId="34" borderId="148" xfId="0" applyFont="1" applyFill="1" applyBorder="1" applyAlignment="1">
      <alignment horizontal="right" vertical="center"/>
    </xf>
    <xf numFmtId="0" fontId="121" fillId="34" borderId="148" xfId="0" applyFont="1" applyFill="1" applyBorder="1" applyAlignment="1">
      <alignment vertical="center"/>
    </xf>
    <xf numFmtId="0" fontId="118" fillId="34" borderId="148" xfId="0" applyFont="1" applyFill="1" applyBorder="1" applyAlignment="1">
      <alignment vertical="center"/>
    </xf>
    <xf numFmtId="0" fontId="117" fillId="34" borderId="148" xfId="0" applyFont="1" applyFill="1" applyBorder="1" applyAlignment="1">
      <alignment horizontal="right" vertical="center"/>
    </xf>
    <xf numFmtId="0" fontId="117" fillId="0" borderId="148" xfId="0" applyFont="1" applyBorder="1" applyAlignment="1">
      <alignment horizontal="right" vertical="center"/>
    </xf>
    <xf numFmtId="0" fontId="120" fillId="34" borderId="149" xfId="0" applyFont="1" applyFill="1" applyBorder="1" applyAlignment="1">
      <alignment horizontal="right" vertical="center"/>
    </xf>
    <xf numFmtId="0" fontId="120" fillId="37" borderId="148" xfId="0" applyFont="1" applyFill="1" applyBorder="1" applyAlignment="1">
      <alignment horizontal="center" vertical="center"/>
    </xf>
    <xf numFmtId="0" fontId="120" fillId="37" borderId="148" xfId="0" applyFont="1" applyFill="1" applyBorder="1" applyAlignment="1">
      <alignment horizontal="right" vertical="center"/>
    </xf>
    <xf numFmtId="0" fontId="121" fillId="37" borderId="148" xfId="0" applyFont="1" applyFill="1" applyBorder="1" applyAlignment="1">
      <alignment vertical="center"/>
    </xf>
    <xf numFmtId="0" fontId="118" fillId="37" borderId="148" xfId="0" applyFont="1" applyFill="1" applyBorder="1" applyAlignment="1">
      <alignment vertical="center"/>
    </xf>
    <xf numFmtId="0" fontId="117" fillId="37" borderId="148" xfId="0" applyFont="1" applyFill="1" applyBorder="1" applyAlignment="1">
      <alignment horizontal="right" vertical="center"/>
    </xf>
    <xf numFmtId="0" fontId="120" fillId="37" borderId="149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126" fillId="0" borderId="0" xfId="0" applyFont="1" applyAlignment="1">
      <alignment horizontal="center" vertical="center"/>
    </xf>
    <xf numFmtId="0" fontId="0" fillId="0" borderId="0" xfId="0"/>
    <xf numFmtId="0" fontId="139" fillId="36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29" fillId="0" borderId="0" xfId="0" applyFont="1" applyAlignment="1">
      <alignment horizontal="center" vertical="center"/>
    </xf>
    <xf numFmtId="179" fontId="128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45" fillId="0" borderId="0" xfId="0" applyFont="1" applyAlignment="1">
      <alignment horizontal="left" vertical="center"/>
    </xf>
    <xf numFmtId="0" fontId="145" fillId="0" borderId="0" xfId="0" applyFont="1" applyAlignment="1">
      <alignment horizontal="center" vertical="center"/>
    </xf>
    <xf numFmtId="0" fontId="110" fillId="0" borderId="170" xfId="0" applyFont="1" applyBorder="1" applyAlignment="1">
      <alignment horizontal="center" vertical="center"/>
    </xf>
    <xf numFmtId="0" fontId="0" fillId="0" borderId="67" xfId="0" applyBorder="1"/>
    <xf numFmtId="0" fontId="0" fillId="0" borderId="68" xfId="0" applyBorder="1"/>
    <xf numFmtId="177" fontId="103" fillId="0" borderId="158" xfId="0" applyNumberFormat="1" applyFont="1" applyBorder="1" applyAlignment="1">
      <alignment horizontal="right" vertical="center" shrinkToFit="1"/>
    </xf>
    <xf numFmtId="0" fontId="0" fillId="0" borderId="45" xfId="0" applyBorder="1"/>
    <xf numFmtId="0" fontId="0" fillId="0" borderId="46" xfId="0" applyBorder="1"/>
    <xf numFmtId="0" fontId="112" fillId="31" borderId="31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3" xfId="0" applyBorder="1"/>
    <xf numFmtId="0" fontId="125" fillId="31" borderId="32" xfId="0" applyFont="1" applyFill="1" applyBorder="1" applyAlignment="1">
      <alignment horizontal="center" vertical="center"/>
    </xf>
    <xf numFmtId="177" fontId="123" fillId="0" borderId="33" xfId="1267" applyNumberFormat="1" applyFont="1" applyBorder="1" applyAlignment="1">
      <alignment horizontal="center" vertical="center" shrinkToFit="1"/>
    </xf>
    <xf numFmtId="0" fontId="105" fillId="0" borderId="14" xfId="0" applyFont="1" applyBorder="1" applyAlignment="1">
      <alignment horizontal="center" vertical="center" shrinkToFit="1"/>
    </xf>
    <xf numFmtId="0" fontId="0" fillId="0" borderId="161" xfId="0" applyBorder="1"/>
    <xf numFmtId="0" fontId="0" fillId="0" borderId="162" xfId="0" applyBorder="1"/>
    <xf numFmtId="0" fontId="105" fillId="0" borderId="14" xfId="0" applyFont="1" applyBorder="1" applyAlignment="1">
      <alignment horizontal="center" vertical="center"/>
    </xf>
    <xf numFmtId="0" fontId="104" fillId="32" borderId="14" xfId="0" applyFont="1" applyFill="1" applyBorder="1" applyAlignment="1">
      <alignment horizontal="center" vertical="center"/>
    </xf>
    <xf numFmtId="31" fontId="103" fillId="0" borderId="40" xfId="0" applyNumberFormat="1" applyFont="1" applyBorder="1" applyAlignment="1">
      <alignment horizontal="left" vertical="center" wrapText="1"/>
    </xf>
    <xf numFmtId="0" fontId="0" fillId="0" borderId="30" xfId="0" applyBorder="1"/>
    <xf numFmtId="0" fontId="0" fillId="0" borderId="40" xfId="0" applyBorder="1"/>
    <xf numFmtId="0" fontId="103" fillId="0" borderId="44" xfId="0" applyFont="1" applyBorder="1" applyAlignment="1">
      <alignment horizontal="center" vertical="center"/>
    </xf>
    <xf numFmtId="0" fontId="94" fillId="0" borderId="0" xfId="0" applyFont="1" applyAlignment="1">
      <alignment vertical="center"/>
    </xf>
    <xf numFmtId="0" fontId="103" fillId="32" borderId="40" xfId="0" applyFont="1" applyFill="1" applyBorder="1" applyAlignment="1">
      <alignment horizontal="left" vertical="center" wrapText="1"/>
    </xf>
    <xf numFmtId="0" fontId="103" fillId="0" borderId="160" xfId="0" applyFont="1" applyBorder="1" applyAlignment="1">
      <alignment horizontal="center" vertical="center"/>
    </xf>
    <xf numFmtId="0" fontId="0" fillId="0" borderId="43" xfId="0" applyBorder="1"/>
    <xf numFmtId="0" fontId="103" fillId="0" borderId="31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 wrapText="1"/>
    </xf>
    <xf numFmtId="0" fontId="124" fillId="31" borderId="33" xfId="0" applyFont="1" applyFill="1" applyBorder="1" applyAlignment="1">
      <alignment horizontal="left" vertical="center" wrapText="1"/>
    </xf>
    <xf numFmtId="0" fontId="124" fillId="31" borderId="32" xfId="0" applyFont="1" applyFill="1" applyBorder="1" applyAlignment="1">
      <alignment horizontal="right" vertical="center" wrapText="1"/>
    </xf>
    <xf numFmtId="0" fontId="105" fillId="0" borderId="66" xfId="0" applyFont="1" applyBorder="1" applyAlignment="1">
      <alignment horizontal="center" vertical="center"/>
    </xf>
    <xf numFmtId="0" fontId="0" fillId="0" borderId="140" xfId="0" applyBorder="1"/>
    <xf numFmtId="0" fontId="0" fillId="0" borderId="141" xfId="0" applyBorder="1"/>
    <xf numFmtId="0" fontId="0" fillId="0" borderId="142" xfId="0" applyBorder="1"/>
    <xf numFmtId="0" fontId="0" fillId="0" borderId="7" xfId="0" applyBorder="1"/>
    <xf numFmtId="0" fontId="0" fillId="0" borderId="143" xfId="0" applyBorder="1"/>
    <xf numFmtId="0" fontId="104" fillId="0" borderId="31" xfId="0" applyFont="1" applyBorder="1" applyAlignment="1">
      <alignment horizontal="center" vertical="center"/>
    </xf>
    <xf numFmtId="0" fontId="103" fillId="0" borderId="158" xfId="0" applyFont="1" applyBorder="1" applyAlignment="1">
      <alignment horizontal="center" vertical="center"/>
    </xf>
    <xf numFmtId="0" fontId="111" fillId="30" borderId="48" xfId="0" applyFont="1" applyFill="1" applyBorder="1" applyAlignment="1">
      <alignment horizontal="left" vertical="center"/>
    </xf>
    <xf numFmtId="0" fontId="0" fillId="0" borderId="50" xfId="0" applyBorder="1"/>
    <xf numFmtId="0" fontId="0" fillId="0" borderId="47" xfId="0" applyBorder="1"/>
    <xf numFmtId="31" fontId="107" fillId="0" borderId="0" xfId="0" applyNumberFormat="1" applyFont="1" applyAlignment="1">
      <alignment horizontal="center" vertical="center"/>
    </xf>
    <xf numFmtId="0" fontId="103" fillId="0" borderId="30" xfId="0" applyFont="1" applyBorder="1" applyAlignment="1">
      <alignment vertical="center" shrinkToFit="1"/>
    </xf>
    <xf numFmtId="0" fontId="105" fillId="0" borderId="28" xfId="0" applyFont="1" applyBorder="1" applyAlignment="1">
      <alignment horizontal="center" vertical="center"/>
    </xf>
    <xf numFmtId="0" fontId="0" fillId="0" borderId="28" xfId="0" applyBorder="1"/>
    <xf numFmtId="0" fontId="104" fillId="0" borderId="28" xfId="0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177" fontId="111" fillId="32" borderId="31" xfId="0" applyNumberFormat="1" applyFont="1" applyFill="1" applyBorder="1" applyAlignment="1">
      <alignment horizontal="right" vertical="center"/>
    </xf>
    <xf numFmtId="177" fontId="111" fillId="32" borderId="31" xfId="0" applyNumberFormat="1" applyFont="1" applyFill="1" applyBorder="1" applyAlignment="1">
      <alignment horizontal="right" vertical="center" shrinkToFit="1"/>
    </xf>
    <xf numFmtId="177" fontId="123" fillId="0" borderId="31" xfId="0" applyNumberFormat="1" applyFont="1" applyBorder="1" applyAlignment="1">
      <alignment horizontal="center" vertical="center" wrapText="1" shrinkToFit="1"/>
    </xf>
    <xf numFmtId="0" fontId="0" fillId="0" borderId="51" xfId="0" applyBorder="1"/>
    <xf numFmtId="0" fontId="0" fillId="0" borderId="61" xfId="0" applyBorder="1"/>
    <xf numFmtId="0" fontId="0" fillId="0" borderId="52" xfId="0" applyBorder="1"/>
    <xf numFmtId="177" fontId="112" fillId="31" borderId="159" xfId="0" applyNumberFormat="1" applyFont="1" applyFill="1" applyBorder="1" applyAlignment="1">
      <alignment horizontal="right" vertical="center" shrinkToFit="1"/>
    </xf>
    <xf numFmtId="41" fontId="113" fillId="0" borderId="0" xfId="1267" applyFont="1" applyAlignment="1">
      <alignment horizontal="center" vertical="center" shrinkToFit="1"/>
    </xf>
    <xf numFmtId="177" fontId="113" fillId="0" borderId="0" xfId="0" applyNumberFormat="1" applyFont="1" applyAlignment="1">
      <alignment horizontal="center" vertical="center" shrinkToFit="1"/>
    </xf>
    <xf numFmtId="0" fontId="108" fillId="0" borderId="0" xfId="0" applyFont="1" applyAlignment="1">
      <alignment horizontal="center" vertical="center"/>
    </xf>
    <xf numFmtId="177" fontId="103" fillId="0" borderId="31" xfId="0" applyNumberFormat="1" applyFont="1" applyBorder="1" applyAlignment="1">
      <alignment horizontal="center" vertical="center"/>
    </xf>
    <xf numFmtId="0" fontId="103" fillId="0" borderId="29" xfId="0" applyFont="1" applyBorder="1" applyAlignment="1">
      <alignment vertical="center"/>
    </xf>
    <xf numFmtId="0" fontId="0" fillId="0" borderId="29" xfId="0" applyBorder="1"/>
    <xf numFmtId="0" fontId="105" fillId="0" borderId="14" xfId="0" applyFont="1" applyBorder="1" applyAlignment="1">
      <alignment horizontal="left" vertical="center" indent="2"/>
    </xf>
    <xf numFmtId="31" fontId="111" fillId="0" borderId="29" xfId="0" applyNumberFormat="1" applyFont="1" applyBorder="1" applyAlignment="1">
      <alignment horizontal="left" vertical="center"/>
    </xf>
    <xf numFmtId="0" fontId="105" fillId="0" borderId="163" xfId="0" applyFont="1" applyBorder="1" applyAlignment="1">
      <alignment horizontal="center" vertical="center"/>
    </xf>
    <xf numFmtId="0" fontId="0" fillId="0" borderId="69" xfId="0" applyBorder="1"/>
    <xf numFmtId="0" fontId="0" fillId="0" borderId="70" xfId="0" applyBorder="1"/>
    <xf numFmtId="0" fontId="93" fillId="0" borderId="56" xfId="0" applyFont="1" applyBorder="1" applyAlignment="1">
      <alignment horizontal="center" vertical="center"/>
    </xf>
    <xf numFmtId="181" fontId="111" fillId="29" borderId="30" xfId="1267" applyNumberFormat="1" applyFont="1" applyFill="1" applyBorder="1" applyAlignment="1">
      <alignment horizontal="center" vertical="center" shrinkToFit="1"/>
    </xf>
    <xf numFmtId="178" fontId="125" fillId="31" borderId="34" xfId="0" applyNumberFormat="1" applyFont="1" applyFill="1" applyBorder="1" applyAlignment="1">
      <alignment horizontal="center" vertical="center" shrinkToFit="1"/>
    </xf>
    <xf numFmtId="0" fontId="104" fillId="32" borderId="165" xfId="0" applyFont="1" applyFill="1" applyBorder="1" applyAlignment="1">
      <alignment horizontal="center" vertical="center"/>
    </xf>
    <xf numFmtId="0" fontId="97" fillId="0" borderId="0" xfId="0" applyFont="1" applyAlignment="1">
      <alignment horizontal="right"/>
    </xf>
    <xf numFmtId="0" fontId="104" fillId="32" borderId="64" xfId="0" applyFont="1" applyFill="1" applyBorder="1" applyAlignment="1">
      <alignment horizontal="center" vertical="center" wrapText="1"/>
    </xf>
    <xf numFmtId="0" fontId="0" fillId="0" borderId="167" xfId="0" applyBorder="1"/>
    <xf numFmtId="0" fontId="0" fillId="0" borderId="168" xfId="0" applyBorder="1"/>
    <xf numFmtId="0" fontId="116" fillId="0" borderId="40" xfId="0" applyFont="1" applyBorder="1" applyAlignment="1">
      <alignment horizontal="left" vertical="center" shrinkToFit="1"/>
    </xf>
    <xf numFmtId="0" fontId="116" fillId="0" borderId="29" xfId="0" applyFont="1" applyBorder="1" applyAlignment="1">
      <alignment vertical="center"/>
    </xf>
    <xf numFmtId="177" fontId="125" fillId="31" borderId="34" xfId="0" applyNumberFormat="1" applyFont="1" applyFill="1" applyBorder="1" applyAlignment="1">
      <alignment horizontal="center" vertical="center" shrinkToFit="1"/>
    </xf>
    <xf numFmtId="0" fontId="95" fillId="0" borderId="166" xfId="0" applyFont="1" applyBorder="1" applyAlignment="1">
      <alignment horizontal="center" vertical="center" wrapText="1"/>
    </xf>
    <xf numFmtId="0" fontId="0" fillId="0" borderId="57" xfId="0" applyBorder="1"/>
    <xf numFmtId="0" fontId="104" fillId="32" borderId="65" xfId="0" applyFont="1" applyFill="1" applyBorder="1" applyAlignment="1">
      <alignment horizontal="center" vertical="center"/>
    </xf>
    <xf numFmtId="0" fontId="0" fillId="0" borderId="169" xfId="0" applyBorder="1"/>
    <xf numFmtId="179" fontId="103" fillId="0" borderId="29" xfId="0" applyNumberFormat="1" applyFont="1" applyBorder="1" applyAlignment="1">
      <alignment horizontal="left" vertical="center"/>
    </xf>
    <xf numFmtId="0" fontId="103" fillId="32" borderId="47" xfId="0" applyFont="1" applyFill="1" applyBorder="1" applyAlignment="1">
      <alignment horizontal="left" vertical="center" wrapText="1"/>
    </xf>
    <xf numFmtId="0" fontId="104" fillId="32" borderId="66" xfId="0" applyFont="1" applyFill="1" applyBorder="1" applyAlignment="1">
      <alignment horizontal="center" vertical="center"/>
    </xf>
    <xf numFmtId="0" fontId="0" fillId="0" borderId="79" xfId="0" applyBorder="1"/>
    <xf numFmtId="0" fontId="0" fillId="0" borderId="164" xfId="0" applyBorder="1"/>
    <xf numFmtId="0" fontId="111" fillId="32" borderId="31" xfId="0" applyFont="1" applyFill="1" applyBorder="1" applyAlignment="1">
      <alignment horizontal="center" vertical="center"/>
    </xf>
    <xf numFmtId="177" fontId="103" fillId="0" borderId="158" xfId="0" applyNumberFormat="1" applyFont="1" applyBorder="1" applyAlignment="1">
      <alignment horizontal="center" vertical="center"/>
    </xf>
    <xf numFmtId="0" fontId="103" fillId="0" borderId="43" xfId="0" applyFont="1" applyBorder="1" applyAlignment="1">
      <alignment horizontal="center" vertical="center"/>
    </xf>
    <xf numFmtId="0" fontId="111" fillId="32" borderId="33" xfId="0" applyFont="1" applyFill="1" applyBorder="1" applyAlignment="1">
      <alignment horizontal="center" vertical="center"/>
    </xf>
    <xf numFmtId="177" fontId="103" fillId="0" borderId="31" xfId="0" applyNumberFormat="1" applyFont="1" applyBorder="1" applyAlignment="1">
      <alignment horizontal="right" vertical="center" shrinkToFit="1"/>
    </xf>
    <xf numFmtId="0" fontId="92" fillId="0" borderId="0" xfId="0" applyFont="1" applyAlignment="1">
      <alignment horizontal="center"/>
    </xf>
    <xf numFmtId="0" fontId="92" fillId="0" borderId="0" xfId="0" applyFont="1"/>
    <xf numFmtId="0" fontId="117" fillId="0" borderId="174" xfId="0" applyFont="1" applyBorder="1" applyAlignment="1">
      <alignment horizontal="center" vertical="center"/>
    </xf>
    <xf numFmtId="0" fontId="0" fillId="0" borderId="121" xfId="0" applyBorder="1"/>
    <xf numFmtId="0" fontId="121" fillId="0" borderId="32" xfId="0" applyFont="1" applyBorder="1" applyAlignment="1">
      <alignment horizontal="center" vertical="center"/>
    </xf>
    <xf numFmtId="0" fontId="117" fillId="0" borderId="178" xfId="0" applyFont="1" applyBorder="1" applyAlignment="1">
      <alignment horizontal="center" vertical="center"/>
    </xf>
    <xf numFmtId="0" fontId="0" fillId="0" borderId="120" xfId="0" applyBorder="1"/>
    <xf numFmtId="0" fontId="0" fillId="0" borderId="119" xfId="0" applyBorder="1"/>
    <xf numFmtId="0" fontId="0" fillId="0" borderId="114" xfId="0" applyBorder="1"/>
    <xf numFmtId="41" fontId="121" fillId="0" borderId="173" xfId="1267" applyFont="1" applyBorder="1" applyAlignment="1">
      <alignment horizontal="center" vertical="center"/>
    </xf>
    <xf numFmtId="0" fontId="0" fillId="0" borderId="145" xfId="0" applyBorder="1"/>
    <xf numFmtId="177" fontId="120" fillId="0" borderId="173" xfId="0" applyNumberFormat="1" applyFont="1" applyBorder="1" applyAlignment="1">
      <alignment horizontal="center" vertical="center"/>
    </xf>
    <xf numFmtId="177" fontId="120" fillId="28" borderId="176" xfId="0" applyNumberFormat="1" applyFont="1" applyFill="1" applyBorder="1" applyAlignment="1">
      <alignment horizontal="center" vertical="center"/>
    </xf>
    <xf numFmtId="0" fontId="0" fillId="0" borderId="154" xfId="0" applyBorder="1"/>
    <xf numFmtId="0" fontId="118" fillId="0" borderId="123" xfId="0" applyFont="1" applyBorder="1" applyAlignment="1">
      <alignment horizontal="left" vertical="center" indent="1"/>
    </xf>
    <xf numFmtId="0" fontId="0" fillId="0" borderId="122" xfId="0" applyBorder="1"/>
    <xf numFmtId="0" fontId="118" fillId="0" borderId="109" xfId="0" applyFont="1" applyBorder="1" applyAlignment="1">
      <alignment horizontal="left" vertical="center" indent="1"/>
    </xf>
    <xf numFmtId="0" fontId="0" fillId="0" borderId="115" xfId="0" applyBorder="1"/>
    <xf numFmtId="0" fontId="0" fillId="0" borderId="111" xfId="0" applyBorder="1"/>
    <xf numFmtId="177" fontId="121" fillId="0" borderId="173" xfId="0" applyNumberFormat="1" applyFont="1" applyBorder="1" applyAlignment="1">
      <alignment horizontal="center" vertical="center"/>
    </xf>
    <xf numFmtId="0" fontId="117" fillId="0" borderId="179" xfId="0" applyFont="1" applyBorder="1" applyAlignment="1">
      <alignment horizontal="center" vertical="center"/>
    </xf>
    <xf numFmtId="0" fontId="0" fillId="0" borderId="117" xfId="0" applyBorder="1"/>
    <xf numFmtId="180" fontId="118" fillId="0" borderId="31" xfId="0" applyNumberFormat="1" applyFont="1" applyBorder="1" applyAlignment="1">
      <alignment horizontal="center" vertical="center" wrapText="1"/>
    </xf>
    <xf numFmtId="0" fontId="118" fillId="28" borderId="171" xfId="0" applyFont="1" applyFill="1" applyBorder="1" applyAlignment="1">
      <alignment horizontal="right" vertical="center" indent="1"/>
    </xf>
    <xf numFmtId="0" fontId="118" fillId="0" borderId="110" xfId="0" applyFont="1" applyBorder="1" applyAlignment="1">
      <alignment horizontal="left" vertical="center" indent="1"/>
    </xf>
    <xf numFmtId="0" fontId="0" fillId="0" borderId="113" xfId="0" applyBorder="1"/>
    <xf numFmtId="0" fontId="119" fillId="0" borderId="0" xfId="0" applyFont="1" applyAlignment="1">
      <alignment horizontal="center" vertical="center"/>
    </xf>
    <xf numFmtId="177" fontId="120" fillId="28" borderId="172" xfId="0" applyNumberFormat="1" applyFont="1" applyFill="1" applyBorder="1" applyAlignment="1">
      <alignment horizontal="center" vertical="center"/>
    </xf>
    <xf numFmtId="0" fontId="0" fillId="0" borderId="144" xfId="0" applyBorder="1"/>
    <xf numFmtId="0" fontId="120" fillId="0" borderId="173" xfId="0" applyFont="1" applyBorder="1" applyAlignment="1">
      <alignment horizontal="center" vertical="center"/>
    </xf>
    <xf numFmtId="0" fontId="131" fillId="28" borderId="147" xfId="0" applyFont="1" applyFill="1" applyBorder="1" applyAlignment="1">
      <alignment horizontal="left" vertical="center"/>
    </xf>
    <xf numFmtId="0" fontId="0" fillId="0" borderId="108" xfId="0" applyBorder="1"/>
    <xf numFmtId="0" fontId="0" fillId="0" borderId="36" xfId="0" applyBorder="1"/>
    <xf numFmtId="0" fontId="120" fillId="28" borderId="35" xfId="0" applyFont="1" applyFill="1" applyBorder="1" applyAlignment="1">
      <alignment horizontal="center" vertical="center" wrapText="1"/>
    </xf>
    <xf numFmtId="0" fontId="132" fillId="28" borderId="175" xfId="0" applyFont="1" applyFill="1" applyBorder="1" applyAlignment="1">
      <alignment vertical="center"/>
    </xf>
    <xf numFmtId="0" fontId="0" fillId="0" borderId="54" xfId="0" applyBorder="1"/>
    <xf numFmtId="0" fontId="0" fillId="0" borderId="55" xfId="0" applyBorder="1"/>
    <xf numFmtId="180" fontId="118" fillId="0" borderId="32" xfId="0" applyNumberFormat="1" applyFont="1" applyBorder="1" applyAlignment="1">
      <alignment horizontal="center" vertical="center" wrapText="1"/>
    </xf>
    <xf numFmtId="0" fontId="118" fillId="0" borderId="180" xfId="0" applyFont="1" applyBorder="1" applyAlignment="1">
      <alignment horizontal="left" vertical="center" wrapText="1" indent="1"/>
    </xf>
    <xf numFmtId="0" fontId="0" fillId="0" borderId="44" xfId="0" applyBorder="1"/>
    <xf numFmtId="0" fontId="0" fillId="0" borderId="112" xfId="0" applyBorder="1"/>
    <xf numFmtId="0" fontId="117" fillId="32" borderId="31" xfId="0" applyFont="1" applyFill="1" applyBorder="1" applyAlignment="1">
      <alignment horizontal="center" vertical="center"/>
    </xf>
    <xf numFmtId="0" fontId="118" fillId="0" borderId="181" xfId="0" applyFont="1" applyBorder="1" applyAlignment="1">
      <alignment horizontal="left" vertical="center" indent="1"/>
    </xf>
    <xf numFmtId="0" fontId="0" fillId="0" borderId="116" xfId="0" applyBorder="1"/>
    <xf numFmtId="177" fontId="121" fillId="0" borderId="173" xfId="0" applyNumberFormat="1" applyFont="1" applyBorder="1" applyAlignment="1">
      <alignment horizontal="center" vertical="center" wrapText="1"/>
    </xf>
    <xf numFmtId="0" fontId="117" fillId="32" borderId="177" xfId="0" applyFont="1" applyFill="1" applyBorder="1" applyAlignment="1">
      <alignment horizontal="center" vertical="center"/>
    </xf>
    <xf numFmtId="0" fontId="121" fillId="0" borderId="31" xfId="0" applyFont="1" applyBorder="1" applyAlignment="1">
      <alignment horizontal="center" vertical="center"/>
    </xf>
    <xf numFmtId="177" fontId="120" fillId="37" borderId="182" xfId="0" applyNumberFormat="1" applyFont="1" applyFill="1" applyBorder="1" applyAlignment="1">
      <alignment horizontal="center" vertical="center"/>
    </xf>
    <xf numFmtId="0" fontId="0" fillId="0" borderId="146" xfId="0" applyBorder="1"/>
    <xf numFmtId="180" fontId="118" fillId="0" borderId="31" xfId="0" applyNumberFormat="1" applyFont="1" applyBorder="1" applyAlignment="1">
      <alignment horizontal="center" vertical="center"/>
    </xf>
    <xf numFmtId="0" fontId="118" fillId="37" borderId="171" xfId="0" applyFont="1" applyFill="1" applyBorder="1" applyAlignment="1">
      <alignment horizontal="right" vertical="center" indent="1"/>
    </xf>
    <xf numFmtId="177" fontId="120" fillId="37" borderId="172" xfId="0" applyNumberFormat="1" applyFont="1" applyFill="1" applyBorder="1" applyAlignment="1">
      <alignment horizontal="center" vertical="center"/>
    </xf>
    <xf numFmtId="0" fontId="121" fillId="29" borderId="173" xfId="0" applyFont="1" applyFill="1" applyBorder="1" applyAlignment="1">
      <alignment horizontal="center" vertical="center"/>
    </xf>
    <xf numFmtId="0" fontId="131" fillId="37" borderId="147" xfId="0" applyFont="1" applyFill="1" applyBorder="1" applyAlignment="1">
      <alignment horizontal="left" vertical="center"/>
    </xf>
    <xf numFmtId="0" fontId="120" fillId="37" borderId="35" xfId="0" applyFont="1" applyFill="1" applyBorder="1" applyAlignment="1">
      <alignment horizontal="center" vertical="center" wrapText="1"/>
    </xf>
    <xf numFmtId="0" fontId="132" fillId="37" borderId="175" xfId="0" applyFont="1" applyFill="1" applyBorder="1" applyAlignment="1">
      <alignment vertical="center"/>
    </xf>
    <xf numFmtId="180" fontId="121" fillId="0" borderId="32" xfId="0" applyNumberFormat="1" applyFont="1" applyBorder="1" applyAlignment="1">
      <alignment horizontal="center" vertical="center"/>
    </xf>
    <xf numFmtId="0" fontId="142" fillId="32" borderId="177" xfId="0" applyFont="1" applyFill="1" applyBorder="1" applyAlignment="1">
      <alignment horizontal="center" vertical="center"/>
    </xf>
    <xf numFmtId="0" fontId="133" fillId="0" borderId="109" xfId="0" applyFont="1" applyBorder="1" applyAlignment="1">
      <alignment horizontal="center" vertical="center" wrapText="1"/>
    </xf>
    <xf numFmtId="0" fontId="133" fillId="0" borderId="110" xfId="0" applyFont="1" applyBorder="1" applyAlignment="1">
      <alignment horizontal="center" vertical="center" wrapText="1"/>
    </xf>
    <xf numFmtId="0" fontId="142" fillId="32" borderId="31" xfId="0" applyFont="1" applyFill="1" applyBorder="1" applyAlignment="1">
      <alignment horizontal="center" vertical="center"/>
    </xf>
    <xf numFmtId="177" fontId="120" fillId="34" borderId="182" xfId="0" applyNumberFormat="1" applyFont="1" applyFill="1" applyBorder="1" applyAlignment="1">
      <alignment horizontal="center" vertical="center"/>
    </xf>
    <xf numFmtId="177" fontId="120" fillId="34" borderId="172" xfId="0" applyNumberFormat="1" applyFont="1" applyFill="1" applyBorder="1" applyAlignment="1">
      <alignment horizontal="center" vertical="center"/>
    </xf>
    <xf numFmtId="0" fontId="133" fillId="0" borderId="179" xfId="0" applyFont="1" applyBorder="1" applyAlignment="1">
      <alignment horizontal="center" vertical="center"/>
    </xf>
    <xf numFmtId="0" fontId="133" fillId="0" borderId="183" xfId="0" applyFont="1" applyBorder="1" applyAlignment="1">
      <alignment horizontal="center" vertical="center"/>
    </xf>
    <xf numFmtId="0" fontId="133" fillId="0" borderId="174" xfId="0" applyFont="1" applyBorder="1" applyAlignment="1">
      <alignment horizontal="center" vertical="center"/>
    </xf>
    <xf numFmtId="0" fontId="133" fillId="0" borderId="123" xfId="0" applyFont="1" applyBorder="1" applyAlignment="1">
      <alignment horizontal="center" vertical="center" wrapText="1"/>
    </xf>
    <xf numFmtId="0" fontId="118" fillId="34" borderId="171" xfId="0" applyFont="1" applyFill="1" applyBorder="1" applyAlignment="1">
      <alignment horizontal="right" vertical="center" indent="1"/>
    </xf>
    <xf numFmtId="0" fontId="131" fillId="34" borderId="147" xfId="0" applyFont="1" applyFill="1" applyBorder="1" applyAlignment="1">
      <alignment horizontal="left" vertical="center"/>
    </xf>
    <xf numFmtId="0" fontId="132" fillId="34" borderId="175" xfId="0" applyFont="1" applyFill="1" applyBorder="1" applyAlignment="1">
      <alignment vertical="center"/>
    </xf>
    <xf numFmtId="0" fontId="92" fillId="0" borderId="54" xfId="0" applyFont="1" applyBorder="1" applyAlignment="1">
      <alignment horizontal="center"/>
    </xf>
    <xf numFmtId="0" fontId="117" fillId="0" borderId="184" xfId="0" applyFont="1" applyBorder="1" applyAlignment="1">
      <alignment horizontal="center" vertical="center" wrapText="1"/>
    </xf>
    <xf numFmtId="0" fontId="117" fillId="0" borderId="0" xfId="0" applyFont="1"/>
    <xf numFmtId="0" fontId="0" fillId="0" borderId="88" xfId="0" applyBorder="1"/>
    <xf numFmtId="0" fontId="0" fillId="0" borderId="81" xfId="0" applyBorder="1"/>
    <xf numFmtId="0" fontId="137" fillId="0" borderId="184" xfId="0" applyFont="1" applyBorder="1" applyAlignment="1">
      <alignment horizontal="center" vertical="center"/>
    </xf>
    <xf numFmtId="0" fontId="136" fillId="34" borderId="130" xfId="0" applyFont="1" applyFill="1" applyBorder="1" applyAlignment="1">
      <alignment horizontal="center" vertical="center"/>
    </xf>
    <xf numFmtId="0" fontId="0" fillId="0" borderId="87" xfId="0" applyBorder="1"/>
    <xf numFmtId="0" fontId="117" fillId="0" borderId="124" xfId="0" applyFont="1" applyBorder="1" applyAlignment="1">
      <alignment horizontal="center" vertical="center"/>
    </xf>
    <xf numFmtId="0" fontId="0" fillId="0" borderId="118" xfId="0" applyBorder="1"/>
    <xf numFmtId="0" fontId="0" fillId="0" borderId="84" xfId="0" applyBorder="1"/>
    <xf numFmtId="41" fontId="136" fillId="0" borderId="130" xfId="1267" applyFont="1" applyBorder="1" applyAlignment="1">
      <alignment horizontal="center" vertical="center" wrapText="1"/>
    </xf>
    <xf numFmtId="0" fontId="0" fillId="0" borderId="89" xfId="0" applyBorder="1"/>
    <xf numFmtId="0" fontId="120" fillId="0" borderId="82" xfId="0" applyFont="1" applyBorder="1" applyAlignment="1">
      <alignment horizontal="center" vertical="center" wrapText="1"/>
    </xf>
    <xf numFmtId="0" fontId="119" fillId="0" borderId="175" xfId="0" applyFont="1" applyBorder="1" applyAlignment="1">
      <alignment horizontal="center" vertical="center"/>
    </xf>
    <xf numFmtId="0" fontId="117" fillId="0" borderId="95" xfId="0" applyFont="1" applyBorder="1" applyAlignment="1">
      <alignment horizontal="center" vertical="center" wrapText="1"/>
    </xf>
    <xf numFmtId="0" fontId="120" fillId="0" borderId="82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147" fillId="35" borderId="2" xfId="0" applyFont="1" applyFill="1" applyBorder="1" applyAlignment="1">
      <alignment horizontal="center" vertical="center"/>
    </xf>
    <xf numFmtId="0" fontId="0" fillId="0" borderId="126" xfId="0" applyBorder="1"/>
    <xf numFmtId="0" fontId="0" fillId="0" borderId="17" xfId="0" applyBorder="1"/>
    <xf numFmtId="0" fontId="146" fillId="0" borderId="2" xfId="0" applyFont="1" applyBorder="1" applyAlignment="1">
      <alignment horizontal="center" vertical="center"/>
    </xf>
    <xf numFmtId="0" fontId="146" fillId="0" borderId="126" xfId="0" applyFont="1" applyBorder="1" applyAlignment="1">
      <alignment horizontal="center" vertical="center"/>
    </xf>
    <xf numFmtId="0" fontId="0" fillId="0" borderId="132" xfId="0" applyBorder="1"/>
    <xf numFmtId="0" fontId="152" fillId="0" borderId="0" xfId="0" applyFont="1" applyAlignment="1">
      <alignment horizontal="center" vertical="center"/>
    </xf>
    <xf numFmtId="41" fontId="152" fillId="0" borderId="0" xfId="1267" applyFont="1" applyAlignment="1">
      <alignment horizontal="center" vertical="center"/>
    </xf>
    <xf numFmtId="0" fontId="161" fillId="35" borderId="82" xfId="1267" applyNumberFormat="1" applyFont="1" applyFill="1" applyBorder="1" applyAlignment="1">
      <alignment horizontal="center" vertical="center" wrapText="1"/>
    </xf>
    <xf numFmtId="0" fontId="0" fillId="0" borderId="95" xfId="0" applyBorder="1"/>
    <xf numFmtId="0" fontId="161" fillId="35" borderId="71" xfId="1267" applyNumberFormat="1" applyFont="1" applyFill="1" applyBorder="1" applyAlignment="1">
      <alignment horizontal="center" vertical="center"/>
    </xf>
    <xf numFmtId="0" fontId="0" fillId="0" borderId="75" xfId="0" applyBorder="1"/>
    <xf numFmtId="0" fontId="161" fillId="35" borderId="71" xfId="0" applyFont="1" applyFill="1" applyBorder="1" applyAlignment="1">
      <alignment horizontal="center" vertical="center"/>
    </xf>
    <xf numFmtId="0" fontId="0" fillId="0" borderId="185" xfId="0" applyBorder="1"/>
    <xf numFmtId="0" fontId="161" fillId="35" borderId="80" xfId="1267" applyNumberFormat="1" applyFont="1" applyFill="1" applyBorder="1" applyAlignment="1">
      <alignment horizontal="center" vertical="center"/>
    </xf>
    <xf numFmtId="0" fontId="0" fillId="0" borderId="12" xfId="0" applyBorder="1"/>
    <xf numFmtId="0" fontId="161" fillId="35" borderId="75" xfId="0" applyFont="1" applyFill="1" applyBorder="1" applyAlignment="1">
      <alignment horizontal="center" vertical="center"/>
    </xf>
    <xf numFmtId="0" fontId="161" fillId="35" borderId="74" xfId="0" applyFont="1" applyFill="1" applyBorder="1" applyAlignment="1">
      <alignment horizontal="center" vertical="center"/>
    </xf>
    <xf numFmtId="0" fontId="0" fillId="0" borderId="186" xfId="0" applyBorder="1"/>
  </cellXfs>
  <cellStyles count="2468">
    <cellStyle name="          _x000d__x000a_386grabber=vga.3gr_x000d__x000a_" xfId="1" xr:uid="{00000000-0005-0000-0000-000001000000}"/>
    <cellStyle name="_x000d_$" xfId="2" xr:uid="{00000000-0005-0000-0000-000002000000}"/>
    <cellStyle name="_x000d_;&amp;?;" xfId="3" xr:uid="{00000000-0005-0000-0000-000003000000}"/>
    <cellStyle name="&quot;" xfId="4" xr:uid="{00000000-0005-0000-0000-000004000000}"/>
    <cellStyle name="#,##0" xfId="5" xr:uid="{00000000-0005-0000-0000-000005000000}"/>
    <cellStyle name="$" xfId="6" xr:uid="{00000000-0005-0000-0000-000006000000}"/>
    <cellStyle name="$_db진흥" xfId="7" xr:uid="{00000000-0005-0000-0000-000007000000}"/>
    <cellStyle name="$_SE40" xfId="8" xr:uid="{00000000-0005-0000-0000-000008000000}"/>
    <cellStyle name="$_견적2" xfId="9" xr:uid="{00000000-0005-0000-0000-000009000000}"/>
    <cellStyle name="$_기아" xfId="10" xr:uid="{00000000-0005-0000-0000-00000A000000}"/>
    <cellStyle name="??&amp;O?&amp;H?_x0008__x000f__x0007_?_x0007__x0001__x0001_" xfId="11" xr:uid="{00000000-0005-0000-0000-00000B000000}"/>
    <cellStyle name="??&amp;O?&amp;H?_x0008_??_x0007__x0001__x0001_" xfId="12" xr:uid="{00000000-0005-0000-0000-00000C000000}"/>
    <cellStyle name="?W?_laroux" xfId="13" xr:uid="{00000000-0005-0000-0000-00000D000000}"/>
    <cellStyle name="?화 [0]_투자재원" xfId="14" xr:uid="{00000000-0005-0000-0000-00000E000000}"/>
    <cellStyle name="_07(종)두산힐스빌" xfId="15" xr:uid="{00000000-0005-0000-0000-00000F000000}"/>
    <cellStyle name="_07(종)미켈란쉘르빌" xfId="16" xr:uid="{00000000-0005-0000-0000-000010000000}"/>
    <cellStyle name="_08(작)가락 삼성 래미안 아파트" xfId="17" xr:uid="{00000000-0005-0000-0000-000011000000}"/>
    <cellStyle name="_08(작)아이언프라자" xfId="18" xr:uid="{00000000-0005-0000-0000-000012000000}"/>
    <cellStyle name="_08(종) 영통 삼성래미안 아파트" xfId="19" xr:uid="{00000000-0005-0000-0000-000013000000}"/>
    <cellStyle name="_08(종)뚝섬중앙하이츠빌" xfId="20" xr:uid="{00000000-0005-0000-0000-000014000000}"/>
    <cellStyle name="_08(종)한승미메이드아파트" xfId="21" xr:uid="{00000000-0005-0000-0000-000015000000}"/>
    <cellStyle name="_08(종)허브원" xfId="22" xr:uid="{00000000-0005-0000-0000-000016000000}"/>
    <cellStyle name="_09(작)SH빌딩" xfId="23" xr:uid="{00000000-0005-0000-0000-000017000000}"/>
    <cellStyle name="_09(작)다보빌딩" xfId="24" xr:uid="{00000000-0005-0000-0000-000018000000}"/>
    <cellStyle name="_09(작)산본성당" xfId="25" xr:uid="{00000000-0005-0000-0000-000019000000}"/>
    <cellStyle name="_09(종)동작쌍떼빌아파트" xfId="26" xr:uid="{00000000-0005-0000-0000-00001A000000}"/>
    <cellStyle name="_09(종)르네상스타워" xfId="27" xr:uid="{00000000-0005-0000-0000-00001B000000}"/>
    <cellStyle name="_09(종)수지두산위브아파트" xfId="28" xr:uid="{00000000-0005-0000-0000-00001C000000}"/>
    <cellStyle name="_09(종)인계선경1차" xfId="29" xr:uid="{00000000-0005-0000-0000-00001D000000}"/>
    <cellStyle name="_09(종)인덕원성당" xfId="30" xr:uid="{00000000-0005-0000-0000-00001E000000}"/>
    <cellStyle name="_09(종)종로대성스카이렉스" xfId="31" xr:uid="{00000000-0005-0000-0000-00001F000000}"/>
    <cellStyle name="_09(종)태영데시앙1차" xfId="32" xr:uid="{00000000-0005-0000-0000-000020000000}"/>
    <cellStyle name="_09(종)호계아크로리버" xfId="33" xr:uid="{00000000-0005-0000-0000-000021000000}"/>
    <cellStyle name="_2000하반기 견적서 ( 미씨860오피스텔 탑시티, 청우, 유일, 동부,경진 )" xfId="34" xr:uid="{00000000-0005-0000-0000-000022000000}"/>
    <cellStyle name="_2000하반기 견적서 ( 미씨860오피스텔 탑시티, 청우, 유일, 동부,경진 )_07(종)두산힐스빌" xfId="35" xr:uid="{00000000-0005-0000-0000-000023000000}"/>
    <cellStyle name="_2000하반기 견적서 ( 미씨860오피스텔 탑시티, 청우, 유일, 동부,경진 )_07(종)미켈란쉘르빌" xfId="36" xr:uid="{00000000-0005-0000-0000-000024000000}"/>
    <cellStyle name="_2000하반기 견적서 ( 미씨860오피스텔 탑시티, 청우, 유일, 동부,경진 )_08(종) 영통 삼성래미안 아파트" xfId="37" xr:uid="{00000000-0005-0000-0000-000025000000}"/>
    <cellStyle name="_2000하반기 견적서 ( 미씨860오피스텔 탑시티, 청우, 유일, 동부,경진 )_08(종)뚝섬중앙하이츠빌" xfId="38" xr:uid="{00000000-0005-0000-0000-000026000000}"/>
    <cellStyle name="_2000하반기 견적서 ( 미씨860오피스텔 탑시티, 청우, 유일, 동부,경진 )_08(종)한승미메이드아파트" xfId="39" xr:uid="{00000000-0005-0000-0000-000027000000}"/>
    <cellStyle name="_2000하반기 견적서 ( 미씨860오피스텔 탑시티, 청우, 유일, 동부,경진 )_08(종)허브원" xfId="40" xr:uid="{00000000-0005-0000-0000-000028000000}"/>
    <cellStyle name="_2000하반기 견적서 ( 미씨860오피스텔 탑시티, 청우, 유일, 동부,경진 )_09(종)르네상스타워" xfId="41" xr:uid="{00000000-0005-0000-0000-000029000000}"/>
    <cellStyle name="_2000하반기 견적서 ( 미씨860오피스텔 탑시티, 청우, 유일, 동부,경진 )_09(종)인덕원성당" xfId="42" xr:uid="{00000000-0005-0000-0000-00002A000000}"/>
    <cellStyle name="_2000하반기 견적서 ( 미씨860오피스텔 탑시티, 청우, 유일, 동부,경진 )_3호원본" xfId="43" xr:uid="{00000000-0005-0000-0000-00002B000000}"/>
    <cellStyle name="_2000하반기 견적서 ( 미씨860오피스텔 탑시티, 청우, 유일, 동부,경진 )_Book1" xfId="44" xr:uid="{00000000-0005-0000-0000-00002C000000}"/>
    <cellStyle name="_2000하반기 견적서 ( 미씨860오피스텔 탑시티, 청우, 유일, 동부,경진 )_Book1_08(종)허브원" xfId="45" xr:uid="{00000000-0005-0000-0000-00002D000000}"/>
    <cellStyle name="_2002 상반기 견적서 ( 롯데 분당점 공정표 )" xfId="46" xr:uid="{00000000-0005-0000-0000-00002E000000}"/>
    <cellStyle name="_2002 상반기 견적서 ( 롯데 분당점 공정표 )_07(종)두산힐스빌" xfId="47" xr:uid="{00000000-0005-0000-0000-00002F000000}"/>
    <cellStyle name="_2002 상반기 견적서 ( 롯데 분당점 공정표 )_07(종)미켈란쉘르빌" xfId="48" xr:uid="{00000000-0005-0000-0000-000030000000}"/>
    <cellStyle name="_2002 상반기 견적서 ( 롯데 분당점 공정표 )_08(종) 영통 삼성래미안 아파트" xfId="49" xr:uid="{00000000-0005-0000-0000-000031000000}"/>
    <cellStyle name="_2002 상반기 견적서 ( 롯데 분당점 공정표 )_08(종)뚝섬중앙하이츠빌" xfId="50" xr:uid="{00000000-0005-0000-0000-000032000000}"/>
    <cellStyle name="_2002 상반기 견적서 ( 롯데 분당점 공정표 )_08(종)한승미메이드아파트" xfId="51" xr:uid="{00000000-0005-0000-0000-000033000000}"/>
    <cellStyle name="_2002 상반기 견적서 ( 롯데 분당점 공정표 )_08(종)허브원" xfId="52" xr:uid="{00000000-0005-0000-0000-000034000000}"/>
    <cellStyle name="_2002 상반기 견적서 ( 롯데 분당점 공정표 )_09(종)르네상스타워" xfId="53" xr:uid="{00000000-0005-0000-0000-000035000000}"/>
    <cellStyle name="_2002 상반기 견적서 ( 롯데 분당점 공정표 )_09(종)인덕원성당" xfId="54" xr:uid="{00000000-0005-0000-0000-000036000000}"/>
    <cellStyle name="_2002 상반기 견적서 ( 롯데 분당점 공정표 )_3호원본" xfId="55" xr:uid="{00000000-0005-0000-0000-000037000000}"/>
    <cellStyle name="_2002 상반기 견적서 ( 롯데 분당점 공정표 )_Book1" xfId="56" xr:uid="{00000000-0005-0000-0000-000038000000}"/>
    <cellStyle name="_2002 상반기 견적서 ( 롯데 분당점 공정표 )_Book1_08(종)허브원" xfId="57" xr:uid="{00000000-0005-0000-0000-000039000000}"/>
    <cellStyle name="_2차5회(사정)" xfId="58" xr:uid="{00000000-0005-0000-0000-00003A000000}"/>
    <cellStyle name="_2호원본" xfId="59" xr:uid="{00000000-0005-0000-0000-00003B000000}"/>
    <cellStyle name="_3호원본" xfId="60" xr:uid="{00000000-0005-0000-0000-00003C000000}"/>
    <cellStyle name="_9월" xfId="61" xr:uid="{00000000-0005-0000-0000-00003D000000}"/>
    <cellStyle name="_Book1" xfId="62" xr:uid="{00000000-0005-0000-0000-00003E000000}"/>
    <cellStyle name="_Book1_08(종)허브원" xfId="63" xr:uid="{00000000-0005-0000-0000-00003F000000}"/>
    <cellStyle name="_SANDFILTER" xfId="64" xr:uid="{00000000-0005-0000-0000-000040000000}"/>
    <cellStyle name="_강내투찰내역서-x" xfId="65" xr:uid="{00000000-0005-0000-0000-000041000000}"/>
    <cellStyle name="_강내투찰내역서-x 2" xfId="1478" xr:uid="{00000000-0005-0000-0000-0000C6050000}"/>
    <cellStyle name="_강내투찰내역서-x_왜관-태평건설" xfId="66" xr:uid="{00000000-0005-0000-0000-000042000000}"/>
    <cellStyle name="_강내투찰내역서-x_왜관-태평건설 2" xfId="1479" xr:uid="{00000000-0005-0000-0000-0000C7050000}"/>
    <cellStyle name="_고산투찰" xfId="67" xr:uid="{00000000-0005-0000-0000-000043000000}"/>
    <cellStyle name="_광릉투찰" xfId="68" xr:uid="{00000000-0005-0000-0000-000044000000}"/>
    <cellStyle name="_광릉투찰 2" xfId="1480" xr:uid="{00000000-0005-0000-0000-0000C8050000}"/>
    <cellStyle name="_광릉투찰_왜관-태평건설" xfId="69" xr:uid="{00000000-0005-0000-0000-000045000000}"/>
    <cellStyle name="_광릉투찰_왜관-태평건설 2" xfId="1481" xr:uid="{00000000-0005-0000-0000-0000C9050000}"/>
    <cellStyle name="_광주평동투찰" xfId="70" xr:uid="{00000000-0005-0000-0000-000046000000}"/>
    <cellStyle name="_광주평동투찰 2" xfId="1482" xr:uid="{00000000-0005-0000-0000-0000CA050000}"/>
    <cellStyle name="_광주평동투찰3" xfId="71" xr:uid="{00000000-0005-0000-0000-000047000000}"/>
    <cellStyle name="_광주평동투찰3 2" xfId="1483" xr:uid="{00000000-0005-0000-0000-0000CB050000}"/>
    <cellStyle name="_광주평동품의1" xfId="72" xr:uid="{00000000-0005-0000-0000-000048000000}"/>
    <cellStyle name="_광주평동품의1 2" xfId="1484" xr:uid="{00000000-0005-0000-0000-0000CC050000}"/>
    <cellStyle name="_구문소철암투찰" xfId="73" xr:uid="{00000000-0005-0000-0000-000049000000}"/>
    <cellStyle name="_구문소철암투찰 2" xfId="1485" xr:uid="{00000000-0005-0000-0000-0000CD050000}"/>
    <cellStyle name="_구문소철암투찰_광릉투찰" xfId="74" xr:uid="{00000000-0005-0000-0000-00004A000000}"/>
    <cellStyle name="_구문소철암투찰_광릉투찰 2" xfId="1486" xr:uid="{00000000-0005-0000-0000-0000CE050000}"/>
    <cellStyle name="_구문소철암투찰_광릉투찰_왜관-태평건설" xfId="75" xr:uid="{00000000-0005-0000-0000-00004B000000}"/>
    <cellStyle name="_구문소철암투찰_광릉투찰_왜관-태평건설 2" xfId="1487" xr:uid="{00000000-0005-0000-0000-0000CF050000}"/>
    <cellStyle name="_구문소철암투찰_왜관-태평건설" xfId="76" xr:uid="{00000000-0005-0000-0000-00004C000000}"/>
    <cellStyle name="_구문소철암투찰_왜관-태평건설 2" xfId="1488" xr:uid="{00000000-0005-0000-0000-0000D0050000}"/>
    <cellStyle name="_국도23호선영암연소지구내역서" xfId="77" xr:uid="{00000000-0005-0000-0000-00004D000000}"/>
    <cellStyle name="_국도38호선통리지구내역서" xfId="78" xr:uid="{00000000-0005-0000-0000-00004E000000}"/>
    <cellStyle name="_국도42호선여량지구오르막차로" xfId="79" xr:uid="{00000000-0005-0000-0000-00004F000000}"/>
    <cellStyle name="_금천청소년수련관(토목林)" xfId="80" xr:uid="{00000000-0005-0000-0000-000050000000}"/>
    <cellStyle name="_농소투찰(32152)" xfId="81" xr:uid="{00000000-0005-0000-0000-000051000000}"/>
    <cellStyle name="_농소투찰(32152) 2" xfId="1489" xr:uid="{00000000-0005-0000-0000-0000D1050000}"/>
    <cellStyle name="_농소투찰(32152)_왜관-태평건설" xfId="82" xr:uid="{00000000-0005-0000-0000-000052000000}"/>
    <cellStyle name="_농소투찰(32152)_왜관-태평건설 2" xfId="1490" xr:uid="{00000000-0005-0000-0000-0000D2050000}"/>
    <cellStyle name="_대곡이설(투찰)" xfId="83" xr:uid="{00000000-0005-0000-0000-000053000000}"/>
    <cellStyle name="_대곡이설(투찰) 2" xfId="1491" xr:uid="{00000000-0005-0000-0000-0000D3050000}"/>
    <cellStyle name="_대곡이설(투찰)_1" xfId="84" xr:uid="{00000000-0005-0000-0000-000054000000}"/>
    <cellStyle name="_대곡이설(투찰)_1 2" xfId="1492" xr:uid="{00000000-0005-0000-0000-0000D4050000}"/>
    <cellStyle name="_대곡이설(투찰)_1_경찰서-터미널간도로(투찰)②" xfId="85" xr:uid="{00000000-0005-0000-0000-000055000000}"/>
    <cellStyle name="_대곡이설(투찰)_1_경찰서-터미널간도로(투찰)② 2" xfId="1493" xr:uid="{00000000-0005-0000-0000-0000D5050000}"/>
    <cellStyle name="_대곡이설(투찰)_1_경찰서-터미널간도로(투찰)②_마현생창(동양고속)" xfId="86" xr:uid="{00000000-0005-0000-0000-000056000000}"/>
    <cellStyle name="_대곡이설(투찰)_1_경찰서-터미널간도로(투찰)②_마현생창(동양고속) 2" xfId="1494" xr:uid="{00000000-0005-0000-0000-0000D6050000}"/>
    <cellStyle name="_대곡이설(투찰)_1_경찰서-터미널간도로(투찰)②_마현생창(동양고속)_왜관-태평건설" xfId="87" xr:uid="{00000000-0005-0000-0000-000057000000}"/>
    <cellStyle name="_대곡이설(투찰)_1_경찰서-터미널간도로(투찰)②_마현생창(동양고속)_왜관-태평건설 2" xfId="1495" xr:uid="{00000000-0005-0000-0000-0000D7050000}"/>
    <cellStyle name="_대곡이설(투찰)_1_경찰서-터미널간도로(투찰)②_왜관-태평건설" xfId="88" xr:uid="{00000000-0005-0000-0000-000058000000}"/>
    <cellStyle name="_대곡이설(투찰)_1_경찰서-터미널간도로(투찰)②_왜관-태평건설 2" xfId="1496" xr:uid="{00000000-0005-0000-0000-0000D8050000}"/>
    <cellStyle name="_대곡이설(투찰)_1_마현생창(동양고속)" xfId="89" xr:uid="{00000000-0005-0000-0000-000059000000}"/>
    <cellStyle name="_대곡이설(투찰)_1_마현생창(동양고속) 2" xfId="1497" xr:uid="{00000000-0005-0000-0000-0000D9050000}"/>
    <cellStyle name="_대곡이설(투찰)_1_마현생창(동양고속)_왜관-태평건설" xfId="90" xr:uid="{00000000-0005-0000-0000-00005A000000}"/>
    <cellStyle name="_대곡이설(투찰)_1_마현생창(동양고속)_왜관-태평건설 2" xfId="1498" xr:uid="{00000000-0005-0000-0000-0000DA050000}"/>
    <cellStyle name="_대곡이설(투찰)_1_봉무지방산업단지도로(투찰)②" xfId="91" xr:uid="{00000000-0005-0000-0000-00005B000000}"/>
    <cellStyle name="_대곡이설(투찰)_1_봉무지방산업단지도로(투찰)② 2" xfId="1499" xr:uid="{00000000-0005-0000-0000-0000DB050000}"/>
    <cellStyle name="_대곡이설(투찰)_1_봉무지방산업단지도로(투찰)②_마현생창(동양고속)" xfId="92" xr:uid="{00000000-0005-0000-0000-00005C000000}"/>
    <cellStyle name="_대곡이설(투찰)_1_봉무지방산업단지도로(투찰)②_마현생창(동양고속) 2" xfId="1500" xr:uid="{00000000-0005-0000-0000-0000DC050000}"/>
    <cellStyle name="_대곡이설(투찰)_1_봉무지방산업단지도로(투찰)②_마현생창(동양고속)_왜관-태평건설" xfId="93" xr:uid="{00000000-0005-0000-0000-00005D000000}"/>
    <cellStyle name="_대곡이설(투찰)_1_봉무지방산업단지도로(투찰)②_마현생창(동양고속)_왜관-태평건설 2" xfId="1501" xr:uid="{00000000-0005-0000-0000-0000DD050000}"/>
    <cellStyle name="_대곡이설(투찰)_1_봉무지방산업단지도로(투찰)②_왜관-태평건설" xfId="94" xr:uid="{00000000-0005-0000-0000-00005E000000}"/>
    <cellStyle name="_대곡이설(투찰)_1_봉무지방산업단지도로(투찰)②_왜관-태평건설 2" xfId="1502" xr:uid="{00000000-0005-0000-0000-0000DE050000}"/>
    <cellStyle name="_대곡이설(투찰)_1_봉무지방산업단지도로(투찰)②+0.250%" xfId="95" xr:uid="{00000000-0005-0000-0000-00005F000000}"/>
    <cellStyle name="_대곡이설(투찰)_1_봉무지방산업단지도로(투찰)②+0.250% 2" xfId="1503" xr:uid="{00000000-0005-0000-0000-0000DF050000}"/>
    <cellStyle name="_대곡이설(투찰)_1_봉무지방산업단지도로(투찰)②+0.250%_마현생창(동양고속)" xfId="96" xr:uid="{00000000-0005-0000-0000-000060000000}"/>
    <cellStyle name="_대곡이설(투찰)_1_봉무지방산업단지도로(투찰)②+0.250%_마현생창(동양고속) 2" xfId="1504" xr:uid="{00000000-0005-0000-0000-0000E0050000}"/>
    <cellStyle name="_대곡이설(투찰)_1_봉무지방산업단지도로(투찰)②+0.250%_마현생창(동양고속)_왜관-태평건설" xfId="97" xr:uid="{00000000-0005-0000-0000-000061000000}"/>
    <cellStyle name="_대곡이설(투찰)_1_봉무지방산업단지도로(투찰)②+0.250%_마현생창(동양고속)_왜관-태평건설 2" xfId="1505" xr:uid="{00000000-0005-0000-0000-0000E1050000}"/>
    <cellStyle name="_대곡이설(투찰)_1_봉무지방산업단지도로(투찰)②+0.250%_왜관-태평건설" xfId="98" xr:uid="{00000000-0005-0000-0000-000062000000}"/>
    <cellStyle name="_대곡이설(투찰)_1_봉무지방산업단지도로(투찰)②+0.250%_왜관-태평건설 2" xfId="1506" xr:uid="{00000000-0005-0000-0000-0000E2050000}"/>
    <cellStyle name="_대곡이설(투찰)_1_왜관-태평건설" xfId="99" xr:uid="{00000000-0005-0000-0000-000063000000}"/>
    <cellStyle name="_대곡이설(투찰)_1_왜관-태평건설 2" xfId="1507" xr:uid="{00000000-0005-0000-0000-0000E3050000}"/>
    <cellStyle name="_대곡이설(투찰)_1_합덕-신례원(2공구)투찰" xfId="100" xr:uid="{00000000-0005-0000-0000-000064000000}"/>
    <cellStyle name="_대곡이설(투찰)_1_합덕-신례원(2공구)투찰 2" xfId="1508" xr:uid="{00000000-0005-0000-0000-0000E4050000}"/>
    <cellStyle name="_대곡이설(투찰)_1_합덕-신례원(2공구)투찰_경찰서-터미널간도로(투찰)②" xfId="101" xr:uid="{00000000-0005-0000-0000-000065000000}"/>
    <cellStyle name="_대곡이설(투찰)_1_합덕-신례원(2공구)투찰_경찰서-터미널간도로(투찰)② 2" xfId="1509" xr:uid="{00000000-0005-0000-0000-0000E5050000}"/>
    <cellStyle name="_대곡이설(투찰)_1_합덕-신례원(2공구)투찰_경찰서-터미널간도로(투찰)②_마현생창(동양고속)" xfId="102" xr:uid="{00000000-0005-0000-0000-000066000000}"/>
    <cellStyle name="_대곡이설(투찰)_1_합덕-신례원(2공구)투찰_경찰서-터미널간도로(투찰)②_마현생창(동양고속) 2" xfId="1510" xr:uid="{00000000-0005-0000-0000-0000E6050000}"/>
    <cellStyle name="_대곡이설(투찰)_1_합덕-신례원(2공구)투찰_경찰서-터미널간도로(투찰)②_마현생창(동양고속)_왜관-태평건설" xfId="103" xr:uid="{00000000-0005-0000-0000-000067000000}"/>
    <cellStyle name="_대곡이설(투찰)_1_합덕-신례원(2공구)투찰_경찰서-터미널간도로(투찰)②_마현생창(동양고속)_왜관-태평건설 2" xfId="1511" xr:uid="{00000000-0005-0000-0000-0000E7050000}"/>
    <cellStyle name="_대곡이설(투찰)_1_합덕-신례원(2공구)투찰_경찰서-터미널간도로(투찰)②_왜관-태평건설" xfId="104" xr:uid="{00000000-0005-0000-0000-000068000000}"/>
    <cellStyle name="_대곡이설(투찰)_1_합덕-신례원(2공구)투찰_경찰서-터미널간도로(투찰)②_왜관-태평건설 2" xfId="1512" xr:uid="{00000000-0005-0000-0000-0000E8050000}"/>
    <cellStyle name="_대곡이설(투찰)_1_합덕-신례원(2공구)투찰_마현생창(동양고속)" xfId="105" xr:uid="{00000000-0005-0000-0000-000069000000}"/>
    <cellStyle name="_대곡이설(투찰)_1_합덕-신례원(2공구)투찰_마현생창(동양고속) 2" xfId="1513" xr:uid="{00000000-0005-0000-0000-0000E9050000}"/>
    <cellStyle name="_대곡이설(투찰)_1_합덕-신례원(2공구)투찰_마현생창(동양고속)_왜관-태평건설" xfId="106" xr:uid="{00000000-0005-0000-0000-00006A000000}"/>
    <cellStyle name="_대곡이설(투찰)_1_합덕-신례원(2공구)투찰_마현생창(동양고속)_왜관-태평건설 2" xfId="1514" xr:uid="{00000000-0005-0000-0000-0000EA050000}"/>
    <cellStyle name="_대곡이설(투찰)_1_합덕-신례원(2공구)투찰_봉무지방산업단지도로(투찰)②" xfId="107" xr:uid="{00000000-0005-0000-0000-00006B000000}"/>
    <cellStyle name="_대곡이설(투찰)_1_합덕-신례원(2공구)투찰_봉무지방산업단지도로(투찰)② 2" xfId="1515" xr:uid="{00000000-0005-0000-0000-0000EB050000}"/>
    <cellStyle name="_대곡이설(투찰)_1_합덕-신례원(2공구)투찰_봉무지방산업단지도로(투찰)②_마현생창(동양고속)" xfId="108" xr:uid="{00000000-0005-0000-0000-00006C000000}"/>
    <cellStyle name="_대곡이설(투찰)_1_합덕-신례원(2공구)투찰_봉무지방산업단지도로(투찰)②_마현생창(동양고속) 2" xfId="1516" xr:uid="{00000000-0005-0000-0000-0000EC050000}"/>
    <cellStyle name="_대곡이설(투찰)_1_합덕-신례원(2공구)투찰_봉무지방산업단지도로(투찰)②_마현생창(동양고속)_왜관-태평건설" xfId="109" xr:uid="{00000000-0005-0000-0000-00006D000000}"/>
    <cellStyle name="_대곡이설(투찰)_1_합덕-신례원(2공구)투찰_봉무지방산업단지도로(투찰)②_마현생창(동양고속)_왜관-태평건설 2" xfId="1517" xr:uid="{00000000-0005-0000-0000-0000ED050000}"/>
    <cellStyle name="_대곡이설(투찰)_1_합덕-신례원(2공구)투찰_봉무지방산업단지도로(투찰)②_왜관-태평건설" xfId="110" xr:uid="{00000000-0005-0000-0000-00006E000000}"/>
    <cellStyle name="_대곡이설(투찰)_1_합덕-신례원(2공구)투찰_봉무지방산업단지도로(투찰)②_왜관-태평건설 2" xfId="1518" xr:uid="{00000000-0005-0000-0000-0000EE050000}"/>
    <cellStyle name="_대곡이설(투찰)_1_합덕-신례원(2공구)투찰_봉무지방산업단지도로(투찰)②+0.250%" xfId="111" xr:uid="{00000000-0005-0000-0000-00006F000000}"/>
    <cellStyle name="_대곡이설(투찰)_1_합덕-신례원(2공구)투찰_봉무지방산업단지도로(투찰)②+0.250% 2" xfId="1519" xr:uid="{00000000-0005-0000-0000-0000EF050000}"/>
    <cellStyle name="_대곡이설(투찰)_1_합덕-신례원(2공구)투찰_봉무지방산업단지도로(투찰)②+0.250%_마현생창(동양고속)" xfId="112" xr:uid="{00000000-0005-0000-0000-000070000000}"/>
    <cellStyle name="_대곡이설(투찰)_1_합덕-신례원(2공구)투찰_봉무지방산업단지도로(투찰)②+0.250%_마현생창(동양고속) 2" xfId="1520" xr:uid="{00000000-0005-0000-0000-0000F0050000}"/>
    <cellStyle name="_대곡이설(투찰)_1_합덕-신례원(2공구)투찰_봉무지방산업단지도로(투찰)②+0.250%_마현생창(동양고속)_왜관-태평건설" xfId="113" xr:uid="{00000000-0005-0000-0000-000071000000}"/>
    <cellStyle name="_대곡이설(투찰)_1_합덕-신례원(2공구)투찰_봉무지방산업단지도로(투찰)②+0.250%_마현생창(동양고속)_왜관-태평건설 2" xfId="1521" xr:uid="{00000000-0005-0000-0000-0000F1050000}"/>
    <cellStyle name="_대곡이설(투찰)_1_합덕-신례원(2공구)투찰_봉무지방산업단지도로(투찰)②+0.250%_왜관-태평건설" xfId="114" xr:uid="{00000000-0005-0000-0000-000072000000}"/>
    <cellStyle name="_대곡이설(투찰)_1_합덕-신례원(2공구)투찰_봉무지방산업단지도로(투찰)②+0.250%_왜관-태평건설 2" xfId="1522" xr:uid="{00000000-0005-0000-0000-0000F2050000}"/>
    <cellStyle name="_대곡이설(투찰)_1_합덕-신례원(2공구)투찰_왜관-태평건설" xfId="115" xr:uid="{00000000-0005-0000-0000-000073000000}"/>
    <cellStyle name="_대곡이설(투찰)_1_합덕-신례원(2공구)투찰_왜관-태평건설 2" xfId="1523" xr:uid="{00000000-0005-0000-0000-0000F3050000}"/>
    <cellStyle name="_대곡이설(투찰)_1_합덕-신례원(2공구)투찰_합덕-신례원(2공구)투찰" xfId="116" xr:uid="{00000000-0005-0000-0000-000074000000}"/>
    <cellStyle name="_대곡이설(투찰)_1_합덕-신례원(2공구)투찰_합덕-신례원(2공구)투찰 2" xfId="1524" xr:uid="{00000000-0005-0000-0000-0000F4050000}"/>
    <cellStyle name="_대곡이설(투찰)_1_합덕-신례원(2공구)투찰_합덕-신례원(2공구)투찰_경찰서-터미널간도로(투찰)②" xfId="117" xr:uid="{00000000-0005-0000-0000-000075000000}"/>
    <cellStyle name="_대곡이설(투찰)_1_합덕-신례원(2공구)투찰_합덕-신례원(2공구)투찰_경찰서-터미널간도로(투찰)② 2" xfId="1525" xr:uid="{00000000-0005-0000-0000-0000F5050000}"/>
    <cellStyle name="_대곡이설(투찰)_1_합덕-신례원(2공구)투찰_합덕-신례원(2공구)투찰_경찰서-터미널간도로(투찰)②_마현생창(동양고속)" xfId="118" xr:uid="{00000000-0005-0000-0000-000076000000}"/>
    <cellStyle name="_대곡이설(투찰)_1_합덕-신례원(2공구)투찰_합덕-신례원(2공구)투찰_경찰서-터미널간도로(투찰)②_마현생창(동양고속) 2" xfId="1526" xr:uid="{00000000-0005-0000-0000-0000F6050000}"/>
    <cellStyle name="_대곡이설(투찰)_1_합덕-신례원(2공구)투찰_합덕-신례원(2공구)투찰_경찰서-터미널간도로(투찰)②_마현생창(동양고속)_왜관-태평건설" xfId="119" xr:uid="{00000000-0005-0000-0000-000077000000}"/>
    <cellStyle name="_대곡이설(투찰)_1_합덕-신례원(2공구)투찰_합덕-신례원(2공구)투찰_경찰서-터미널간도로(투찰)②_마현생창(동양고속)_왜관-태평건설 2" xfId="1527" xr:uid="{00000000-0005-0000-0000-0000F7050000}"/>
    <cellStyle name="_대곡이설(투찰)_1_합덕-신례원(2공구)투찰_합덕-신례원(2공구)투찰_경찰서-터미널간도로(투찰)②_왜관-태평건설" xfId="120" xr:uid="{00000000-0005-0000-0000-000078000000}"/>
    <cellStyle name="_대곡이설(투찰)_1_합덕-신례원(2공구)투찰_합덕-신례원(2공구)투찰_경찰서-터미널간도로(투찰)②_왜관-태평건설 2" xfId="1528" xr:uid="{00000000-0005-0000-0000-0000F8050000}"/>
    <cellStyle name="_대곡이설(투찰)_1_합덕-신례원(2공구)투찰_합덕-신례원(2공구)투찰_마현생창(동양고속)" xfId="121" xr:uid="{00000000-0005-0000-0000-000079000000}"/>
    <cellStyle name="_대곡이설(투찰)_1_합덕-신례원(2공구)투찰_합덕-신례원(2공구)투찰_마현생창(동양고속) 2" xfId="1529" xr:uid="{00000000-0005-0000-0000-0000F9050000}"/>
    <cellStyle name="_대곡이설(투찰)_1_합덕-신례원(2공구)투찰_합덕-신례원(2공구)투찰_마현생창(동양고속)_왜관-태평건설" xfId="122" xr:uid="{00000000-0005-0000-0000-00007A000000}"/>
    <cellStyle name="_대곡이설(투찰)_1_합덕-신례원(2공구)투찰_합덕-신례원(2공구)투찰_마현생창(동양고속)_왜관-태평건설 2" xfId="1530" xr:uid="{00000000-0005-0000-0000-0000FA050000}"/>
    <cellStyle name="_대곡이설(투찰)_1_합덕-신례원(2공구)투찰_합덕-신례원(2공구)투찰_봉무지방산업단지도로(투찰)②" xfId="123" xr:uid="{00000000-0005-0000-0000-00007B000000}"/>
    <cellStyle name="_대곡이설(투찰)_1_합덕-신례원(2공구)투찰_합덕-신례원(2공구)투찰_봉무지방산업단지도로(투찰)② 2" xfId="1531" xr:uid="{00000000-0005-0000-0000-0000FB050000}"/>
    <cellStyle name="_대곡이설(투찰)_1_합덕-신례원(2공구)투찰_합덕-신례원(2공구)투찰_봉무지방산업단지도로(투찰)②_마현생창(동양고속)" xfId="124" xr:uid="{00000000-0005-0000-0000-00007C000000}"/>
    <cellStyle name="_대곡이설(투찰)_1_합덕-신례원(2공구)투찰_합덕-신례원(2공구)투찰_봉무지방산업단지도로(투찰)②_마현생창(동양고속) 2" xfId="1532" xr:uid="{00000000-0005-0000-0000-0000FC050000}"/>
    <cellStyle name="_대곡이설(투찰)_1_합덕-신례원(2공구)투찰_합덕-신례원(2공구)투찰_봉무지방산업단지도로(투찰)②_마현생창(동양고속)_왜관-태평건설" xfId="125" xr:uid="{00000000-0005-0000-0000-00007D000000}"/>
    <cellStyle name="_대곡이설(투찰)_1_합덕-신례원(2공구)투찰_합덕-신례원(2공구)투찰_봉무지방산업단지도로(투찰)②_마현생창(동양고속)_왜관-태평건설 2" xfId="1533" xr:uid="{00000000-0005-0000-0000-0000FD050000}"/>
    <cellStyle name="_대곡이설(투찰)_1_합덕-신례원(2공구)투찰_합덕-신례원(2공구)투찰_봉무지방산업단지도로(투찰)②_왜관-태평건설" xfId="126" xr:uid="{00000000-0005-0000-0000-00007E000000}"/>
    <cellStyle name="_대곡이설(투찰)_1_합덕-신례원(2공구)투찰_합덕-신례원(2공구)투찰_봉무지방산업단지도로(투찰)②_왜관-태평건설 2" xfId="1534" xr:uid="{00000000-0005-0000-0000-0000FE050000}"/>
    <cellStyle name="_대곡이설(투찰)_1_합덕-신례원(2공구)투찰_합덕-신례원(2공구)투찰_봉무지방산업단지도로(투찰)②+0.250%" xfId="127" xr:uid="{00000000-0005-0000-0000-00007F000000}"/>
    <cellStyle name="_대곡이설(투찰)_1_합덕-신례원(2공구)투찰_합덕-신례원(2공구)투찰_봉무지방산업단지도로(투찰)②+0.250% 2" xfId="1535" xr:uid="{00000000-0005-0000-0000-0000FF050000}"/>
    <cellStyle name="_대곡이설(투찰)_1_합덕-신례원(2공구)투찰_합덕-신례원(2공구)투찰_봉무지방산업단지도로(투찰)②+0.250%_마현생창(동양고속)" xfId="128" xr:uid="{00000000-0005-0000-0000-000080000000}"/>
    <cellStyle name="_대곡이설(투찰)_1_합덕-신례원(2공구)투찰_합덕-신례원(2공구)투찰_봉무지방산업단지도로(투찰)②+0.250%_마현생창(동양고속) 2" xfId="1536" xr:uid="{00000000-0005-0000-0000-000000060000}"/>
    <cellStyle name="_대곡이설(투찰)_1_합덕-신례원(2공구)투찰_합덕-신례원(2공구)투찰_봉무지방산업단지도로(투찰)②+0.250%_마현생창(동양고속)_왜관-태평건설" xfId="129" xr:uid="{00000000-0005-0000-0000-000081000000}"/>
    <cellStyle name="_대곡이설(투찰)_1_합덕-신례원(2공구)투찰_합덕-신례원(2공구)투찰_봉무지방산업단지도로(투찰)②+0.250%_마현생창(동양고속)_왜관-태평건설 2" xfId="1537" xr:uid="{00000000-0005-0000-0000-000001060000}"/>
    <cellStyle name="_대곡이설(투찰)_1_합덕-신례원(2공구)투찰_합덕-신례원(2공구)투찰_봉무지방산업단지도로(투찰)②+0.250%_왜관-태평건설" xfId="130" xr:uid="{00000000-0005-0000-0000-000082000000}"/>
    <cellStyle name="_대곡이설(투찰)_1_합덕-신례원(2공구)투찰_합덕-신례원(2공구)투찰_봉무지방산업단지도로(투찰)②+0.250%_왜관-태평건설 2" xfId="1538" xr:uid="{00000000-0005-0000-0000-000002060000}"/>
    <cellStyle name="_대곡이설(투찰)_1_합덕-신례원(2공구)투찰_합덕-신례원(2공구)투찰_왜관-태평건설" xfId="131" xr:uid="{00000000-0005-0000-0000-000083000000}"/>
    <cellStyle name="_대곡이설(투찰)_1_합덕-신례원(2공구)투찰_합덕-신례원(2공구)투찰_왜관-태평건설 2" xfId="1539" xr:uid="{00000000-0005-0000-0000-000003060000}"/>
    <cellStyle name="_대곡이설(투찰)_경찰서-터미널간도로(투찰)②" xfId="132" xr:uid="{00000000-0005-0000-0000-000084000000}"/>
    <cellStyle name="_대곡이설(투찰)_경찰서-터미널간도로(투찰)② 2" xfId="1540" xr:uid="{00000000-0005-0000-0000-000004060000}"/>
    <cellStyle name="_대곡이설(투찰)_경찰서-터미널간도로(투찰)②_마현생창(동양고속)" xfId="133" xr:uid="{00000000-0005-0000-0000-000085000000}"/>
    <cellStyle name="_대곡이설(투찰)_경찰서-터미널간도로(투찰)②_마현생창(동양고속) 2" xfId="1541" xr:uid="{00000000-0005-0000-0000-000005060000}"/>
    <cellStyle name="_대곡이설(투찰)_경찰서-터미널간도로(투찰)②_마현생창(동양고속)_왜관-태평건설" xfId="134" xr:uid="{00000000-0005-0000-0000-000086000000}"/>
    <cellStyle name="_대곡이설(투찰)_경찰서-터미널간도로(투찰)②_마현생창(동양고속)_왜관-태평건설 2" xfId="1542" xr:uid="{00000000-0005-0000-0000-000006060000}"/>
    <cellStyle name="_대곡이설(투찰)_경찰서-터미널간도로(투찰)②_왜관-태평건설" xfId="135" xr:uid="{00000000-0005-0000-0000-000087000000}"/>
    <cellStyle name="_대곡이설(투찰)_경찰서-터미널간도로(투찰)②_왜관-태평건설 2" xfId="1543" xr:uid="{00000000-0005-0000-0000-000007060000}"/>
    <cellStyle name="_대곡이설(투찰)_도덕-고흥도로(투찰)" xfId="136" xr:uid="{00000000-0005-0000-0000-000088000000}"/>
    <cellStyle name="_대곡이설(투찰)_도덕-고흥도로(투찰) 2" xfId="1544" xr:uid="{00000000-0005-0000-0000-000008060000}"/>
    <cellStyle name="_대곡이설(투찰)_도덕-고흥도로(투찰)_경찰서-터미널간도로(투찰)②" xfId="137" xr:uid="{00000000-0005-0000-0000-000089000000}"/>
    <cellStyle name="_대곡이설(투찰)_도덕-고흥도로(투찰)_경찰서-터미널간도로(투찰)② 2" xfId="1545" xr:uid="{00000000-0005-0000-0000-000009060000}"/>
    <cellStyle name="_대곡이설(투찰)_도덕-고흥도로(투찰)_경찰서-터미널간도로(투찰)②_마현생창(동양고속)" xfId="138" xr:uid="{00000000-0005-0000-0000-00008A000000}"/>
    <cellStyle name="_대곡이설(투찰)_도덕-고흥도로(투찰)_경찰서-터미널간도로(투찰)②_마현생창(동양고속) 2" xfId="1546" xr:uid="{00000000-0005-0000-0000-00000A060000}"/>
    <cellStyle name="_대곡이설(투찰)_도덕-고흥도로(투찰)_경찰서-터미널간도로(투찰)②_마현생창(동양고속)_왜관-태평건설" xfId="139" xr:uid="{00000000-0005-0000-0000-00008B000000}"/>
    <cellStyle name="_대곡이설(투찰)_도덕-고흥도로(투찰)_경찰서-터미널간도로(투찰)②_마현생창(동양고속)_왜관-태평건설 2" xfId="1547" xr:uid="{00000000-0005-0000-0000-00000B060000}"/>
    <cellStyle name="_대곡이설(투찰)_도덕-고흥도로(투찰)_경찰서-터미널간도로(투찰)②_왜관-태평건설" xfId="140" xr:uid="{00000000-0005-0000-0000-00008C000000}"/>
    <cellStyle name="_대곡이설(투찰)_도덕-고흥도로(투찰)_경찰서-터미널간도로(투찰)②_왜관-태평건설 2" xfId="1548" xr:uid="{00000000-0005-0000-0000-00000C060000}"/>
    <cellStyle name="_대곡이설(투찰)_도덕-고흥도로(투찰)_마현생창(동양고속)" xfId="141" xr:uid="{00000000-0005-0000-0000-00008D000000}"/>
    <cellStyle name="_대곡이설(투찰)_도덕-고흥도로(투찰)_마현생창(동양고속) 2" xfId="1549" xr:uid="{00000000-0005-0000-0000-00000D060000}"/>
    <cellStyle name="_대곡이설(투찰)_도덕-고흥도로(투찰)_마현생창(동양고속)_왜관-태평건설" xfId="142" xr:uid="{00000000-0005-0000-0000-00008E000000}"/>
    <cellStyle name="_대곡이설(투찰)_도덕-고흥도로(투찰)_마현생창(동양고속)_왜관-태평건설 2" xfId="1550" xr:uid="{00000000-0005-0000-0000-00000E060000}"/>
    <cellStyle name="_대곡이설(투찰)_도덕-고흥도로(투찰)_봉무지방산업단지도로(투찰)②" xfId="143" xr:uid="{00000000-0005-0000-0000-00008F000000}"/>
    <cellStyle name="_대곡이설(투찰)_도덕-고흥도로(투찰)_봉무지방산업단지도로(투찰)② 2" xfId="1551" xr:uid="{00000000-0005-0000-0000-00000F060000}"/>
    <cellStyle name="_대곡이설(투찰)_도덕-고흥도로(투찰)_봉무지방산업단지도로(투찰)②_마현생창(동양고속)" xfId="144" xr:uid="{00000000-0005-0000-0000-000090000000}"/>
    <cellStyle name="_대곡이설(투찰)_도덕-고흥도로(투찰)_봉무지방산업단지도로(투찰)②_마현생창(동양고속) 2" xfId="1552" xr:uid="{00000000-0005-0000-0000-000010060000}"/>
    <cellStyle name="_대곡이설(투찰)_도덕-고흥도로(투찰)_봉무지방산업단지도로(투찰)②_마현생창(동양고속)_왜관-태평건설" xfId="145" xr:uid="{00000000-0005-0000-0000-000091000000}"/>
    <cellStyle name="_대곡이설(투찰)_도덕-고흥도로(투찰)_봉무지방산업단지도로(투찰)②_마현생창(동양고속)_왜관-태평건설 2" xfId="1553" xr:uid="{00000000-0005-0000-0000-000011060000}"/>
    <cellStyle name="_대곡이설(투찰)_도덕-고흥도로(투찰)_봉무지방산업단지도로(투찰)②_왜관-태평건설" xfId="146" xr:uid="{00000000-0005-0000-0000-000092000000}"/>
    <cellStyle name="_대곡이설(투찰)_도덕-고흥도로(투찰)_봉무지방산업단지도로(투찰)②_왜관-태평건설 2" xfId="1554" xr:uid="{00000000-0005-0000-0000-000012060000}"/>
    <cellStyle name="_대곡이설(투찰)_도덕-고흥도로(투찰)_봉무지방산업단지도로(투찰)②+0.250%" xfId="147" xr:uid="{00000000-0005-0000-0000-000093000000}"/>
    <cellStyle name="_대곡이설(투찰)_도덕-고흥도로(투찰)_봉무지방산업단지도로(투찰)②+0.250% 2" xfId="1555" xr:uid="{00000000-0005-0000-0000-000013060000}"/>
    <cellStyle name="_대곡이설(투찰)_도덕-고흥도로(투찰)_봉무지방산업단지도로(투찰)②+0.250%_마현생창(동양고속)" xfId="148" xr:uid="{00000000-0005-0000-0000-000094000000}"/>
    <cellStyle name="_대곡이설(투찰)_도덕-고흥도로(투찰)_봉무지방산업단지도로(투찰)②+0.250%_마현생창(동양고속) 2" xfId="1556" xr:uid="{00000000-0005-0000-0000-000014060000}"/>
    <cellStyle name="_대곡이설(투찰)_도덕-고흥도로(투찰)_봉무지방산업단지도로(투찰)②+0.250%_마현생창(동양고속)_왜관-태평건설" xfId="149" xr:uid="{00000000-0005-0000-0000-000095000000}"/>
    <cellStyle name="_대곡이설(투찰)_도덕-고흥도로(투찰)_봉무지방산업단지도로(투찰)②+0.250%_마현생창(동양고속)_왜관-태평건설 2" xfId="1557" xr:uid="{00000000-0005-0000-0000-000015060000}"/>
    <cellStyle name="_대곡이설(투찰)_도덕-고흥도로(투찰)_봉무지방산업단지도로(투찰)②+0.250%_왜관-태평건설" xfId="150" xr:uid="{00000000-0005-0000-0000-000096000000}"/>
    <cellStyle name="_대곡이설(투찰)_도덕-고흥도로(투찰)_봉무지방산업단지도로(투찰)②+0.250%_왜관-태평건설 2" xfId="1558" xr:uid="{00000000-0005-0000-0000-000016060000}"/>
    <cellStyle name="_대곡이설(투찰)_도덕-고흥도로(투찰)_왜관-태평건설" xfId="151" xr:uid="{00000000-0005-0000-0000-000097000000}"/>
    <cellStyle name="_대곡이설(투찰)_도덕-고흥도로(투찰)_왜관-태평건설 2" xfId="1559" xr:uid="{00000000-0005-0000-0000-000017060000}"/>
    <cellStyle name="_대곡이설(투찰)_도덕-고흥도로(투찰)_합덕-신례원(2공구)투찰" xfId="152" xr:uid="{00000000-0005-0000-0000-000098000000}"/>
    <cellStyle name="_대곡이설(투찰)_도덕-고흥도로(투찰)_합덕-신례원(2공구)투찰 2" xfId="1560" xr:uid="{00000000-0005-0000-0000-000018060000}"/>
    <cellStyle name="_대곡이설(투찰)_도덕-고흥도로(투찰)_합덕-신례원(2공구)투찰_경찰서-터미널간도로(투찰)②" xfId="153" xr:uid="{00000000-0005-0000-0000-000099000000}"/>
    <cellStyle name="_대곡이설(투찰)_도덕-고흥도로(투찰)_합덕-신례원(2공구)투찰_경찰서-터미널간도로(투찰)② 2" xfId="1561" xr:uid="{00000000-0005-0000-0000-000019060000}"/>
    <cellStyle name="_대곡이설(투찰)_도덕-고흥도로(투찰)_합덕-신례원(2공구)투찰_경찰서-터미널간도로(투찰)②_마현생창(동양고속)" xfId="154" xr:uid="{00000000-0005-0000-0000-00009A000000}"/>
    <cellStyle name="_대곡이설(투찰)_도덕-고흥도로(투찰)_합덕-신례원(2공구)투찰_경찰서-터미널간도로(투찰)②_마현생창(동양고속) 2" xfId="1562" xr:uid="{00000000-0005-0000-0000-00001A060000}"/>
    <cellStyle name="_대곡이설(투찰)_도덕-고흥도로(투찰)_합덕-신례원(2공구)투찰_경찰서-터미널간도로(투찰)②_마현생창(동양고속)_왜관-태평건설" xfId="155" xr:uid="{00000000-0005-0000-0000-00009B000000}"/>
    <cellStyle name="_대곡이설(투찰)_도덕-고흥도로(투찰)_합덕-신례원(2공구)투찰_경찰서-터미널간도로(투찰)②_마현생창(동양고속)_왜관-태평건설 2" xfId="1563" xr:uid="{00000000-0005-0000-0000-00001B060000}"/>
    <cellStyle name="_대곡이설(투찰)_도덕-고흥도로(투찰)_합덕-신례원(2공구)투찰_경찰서-터미널간도로(투찰)②_왜관-태평건설" xfId="156" xr:uid="{00000000-0005-0000-0000-00009C000000}"/>
    <cellStyle name="_대곡이설(투찰)_도덕-고흥도로(투찰)_합덕-신례원(2공구)투찰_경찰서-터미널간도로(투찰)②_왜관-태평건설 2" xfId="1564" xr:uid="{00000000-0005-0000-0000-00001C060000}"/>
    <cellStyle name="_대곡이설(투찰)_도덕-고흥도로(투찰)_합덕-신례원(2공구)투찰_마현생창(동양고속)" xfId="157" xr:uid="{00000000-0005-0000-0000-00009D000000}"/>
    <cellStyle name="_대곡이설(투찰)_도덕-고흥도로(투찰)_합덕-신례원(2공구)투찰_마현생창(동양고속) 2" xfId="1565" xr:uid="{00000000-0005-0000-0000-00001D060000}"/>
    <cellStyle name="_대곡이설(투찰)_도덕-고흥도로(투찰)_합덕-신례원(2공구)투찰_마현생창(동양고속)_왜관-태평건설" xfId="158" xr:uid="{00000000-0005-0000-0000-00009E000000}"/>
    <cellStyle name="_대곡이설(투찰)_도덕-고흥도로(투찰)_합덕-신례원(2공구)투찰_마현생창(동양고속)_왜관-태평건설 2" xfId="1566" xr:uid="{00000000-0005-0000-0000-00001E060000}"/>
    <cellStyle name="_대곡이설(투찰)_도덕-고흥도로(투찰)_합덕-신례원(2공구)투찰_봉무지방산업단지도로(투찰)②" xfId="159" xr:uid="{00000000-0005-0000-0000-00009F000000}"/>
    <cellStyle name="_대곡이설(투찰)_도덕-고흥도로(투찰)_합덕-신례원(2공구)투찰_봉무지방산업단지도로(투찰)② 2" xfId="1567" xr:uid="{00000000-0005-0000-0000-00001F060000}"/>
    <cellStyle name="_대곡이설(투찰)_도덕-고흥도로(투찰)_합덕-신례원(2공구)투찰_봉무지방산업단지도로(투찰)②_마현생창(동양고속)" xfId="160" xr:uid="{00000000-0005-0000-0000-0000A0000000}"/>
    <cellStyle name="_대곡이설(투찰)_도덕-고흥도로(투찰)_합덕-신례원(2공구)투찰_봉무지방산업단지도로(투찰)②_마현생창(동양고속) 2" xfId="1568" xr:uid="{00000000-0005-0000-0000-000020060000}"/>
    <cellStyle name="_대곡이설(투찰)_도덕-고흥도로(투찰)_합덕-신례원(2공구)투찰_봉무지방산업단지도로(투찰)②_마현생창(동양고속)_왜관-태평건설" xfId="161" xr:uid="{00000000-0005-0000-0000-0000A1000000}"/>
    <cellStyle name="_대곡이설(투찰)_도덕-고흥도로(투찰)_합덕-신례원(2공구)투찰_봉무지방산업단지도로(투찰)②_마현생창(동양고속)_왜관-태평건설 2" xfId="1569" xr:uid="{00000000-0005-0000-0000-000021060000}"/>
    <cellStyle name="_대곡이설(투찰)_도덕-고흥도로(투찰)_합덕-신례원(2공구)투찰_봉무지방산업단지도로(투찰)②_왜관-태평건설" xfId="162" xr:uid="{00000000-0005-0000-0000-0000A2000000}"/>
    <cellStyle name="_대곡이설(투찰)_도덕-고흥도로(투찰)_합덕-신례원(2공구)투찰_봉무지방산업단지도로(투찰)②_왜관-태평건설 2" xfId="1570" xr:uid="{00000000-0005-0000-0000-000022060000}"/>
    <cellStyle name="_대곡이설(투찰)_도덕-고흥도로(투찰)_합덕-신례원(2공구)투찰_봉무지방산업단지도로(투찰)②+0.250%" xfId="163" xr:uid="{00000000-0005-0000-0000-0000A3000000}"/>
    <cellStyle name="_대곡이설(투찰)_도덕-고흥도로(투찰)_합덕-신례원(2공구)투찰_봉무지방산업단지도로(투찰)②+0.250% 2" xfId="1571" xr:uid="{00000000-0005-0000-0000-000023060000}"/>
    <cellStyle name="_대곡이설(투찰)_도덕-고흥도로(투찰)_합덕-신례원(2공구)투찰_봉무지방산업단지도로(투찰)②+0.250%_마현생창(동양고속)" xfId="164" xr:uid="{00000000-0005-0000-0000-0000A4000000}"/>
    <cellStyle name="_대곡이설(투찰)_도덕-고흥도로(투찰)_합덕-신례원(2공구)투찰_봉무지방산업단지도로(투찰)②+0.250%_마현생창(동양고속) 2" xfId="1572" xr:uid="{00000000-0005-0000-0000-000024060000}"/>
    <cellStyle name="_대곡이설(투찰)_도덕-고흥도로(투찰)_합덕-신례원(2공구)투찰_봉무지방산업단지도로(투찰)②+0.250%_마현생창(동양고속)_왜관-태평건설" xfId="165" xr:uid="{00000000-0005-0000-0000-0000A5000000}"/>
    <cellStyle name="_대곡이설(투찰)_도덕-고흥도로(투찰)_합덕-신례원(2공구)투찰_봉무지방산업단지도로(투찰)②+0.250%_마현생창(동양고속)_왜관-태평건설 2" xfId="1573" xr:uid="{00000000-0005-0000-0000-000025060000}"/>
    <cellStyle name="_대곡이설(투찰)_도덕-고흥도로(투찰)_합덕-신례원(2공구)투찰_봉무지방산업단지도로(투찰)②+0.250%_왜관-태평건설" xfId="166" xr:uid="{00000000-0005-0000-0000-0000A6000000}"/>
    <cellStyle name="_대곡이설(투찰)_도덕-고흥도로(투찰)_합덕-신례원(2공구)투찰_봉무지방산업단지도로(투찰)②+0.250%_왜관-태평건설 2" xfId="1574" xr:uid="{00000000-0005-0000-0000-000026060000}"/>
    <cellStyle name="_대곡이설(투찰)_도덕-고흥도로(투찰)_합덕-신례원(2공구)투찰_왜관-태평건설" xfId="167" xr:uid="{00000000-0005-0000-0000-0000A7000000}"/>
    <cellStyle name="_대곡이설(투찰)_도덕-고흥도로(투찰)_합덕-신례원(2공구)투찰_왜관-태평건설 2" xfId="1575" xr:uid="{00000000-0005-0000-0000-000027060000}"/>
    <cellStyle name="_대곡이설(투찰)_도덕-고흥도로(투찰)_합덕-신례원(2공구)투찰_합덕-신례원(2공구)투찰" xfId="168" xr:uid="{00000000-0005-0000-0000-0000A8000000}"/>
    <cellStyle name="_대곡이설(투찰)_도덕-고흥도로(투찰)_합덕-신례원(2공구)투찰_합덕-신례원(2공구)투찰 2" xfId="1576" xr:uid="{00000000-0005-0000-0000-000028060000}"/>
    <cellStyle name="_대곡이설(투찰)_도덕-고흥도로(투찰)_합덕-신례원(2공구)투찰_합덕-신례원(2공구)투찰_경찰서-터미널간도로(투찰)②" xfId="169" xr:uid="{00000000-0005-0000-0000-0000A9000000}"/>
    <cellStyle name="_대곡이설(투찰)_도덕-고흥도로(투찰)_합덕-신례원(2공구)투찰_합덕-신례원(2공구)투찰_경찰서-터미널간도로(투찰)② 2" xfId="1577" xr:uid="{00000000-0005-0000-0000-000029060000}"/>
    <cellStyle name="_대곡이설(투찰)_도덕-고흥도로(투찰)_합덕-신례원(2공구)투찰_합덕-신례원(2공구)투찰_경찰서-터미널간도로(투찰)②_마현생창(동양고속)" xfId="170" xr:uid="{00000000-0005-0000-0000-0000AA000000}"/>
    <cellStyle name="_대곡이설(투찰)_도덕-고흥도로(투찰)_합덕-신례원(2공구)투찰_합덕-신례원(2공구)투찰_경찰서-터미널간도로(투찰)②_마현생창(동양고속) 2" xfId="1578" xr:uid="{00000000-0005-0000-0000-00002A060000}"/>
    <cellStyle name="_대곡이설(투찰)_도덕-고흥도로(투찰)_합덕-신례원(2공구)투찰_합덕-신례원(2공구)투찰_경찰서-터미널간도로(투찰)②_마현생창(동양고속)_왜관-태평건설" xfId="171" xr:uid="{00000000-0005-0000-0000-0000AB000000}"/>
    <cellStyle name="_대곡이설(투찰)_도덕-고흥도로(투찰)_합덕-신례원(2공구)투찰_합덕-신례원(2공구)투찰_경찰서-터미널간도로(투찰)②_마현생창(동양고속)_왜관-태평건설 2" xfId="1579" xr:uid="{00000000-0005-0000-0000-00002B060000}"/>
    <cellStyle name="_대곡이설(투찰)_도덕-고흥도로(투찰)_합덕-신례원(2공구)투찰_합덕-신례원(2공구)투찰_경찰서-터미널간도로(투찰)②_왜관-태평건설" xfId="172" xr:uid="{00000000-0005-0000-0000-0000AC000000}"/>
    <cellStyle name="_대곡이설(투찰)_도덕-고흥도로(투찰)_합덕-신례원(2공구)투찰_합덕-신례원(2공구)투찰_경찰서-터미널간도로(투찰)②_왜관-태평건설 2" xfId="1580" xr:uid="{00000000-0005-0000-0000-00002C060000}"/>
    <cellStyle name="_대곡이설(투찰)_도덕-고흥도로(투찰)_합덕-신례원(2공구)투찰_합덕-신례원(2공구)투찰_마현생창(동양고속)" xfId="173" xr:uid="{00000000-0005-0000-0000-0000AD000000}"/>
    <cellStyle name="_대곡이설(투찰)_도덕-고흥도로(투찰)_합덕-신례원(2공구)투찰_합덕-신례원(2공구)투찰_마현생창(동양고속) 2" xfId="1581" xr:uid="{00000000-0005-0000-0000-00002D060000}"/>
    <cellStyle name="_대곡이설(투찰)_도덕-고흥도로(투찰)_합덕-신례원(2공구)투찰_합덕-신례원(2공구)투찰_마현생창(동양고속)_왜관-태평건설" xfId="174" xr:uid="{00000000-0005-0000-0000-0000AE000000}"/>
    <cellStyle name="_대곡이설(투찰)_도덕-고흥도로(투찰)_합덕-신례원(2공구)투찰_합덕-신례원(2공구)투찰_마현생창(동양고속)_왜관-태평건설 2" xfId="1582" xr:uid="{00000000-0005-0000-0000-00002E060000}"/>
    <cellStyle name="_대곡이설(투찰)_도덕-고흥도로(투찰)_합덕-신례원(2공구)투찰_합덕-신례원(2공구)투찰_봉무지방산업단지도로(투찰)②" xfId="175" xr:uid="{00000000-0005-0000-0000-0000AF000000}"/>
    <cellStyle name="_대곡이설(투찰)_도덕-고흥도로(투찰)_합덕-신례원(2공구)투찰_합덕-신례원(2공구)투찰_봉무지방산업단지도로(투찰)② 2" xfId="1583" xr:uid="{00000000-0005-0000-0000-00002F060000}"/>
    <cellStyle name="_대곡이설(투찰)_도덕-고흥도로(투찰)_합덕-신례원(2공구)투찰_합덕-신례원(2공구)투찰_봉무지방산업단지도로(투찰)②_마현생창(동양고속)" xfId="176" xr:uid="{00000000-0005-0000-0000-0000B0000000}"/>
    <cellStyle name="_대곡이설(투찰)_도덕-고흥도로(투찰)_합덕-신례원(2공구)투찰_합덕-신례원(2공구)투찰_봉무지방산업단지도로(투찰)②_마현생창(동양고속) 2" xfId="1584" xr:uid="{00000000-0005-0000-0000-000030060000}"/>
    <cellStyle name="_대곡이설(투찰)_도덕-고흥도로(투찰)_합덕-신례원(2공구)투찰_합덕-신례원(2공구)투찰_봉무지방산업단지도로(투찰)②_마현생창(동양고속)_왜관-태평건설" xfId="177" xr:uid="{00000000-0005-0000-0000-0000B1000000}"/>
    <cellStyle name="_대곡이설(투찰)_도덕-고흥도로(투찰)_합덕-신례원(2공구)투찰_합덕-신례원(2공구)투찰_봉무지방산업단지도로(투찰)②_마현생창(동양고속)_왜관-태평건설 2" xfId="1585" xr:uid="{00000000-0005-0000-0000-000031060000}"/>
    <cellStyle name="_대곡이설(투찰)_도덕-고흥도로(투찰)_합덕-신례원(2공구)투찰_합덕-신례원(2공구)투찰_봉무지방산업단지도로(투찰)②_왜관-태평건설" xfId="178" xr:uid="{00000000-0005-0000-0000-0000B2000000}"/>
    <cellStyle name="_대곡이설(투찰)_도덕-고흥도로(투찰)_합덕-신례원(2공구)투찰_합덕-신례원(2공구)투찰_봉무지방산업단지도로(투찰)②_왜관-태평건설 2" xfId="1586" xr:uid="{00000000-0005-0000-0000-000032060000}"/>
    <cellStyle name="_대곡이설(투찰)_도덕-고흥도로(투찰)_합덕-신례원(2공구)투찰_합덕-신례원(2공구)투찰_봉무지방산업단지도로(투찰)②+0.250%" xfId="179" xr:uid="{00000000-0005-0000-0000-0000B3000000}"/>
    <cellStyle name="_대곡이설(투찰)_도덕-고흥도로(투찰)_합덕-신례원(2공구)투찰_합덕-신례원(2공구)투찰_봉무지방산업단지도로(투찰)②+0.250% 2" xfId="1587" xr:uid="{00000000-0005-0000-0000-000033060000}"/>
    <cellStyle name="_대곡이설(투찰)_도덕-고흥도로(투찰)_합덕-신례원(2공구)투찰_합덕-신례원(2공구)투찰_봉무지방산업단지도로(투찰)②+0.250%_마현생창(동양고속)" xfId="180" xr:uid="{00000000-0005-0000-0000-0000B4000000}"/>
    <cellStyle name="_대곡이설(투찰)_도덕-고흥도로(투찰)_합덕-신례원(2공구)투찰_합덕-신례원(2공구)투찰_봉무지방산업단지도로(투찰)②+0.250%_마현생창(동양고속) 2" xfId="1588" xr:uid="{00000000-0005-0000-0000-000034060000}"/>
    <cellStyle name="_대곡이설(투찰)_도덕-고흥도로(투찰)_합덕-신례원(2공구)투찰_합덕-신례원(2공구)투찰_봉무지방산업단지도로(투찰)②+0.250%_마현생창(동양고속)_왜관-태평건설" xfId="181" xr:uid="{00000000-0005-0000-0000-0000B5000000}"/>
    <cellStyle name="_대곡이설(투찰)_도덕-고흥도로(투찰)_합덕-신례원(2공구)투찰_합덕-신례원(2공구)투찰_봉무지방산업단지도로(투찰)②+0.250%_마현생창(동양고속)_왜관-태평건설 2" xfId="1589" xr:uid="{00000000-0005-0000-0000-000035060000}"/>
    <cellStyle name="_대곡이설(투찰)_도덕-고흥도로(투찰)_합덕-신례원(2공구)투찰_합덕-신례원(2공구)투찰_봉무지방산업단지도로(투찰)②+0.250%_왜관-태평건설" xfId="182" xr:uid="{00000000-0005-0000-0000-0000B6000000}"/>
    <cellStyle name="_대곡이설(투찰)_도덕-고흥도로(투찰)_합덕-신례원(2공구)투찰_합덕-신례원(2공구)투찰_봉무지방산업단지도로(투찰)②+0.250%_왜관-태평건설 2" xfId="1590" xr:uid="{00000000-0005-0000-0000-000036060000}"/>
    <cellStyle name="_대곡이설(투찰)_도덕-고흥도로(투찰)_합덕-신례원(2공구)투찰_합덕-신례원(2공구)투찰_왜관-태평건설" xfId="183" xr:uid="{00000000-0005-0000-0000-0000B7000000}"/>
    <cellStyle name="_대곡이설(투찰)_도덕-고흥도로(투찰)_합덕-신례원(2공구)투찰_합덕-신례원(2공구)투찰_왜관-태평건설 2" xfId="1591" xr:uid="{00000000-0005-0000-0000-000037060000}"/>
    <cellStyle name="_대곡이설(투찰)_마현생창(동양고속)" xfId="184" xr:uid="{00000000-0005-0000-0000-0000B8000000}"/>
    <cellStyle name="_대곡이설(투찰)_마현생창(동양고속) 2" xfId="1592" xr:uid="{00000000-0005-0000-0000-000038060000}"/>
    <cellStyle name="_대곡이설(투찰)_마현생창(동양고속)_왜관-태평건설" xfId="185" xr:uid="{00000000-0005-0000-0000-0000B9000000}"/>
    <cellStyle name="_대곡이설(투찰)_마현생창(동양고속)_왜관-태평건설 2" xfId="1593" xr:uid="{00000000-0005-0000-0000-000039060000}"/>
    <cellStyle name="_대곡이설(투찰)_봉무지방산업단지도로(투찰)②" xfId="186" xr:uid="{00000000-0005-0000-0000-0000BA000000}"/>
    <cellStyle name="_대곡이설(투찰)_봉무지방산업단지도로(투찰)② 2" xfId="1594" xr:uid="{00000000-0005-0000-0000-00003A060000}"/>
    <cellStyle name="_대곡이설(투찰)_봉무지방산업단지도로(투찰)②_마현생창(동양고속)" xfId="187" xr:uid="{00000000-0005-0000-0000-0000BB000000}"/>
    <cellStyle name="_대곡이설(투찰)_봉무지방산업단지도로(투찰)②_마현생창(동양고속) 2" xfId="1595" xr:uid="{00000000-0005-0000-0000-00003B060000}"/>
    <cellStyle name="_대곡이설(투찰)_봉무지방산업단지도로(투찰)②_마현생창(동양고속)_왜관-태평건설" xfId="188" xr:uid="{00000000-0005-0000-0000-0000BC000000}"/>
    <cellStyle name="_대곡이설(투찰)_봉무지방산업단지도로(투찰)②_마현생창(동양고속)_왜관-태평건설 2" xfId="1596" xr:uid="{00000000-0005-0000-0000-00003C060000}"/>
    <cellStyle name="_대곡이설(투찰)_봉무지방산업단지도로(투찰)②_왜관-태평건설" xfId="189" xr:uid="{00000000-0005-0000-0000-0000BD000000}"/>
    <cellStyle name="_대곡이설(투찰)_봉무지방산업단지도로(투찰)②_왜관-태평건설 2" xfId="1597" xr:uid="{00000000-0005-0000-0000-00003D060000}"/>
    <cellStyle name="_대곡이설(투찰)_봉무지방산업단지도로(투찰)②+0.250%" xfId="190" xr:uid="{00000000-0005-0000-0000-0000BE000000}"/>
    <cellStyle name="_대곡이설(투찰)_봉무지방산업단지도로(투찰)②+0.250% 2" xfId="1598" xr:uid="{00000000-0005-0000-0000-00003E060000}"/>
    <cellStyle name="_대곡이설(투찰)_봉무지방산업단지도로(투찰)②+0.250%_마현생창(동양고속)" xfId="191" xr:uid="{00000000-0005-0000-0000-0000BF000000}"/>
    <cellStyle name="_대곡이설(투찰)_봉무지방산업단지도로(투찰)②+0.250%_마현생창(동양고속) 2" xfId="1599" xr:uid="{00000000-0005-0000-0000-00003F060000}"/>
    <cellStyle name="_대곡이설(투찰)_봉무지방산업단지도로(투찰)②+0.250%_마현생창(동양고속)_왜관-태평건설" xfId="192" xr:uid="{00000000-0005-0000-0000-0000C0000000}"/>
    <cellStyle name="_대곡이설(투찰)_봉무지방산업단지도로(투찰)②+0.250%_마현생창(동양고속)_왜관-태평건설 2" xfId="1600" xr:uid="{00000000-0005-0000-0000-000040060000}"/>
    <cellStyle name="_대곡이설(투찰)_봉무지방산업단지도로(투찰)②+0.250%_왜관-태평건설" xfId="193" xr:uid="{00000000-0005-0000-0000-0000C1000000}"/>
    <cellStyle name="_대곡이설(투찰)_봉무지방산업단지도로(투찰)②+0.250%_왜관-태평건설 2" xfId="1601" xr:uid="{00000000-0005-0000-0000-000041060000}"/>
    <cellStyle name="_대곡이설(투찰)_안산부대(투찰)⑤" xfId="194" xr:uid="{00000000-0005-0000-0000-0000C2000000}"/>
    <cellStyle name="_대곡이설(투찰)_안산부대(투찰)⑤ 2" xfId="1602" xr:uid="{00000000-0005-0000-0000-000042060000}"/>
    <cellStyle name="_대곡이설(투찰)_안산부대(투찰)⑤_경찰서-터미널간도로(투찰)②" xfId="195" xr:uid="{00000000-0005-0000-0000-0000C3000000}"/>
    <cellStyle name="_대곡이설(투찰)_안산부대(투찰)⑤_경찰서-터미널간도로(투찰)② 2" xfId="1603" xr:uid="{00000000-0005-0000-0000-000043060000}"/>
    <cellStyle name="_대곡이설(투찰)_안산부대(투찰)⑤_경찰서-터미널간도로(투찰)②_마현생창(동양고속)" xfId="196" xr:uid="{00000000-0005-0000-0000-0000C4000000}"/>
    <cellStyle name="_대곡이설(투찰)_안산부대(투찰)⑤_경찰서-터미널간도로(투찰)②_마현생창(동양고속) 2" xfId="1604" xr:uid="{00000000-0005-0000-0000-000044060000}"/>
    <cellStyle name="_대곡이설(투찰)_안산부대(투찰)⑤_경찰서-터미널간도로(투찰)②_마현생창(동양고속)_왜관-태평건설" xfId="197" xr:uid="{00000000-0005-0000-0000-0000C5000000}"/>
    <cellStyle name="_대곡이설(투찰)_안산부대(투찰)⑤_경찰서-터미널간도로(투찰)②_마현생창(동양고속)_왜관-태평건설 2" xfId="1605" xr:uid="{00000000-0005-0000-0000-000045060000}"/>
    <cellStyle name="_대곡이설(투찰)_안산부대(투찰)⑤_경찰서-터미널간도로(투찰)②_왜관-태평건설" xfId="198" xr:uid="{00000000-0005-0000-0000-0000C6000000}"/>
    <cellStyle name="_대곡이설(투찰)_안산부대(투찰)⑤_경찰서-터미널간도로(투찰)②_왜관-태평건설 2" xfId="1606" xr:uid="{00000000-0005-0000-0000-000046060000}"/>
    <cellStyle name="_대곡이설(투찰)_안산부대(투찰)⑤_마현생창(동양고속)" xfId="199" xr:uid="{00000000-0005-0000-0000-0000C7000000}"/>
    <cellStyle name="_대곡이설(투찰)_안산부대(투찰)⑤_마현생창(동양고속) 2" xfId="1607" xr:uid="{00000000-0005-0000-0000-000047060000}"/>
    <cellStyle name="_대곡이설(투찰)_안산부대(투찰)⑤_마현생창(동양고속)_왜관-태평건설" xfId="200" xr:uid="{00000000-0005-0000-0000-0000C8000000}"/>
    <cellStyle name="_대곡이설(투찰)_안산부대(투찰)⑤_마현생창(동양고속)_왜관-태평건설 2" xfId="1608" xr:uid="{00000000-0005-0000-0000-000048060000}"/>
    <cellStyle name="_대곡이설(투찰)_안산부대(투찰)⑤_봉무지방산업단지도로(투찰)②" xfId="201" xr:uid="{00000000-0005-0000-0000-0000C9000000}"/>
    <cellStyle name="_대곡이설(투찰)_안산부대(투찰)⑤_봉무지방산업단지도로(투찰)② 2" xfId="1609" xr:uid="{00000000-0005-0000-0000-000049060000}"/>
    <cellStyle name="_대곡이설(투찰)_안산부대(투찰)⑤_봉무지방산업단지도로(투찰)②_마현생창(동양고속)" xfId="202" xr:uid="{00000000-0005-0000-0000-0000CA000000}"/>
    <cellStyle name="_대곡이설(투찰)_안산부대(투찰)⑤_봉무지방산업단지도로(투찰)②_마현생창(동양고속) 2" xfId="1610" xr:uid="{00000000-0005-0000-0000-00004A060000}"/>
    <cellStyle name="_대곡이설(투찰)_안산부대(투찰)⑤_봉무지방산업단지도로(투찰)②_마현생창(동양고속)_왜관-태평건설" xfId="203" xr:uid="{00000000-0005-0000-0000-0000CB000000}"/>
    <cellStyle name="_대곡이설(투찰)_안산부대(투찰)⑤_봉무지방산업단지도로(투찰)②_마현생창(동양고속)_왜관-태평건설 2" xfId="1611" xr:uid="{00000000-0005-0000-0000-00004B060000}"/>
    <cellStyle name="_대곡이설(투찰)_안산부대(투찰)⑤_봉무지방산업단지도로(투찰)②_왜관-태평건설" xfId="204" xr:uid="{00000000-0005-0000-0000-0000CC000000}"/>
    <cellStyle name="_대곡이설(투찰)_안산부대(투찰)⑤_봉무지방산업단지도로(투찰)②_왜관-태평건설 2" xfId="1612" xr:uid="{00000000-0005-0000-0000-00004C060000}"/>
    <cellStyle name="_대곡이설(투찰)_안산부대(투찰)⑤_봉무지방산업단지도로(투찰)②+0.250%" xfId="205" xr:uid="{00000000-0005-0000-0000-0000CD000000}"/>
    <cellStyle name="_대곡이설(투찰)_안산부대(투찰)⑤_봉무지방산업단지도로(투찰)②+0.250% 2" xfId="1613" xr:uid="{00000000-0005-0000-0000-00004D060000}"/>
    <cellStyle name="_대곡이설(투찰)_안산부대(투찰)⑤_봉무지방산업단지도로(투찰)②+0.250%_마현생창(동양고속)" xfId="206" xr:uid="{00000000-0005-0000-0000-0000CE000000}"/>
    <cellStyle name="_대곡이설(투찰)_안산부대(투찰)⑤_봉무지방산업단지도로(투찰)②+0.250%_마현생창(동양고속) 2" xfId="1614" xr:uid="{00000000-0005-0000-0000-00004E060000}"/>
    <cellStyle name="_대곡이설(투찰)_안산부대(투찰)⑤_봉무지방산업단지도로(투찰)②+0.250%_마현생창(동양고속)_왜관-태평건설" xfId="207" xr:uid="{00000000-0005-0000-0000-0000CF000000}"/>
    <cellStyle name="_대곡이설(투찰)_안산부대(투찰)⑤_봉무지방산업단지도로(투찰)②+0.250%_마현생창(동양고속)_왜관-태평건설 2" xfId="1615" xr:uid="{00000000-0005-0000-0000-00004F060000}"/>
    <cellStyle name="_대곡이설(투찰)_안산부대(투찰)⑤_봉무지방산업단지도로(투찰)②+0.250%_왜관-태평건설" xfId="208" xr:uid="{00000000-0005-0000-0000-0000D0000000}"/>
    <cellStyle name="_대곡이설(투찰)_안산부대(투찰)⑤_봉무지방산업단지도로(투찰)②+0.250%_왜관-태평건설 2" xfId="1616" xr:uid="{00000000-0005-0000-0000-000050060000}"/>
    <cellStyle name="_대곡이설(투찰)_안산부대(투찰)⑤_왜관-태평건설" xfId="209" xr:uid="{00000000-0005-0000-0000-0000D1000000}"/>
    <cellStyle name="_대곡이설(투찰)_안산부대(투찰)⑤_왜관-태평건설 2" xfId="1617" xr:uid="{00000000-0005-0000-0000-000051060000}"/>
    <cellStyle name="_대곡이설(투찰)_안산부대(투찰)⑤_합덕-신례원(2공구)투찰" xfId="210" xr:uid="{00000000-0005-0000-0000-0000D2000000}"/>
    <cellStyle name="_대곡이설(투찰)_안산부대(투찰)⑤_합덕-신례원(2공구)투찰 2" xfId="1618" xr:uid="{00000000-0005-0000-0000-000052060000}"/>
    <cellStyle name="_대곡이설(투찰)_안산부대(투찰)⑤_합덕-신례원(2공구)투찰_경찰서-터미널간도로(투찰)②" xfId="211" xr:uid="{00000000-0005-0000-0000-0000D3000000}"/>
    <cellStyle name="_대곡이설(투찰)_안산부대(투찰)⑤_합덕-신례원(2공구)투찰_경찰서-터미널간도로(투찰)② 2" xfId="1619" xr:uid="{00000000-0005-0000-0000-000053060000}"/>
    <cellStyle name="_대곡이설(투찰)_안산부대(투찰)⑤_합덕-신례원(2공구)투찰_경찰서-터미널간도로(투찰)②_마현생창(동양고속)" xfId="212" xr:uid="{00000000-0005-0000-0000-0000D4000000}"/>
    <cellStyle name="_대곡이설(투찰)_안산부대(투찰)⑤_합덕-신례원(2공구)투찰_경찰서-터미널간도로(투찰)②_마현생창(동양고속) 2" xfId="1620" xr:uid="{00000000-0005-0000-0000-000054060000}"/>
    <cellStyle name="_대곡이설(투찰)_안산부대(투찰)⑤_합덕-신례원(2공구)투찰_경찰서-터미널간도로(투찰)②_마현생창(동양고속)_왜관-태평건설" xfId="213" xr:uid="{00000000-0005-0000-0000-0000D5000000}"/>
    <cellStyle name="_대곡이설(투찰)_안산부대(투찰)⑤_합덕-신례원(2공구)투찰_경찰서-터미널간도로(투찰)②_마현생창(동양고속)_왜관-태평건설 2" xfId="1621" xr:uid="{00000000-0005-0000-0000-000055060000}"/>
    <cellStyle name="_대곡이설(투찰)_안산부대(투찰)⑤_합덕-신례원(2공구)투찰_경찰서-터미널간도로(투찰)②_왜관-태평건설" xfId="214" xr:uid="{00000000-0005-0000-0000-0000D6000000}"/>
    <cellStyle name="_대곡이설(투찰)_안산부대(투찰)⑤_합덕-신례원(2공구)투찰_경찰서-터미널간도로(투찰)②_왜관-태평건설 2" xfId="1622" xr:uid="{00000000-0005-0000-0000-000056060000}"/>
    <cellStyle name="_대곡이설(투찰)_안산부대(투찰)⑤_합덕-신례원(2공구)투찰_마현생창(동양고속)" xfId="215" xr:uid="{00000000-0005-0000-0000-0000D7000000}"/>
    <cellStyle name="_대곡이설(투찰)_안산부대(투찰)⑤_합덕-신례원(2공구)투찰_마현생창(동양고속) 2" xfId="1623" xr:uid="{00000000-0005-0000-0000-000057060000}"/>
    <cellStyle name="_대곡이설(투찰)_안산부대(투찰)⑤_합덕-신례원(2공구)투찰_마현생창(동양고속)_왜관-태평건설" xfId="216" xr:uid="{00000000-0005-0000-0000-0000D8000000}"/>
    <cellStyle name="_대곡이설(투찰)_안산부대(투찰)⑤_합덕-신례원(2공구)투찰_마현생창(동양고속)_왜관-태평건설 2" xfId="1624" xr:uid="{00000000-0005-0000-0000-000058060000}"/>
    <cellStyle name="_대곡이설(투찰)_안산부대(투찰)⑤_합덕-신례원(2공구)투찰_봉무지방산업단지도로(투찰)②" xfId="217" xr:uid="{00000000-0005-0000-0000-0000D9000000}"/>
    <cellStyle name="_대곡이설(투찰)_안산부대(투찰)⑤_합덕-신례원(2공구)투찰_봉무지방산업단지도로(투찰)② 2" xfId="1625" xr:uid="{00000000-0005-0000-0000-000059060000}"/>
    <cellStyle name="_대곡이설(투찰)_안산부대(투찰)⑤_합덕-신례원(2공구)투찰_봉무지방산업단지도로(투찰)②_마현생창(동양고속)" xfId="218" xr:uid="{00000000-0005-0000-0000-0000DA000000}"/>
    <cellStyle name="_대곡이설(투찰)_안산부대(투찰)⑤_합덕-신례원(2공구)투찰_봉무지방산업단지도로(투찰)②_마현생창(동양고속) 2" xfId="1626" xr:uid="{00000000-0005-0000-0000-00005A060000}"/>
    <cellStyle name="_대곡이설(투찰)_안산부대(투찰)⑤_합덕-신례원(2공구)투찰_봉무지방산업단지도로(투찰)②_마현생창(동양고속)_왜관-태평건설" xfId="219" xr:uid="{00000000-0005-0000-0000-0000DB000000}"/>
    <cellStyle name="_대곡이설(투찰)_안산부대(투찰)⑤_합덕-신례원(2공구)투찰_봉무지방산업단지도로(투찰)②_마현생창(동양고속)_왜관-태평건설 2" xfId="1627" xr:uid="{00000000-0005-0000-0000-00005B060000}"/>
    <cellStyle name="_대곡이설(투찰)_안산부대(투찰)⑤_합덕-신례원(2공구)투찰_봉무지방산업단지도로(투찰)②_왜관-태평건설" xfId="220" xr:uid="{00000000-0005-0000-0000-0000DC000000}"/>
    <cellStyle name="_대곡이설(투찰)_안산부대(투찰)⑤_합덕-신례원(2공구)투찰_봉무지방산업단지도로(투찰)②_왜관-태평건설 2" xfId="1628" xr:uid="{00000000-0005-0000-0000-00005C060000}"/>
    <cellStyle name="_대곡이설(투찰)_안산부대(투찰)⑤_합덕-신례원(2공구)투찰_봉무지방산업단지도로(투찰)②+0.250%" xfId="221" xr:uid="{00000000-0005-0000-0000-0000DD000000}"/>
    <cellStyle name="_대곡이설(투찰)_안산부대(투찰)⑤_합덕-신례원(2공구)투찰_봉무지방산업단지도로(투찰)②+0.250% 2" xfId="1629" xr:uid="{00000000-0005-0000-0000-00005D060000}"/>
    <cellStyle name="_대곡이설(투찰)_안산부대(투찰)⑤_합덕-신례원(2공구)투찰_봉무지방산업단지도로(투찰)②+0.250%_마현생창(동양고속)" xfId="222" xr:uid="{00000000-0005-0000-0000-0000DE000000}"/>
    <cellStyle name="_대곡이설(투찰)_안산부대(투찰)⑤_합덕-신례원(2공구)투찰_봉무지방산업단지도로(투찰)②+0.250%_마현생창(동양고속) 2" xfId="1630" xr:uid="{00000000-0005-0000-0000-00005E060000}"/>
    <cellStyle name="_대곡이설(투찰)_안산부대(투찰)⑤_합덕-신례원(2공구)투찰_봉무지방산업단지도로(투찰)②+0.250%_마현생창(동양고속)_왜관-태평건설" xfId="223" xr:uid="{00000000-0005-0000-0000-0000DF000000}"/>
    <cellStyle name="_대곡이설(투찰)_안산부대(투찰)⑤_합덕-신례원(2공구)투찰_봉무지방산업단지도로(투찰)②+0.250%_마현생창(동양고속)_왜관-태평건설 2" xfId="1631" xr:uid="{00000000-0005-0000-0000-00005F060000}"/>
    <cellStyle name="_대곡이설(투찰)_안산부대(투찰)⑤_합덕-신례원(2공구)투찰_봉무지방산업단지도로(투찰)②+0.250%_왜관-태평건설" xfId="224" xr:uid="{00000000-0005-0000-0000-0000E0000000}"/>
    <cellStyle name="_대곡이설(투찰)_안산부대(투찰)⑤_합덕-신례원(2공구)투찰_봉무지방산업단지도로(투찰)②+0.250%_왜관-태평건설 2" xfId="1632" xr:uid="{00000000-0005-0000-0000-000060060000}"/>
    <cellStyle name="_대곡이설(투찰)_안산부대(투찰)⑤_합덕-신례원(2공구)투찰_왜관-태평건설" xfId="225" xr:uid="{00000000-0005-0000-0000-0000E1000000}"/>
    <cellStyle name="_대곡이설(투찰)_안산부대(투찰)⑤_합덕-신례원(2공구)투찰_왜관-태평건설 2" xfId="1633" xr:uid="{00000000-0005-0000-0000-000061060000}"/>
    <cellStyle name="_대곡이설(투찰)_안산부대(투찰)⑤_합덕-신례원(2공구)투찰_합덕-신례원(2공구)투찰" xfId="226" xr:uid="{00000000-0005-0000-0000-0000E2000000}"/>
    <cellStyle name="_대곡이설(투찰)_안산부대(투찰)⑤_합덕-신례원(2공구)투찰_합덕-신례원(2공구)투찰 2" xfId="1634" xr:uid="{00000000-0005-0000-0000-000062060000}"/>
    <cellStyle name="_대곡이설(투찰)_안산부대(투찰)⑤_합덕-신례원(2공구)투찰_합덕-신례원(2공구)투찰_경찰서-터미널간도로(투찰)②" xfId="227" xr:uid="{00000000-0005-0000-0000-0000E3000000}"/>
    <cellStyle name="_대곡이설(투찰)_안산부대(투찰)⑤_합덕-신례원(2공구)투찰_합덕-신례원(2공구)투찰_경찰서-터미널간도로(투찰)② 2" xfId="1635" xr:uid="{00000000-0005-0000-0000-000063060000}"/>
    <cellStyle name="_대곡이설(투찰)_안산부대(투찰)⑤_합덕-신례원(2공구)투찰_합덕-신례원(2공구)투찰_경찰서-터미널간도로(투찰)②_마현생창(동양고속)" xfId="228" xr:uid="{00000000-0005-0000-0000-0000E4000000}"/>
    <cellStyle name="_대곡이설(투찰)_안산부대(투찰)⑤_합덕-신례원(2공구)투찰_합덕-신례원(2공구)투찰_경찰서-터미널간도로(투찰)②_마현생창(동양고속) 2" xfId="1636" xr:uid="{00000000-0005-0000-0000-000064060000}"/>
    <cellStyle name="_대곡이설(투찰)_안산부대(투찰)⑤_합덕-신례원(2공구)투찰_합덕-신례원(2공구)투찰_경찰서-터미널간도로(투찰)②_마현생창(동양고속)_왜관-태평건설" xfId="229" xr:uid="{00000000-0005-0000-0000-0000E5000000}"/>
    <cellStyle name="_대곡이설(투찰)_안산부대(투찰)⑤_합덕-신례원(2공구)투찰_합덕-신례원(2공구)투찰_경찰서-터미널간도로(투찰)②_마현생창(동양고속)_왜관-태평건설 2" xfId="1637" xr:uid="{00000000-0005-0000-0000-000065060000}"/>
    <cellStyle name="_대곡이설(투찰)_안산부대(투찰)⑤_합덕-신례원(2공구)투찰_합덕-신례원(2공구)투찰_경찰서-터미널간도로(투찰)②_왜관-태평건설" xfId="230" xr:uid="{00000000-0005-0000-0000-0000E6000000}"/>
    <cellStyle name="_대곡이설(투찰)_안산부대(투찰)⑤_합덕-신례원(2공구)투찰_합덕-신례원(2공구)투찰_경찰서-터미널간도로(투찰)②_왜관-태평건설 2" xfId="1638" xr:uid="{00000000-0005-0000-0000-000066060000}"/>
    <cellStyle name="_대곡이설(투찰)_안산부대(투찰)⑤_합덕-신례원(2공구)투찰_합덕-신례원(2공구)투찰_마현생창(동양고속)" xfId="231" xr:uid="{00000000-0005-0000-0000-0000E7000000}"/>
    <cellStyle name="_대곡이설(투찰)_안산부대(투찰)⑤_합덕-신례원(2공구)투찰_합덕-신례원(2공구)투찰_마현생창(동양고속) 2" xfId="1639" xr:uid="{00000000-0005-0000-0000-000067060000}"/>
    <cellStyle name="_대곡이설(투찰)_안산부대(투찰)⑤_합덕-신례원(2공구)투찰_합덕-신례원(2공구)투찰_마현생창(동양고속)_왜관-태평건설" xfId="232" xr:uid="{00000000-0005-0000-0000-0000E8000000}"/>
    <cellStyle name="_대곡이설(투찰)_안산부대(투찰)⑤_합덕-신례원(2공구)투찰_합덕-신례원(2공구)투찰_마현생창(동양고속)_왜관-태평건설 2" xfId="1640" xr:uid="{00000000-0005-0000-0000-000068060000}"/>
    <cellStyle name="_대곡이설(투찰)_안산부대(투찰)⑤_합덕-신례원(2공구)투찰_합덕-신례원(2공구)투찰_봉무지방산업단지도로(투찰)②" xfId="233" xr:uid="{00000000-0005-0000-0000-0000E9000000}"/>
    <cellStyle name="_대곡이설(투찰)_안산부대(투찰)⑤_합덕-신례원(2공구)투찰_합덕-신례원(2공구)투찰_봉무지방산업단지도로(투찰)② 2" xfId="1641" xr:uid="{00000000-0005-0000-0000-000069060000}"/>
    <cellStyle name="_대곡이설(투찰)_안산부대(투찰)⑤_합덕-신례원(2공구)투찰_합덕-신례원(2공구)투찰_봉무지방산업단지도로(투찰)②_마현생창(동양고속)" xfId="234" xr:uid="{00000000-0005-0000-0000-0000EA000000}"/>
    <cellStyle name="_대곡이설(투찰)_안산부대(투찰)⑤_합덕-신례원(2공구)투찰_합덕-신례원(2공구)투찰_봉무지방산업단지도로(투찰)②_마현생창(동양고속) 2" xfId="1642" xr:uid="{00000000-0005-0000-0000-00006A060000}"/>
    <cellStyle name="_대곡이설(투찰)_안산부대(투찰)⑤_합덕-신례원(2공구)투찰_합덕-신례원(2공구)투찰_봉무지방산업단지도로(투찰)②_마현생창(동양고속)_왜관-태평건설" xfId="235" xr:uid="{00000000-0005-0000-0000-0000EB000000}"/>
    <cellStyle name="_대곡이설(투찰)_안산부대(투찰)⑤_합덕-신례원(2공구)투찰_합덕-신례원(2공구)투찰_봉무지방산업단지도로(투찰)②_마현생창(동양고속)_왜관-태평건설 2" xfId="1643" xr:uid="{00000000-0005-0000-0000-00006B060000}"/>
    <cellStyle name="_대곡이설(투찰)_안산부대(투찰)⑤_합덕-신례원(2공구)투찰_합덕-신례원(2공구)투찰_봉무지방산업단지도로(투찰)②_왜관-태평건설" xfId="236" xr:uid="{00000000-0005-0000-0000-0000EC000000}"/>
    <cellStyle name="_대곡이설(투찰)_안산부대(투찰)⑤_합덕-신례원(2공구)투찰_합덕-신례원(2공구)투찰_봉무지방산업단지도로(투찰)②_왜관-태평건설 2" xfId="1644" xr:uid="{00000000-0005-0000-0000-00006C060000}"/>
    <cellStyle name="_대곡이설(투찰)_안산부대(투찰)⑤_합덕-신례원(2공구)투찰_합덕-신례원(2공구)투찰_봉무지방산업단지도로(투찰)②+0.250%" xfId="237" xr:uid="{00000000-0005-0000-0000-0000ED000000}"/>
    <cellStyle name="_대곡이설(투찰)_안산부대(투찰)⑤_합덕-신례원(2공구)투찰_합덕-신례원(2공구)투찰_봉무지방산업단지도로(투찰)②+0.250% 2" xfId="1645" xr:uid="{00000000-0005-0000-0000-00006D060000}"/>
    <cellStyle name="_대곡이설(투찰)_안산부대(투찰)⑤_합덕-신례원(2공구)투찰_합덕-신례원(2공구)투찰_봉무지방산업단지도로(투찰)②+0.250%_마현생창(동양고속)" xfId="238" xr:uid="{00000000-0005-0000-0000-0000EE000000}"/>
    <cellStyle name="_대곡이설(투찰)_안산부대(투찰)⑤_합덕-신례원(2공구)투찰_합덕-신례원(2공구)투찰_봉무지방산업단지도로(투찰)②+0.250%_마현생창(동양고속) 2" xfId="1646" xr:uid="{00000000-0005-0000-0000-00006E060000}"/>
    <cellStyle name="_대곡이설(투찰)_안산부대(투찰)⑤_합덕-신례원(2공구)투찰_합덕-신례원(2공구)투찰_봉무지방산업단지도로(투찰)②+0.250%_마현생창(동양고속)_왜관-태평건설" xfId="239" xr:uid="{00000000-0005-0000-0000-0000EF000000}"/>
    <cellStyle name="_대곡이설(투찰)_안산부대(투찰)⑤_합덕-신례원(2공구)투찰_합덕-신례원(2공구)투찰_봉무지방산업단지도로(투찰)②+0.250%_마현생창(동양고속)_왜관-태평건설 2" xfId="1647" xr:uid="{00000000-0005-0000-0000-00006F060000}"/>
    <cellStyle name="_대곡이설(투찰)_안산부대(투찰)⑤_합덕-신례원(2공구)투찰_합덕-신례원(2공구)투찰_봉무지방산업단지도로(투찰)②+0.250%_왜관-태평건설" xfId="240" xr:uid="{00000000-0005-0000-0000-0000F0000000}"/>
    <cellStyle name="_대곡이설(투찰)_안산부대(투찰)⑤_합덕-신례원(2공구)투찰_합덕-신례원(2공구)투찰_봉무지방산업단지도로(투찰)②+0.250%_왜관-태평건설 2" xfId="1648" xr:uid="{00000000-0005-0000-0000-000070060000}"/>
    <cellStyle name="_대곡이설(투찰)_안산부대(투찰)⑤_합덕-신례원(2공구)투찰_합덕-신례원(2공구)투찰_왜관-태평건설" xfId="241" xr:uid="{00000000-0005-0000-0000-0000F1000000}"/>
    <cellStyle name="_대곡이설(투찰)_안산부대(투찰)⑤_합덕-신례원(2공구)투찰_합덕-신례원(2공구)투찰_왜관-태평건설 2" xfId="1649" xr:uid="{00000000-0005-0000-0000-000071060000}"/>
    <cellStyle name="_대곡이설(투찰)_양곡부두(투찰)-0.31%" xfId="242" xr:uid="{00000000-0005-0000-0000-0000F2000000}"/>
    <cellStyle name="_대곡이설(투찰)_양곡부두(투찰)-0.31% 2" xfId="1650" xr:uid="{00000000-0005-0000-0000-000072060000}"/>
    <cellStyle name="_대곡이설(투찰)_양곡부두(투찰)-0.31%_경찰서-터미널간도로(투찰)②" xfId="243" xr:uid="{00000000-0005-0000-0000-0000F3000000}"/>
    <cellStyle name="_대곡이설(투찰)_양곡부두(투찰)-0.31%_경찰서-터미널간도로(투찰)② 2" xfId="1651" xr:uid="{00000000-0005-0000-0000-000073060000}"/>
    <cellStyle name="_대곡이설(투찰)_양곡부두(투찰)-0.31%_경찰서-터미널간도로(투찰)②_마현생창(동양고속)" xfId="244" xr:uid="{00000000-0005-0000-0000-0000F4000000}"/>
    <cellStyle name="_대곡이설(투찰)_양곡부두(투찰)-0.31%_경찰서-터미널간도로(투찰)②_마현생창(동양고속) 2" xfId="1652" xr:uid="{00000000-0005-0000-0000-000074060000}"/>
    <cellStyle name="_대곡이설(투찰)_양곡부두(투찰)-0.31%_경찰서-터미널간도로(투찰)②_마현생창(동양고속)_왜관-태평건설" xfId="245" xr:uid="{00000000-0005-0000-0000-0000F5000000}"/>
    <cellStyle name="_대곡이설(투찰)_양곡부두(투찰)-0.31%_경찰서-터미널간도로(투찰)②_마현생창(동양고속)_왜관-태평건설 2" xfId="1653" xr:uid="{00000000-0005-0000-0000-000075060000}"/>
    <cellStyle name="_대곡이설(투찰)_양곡부두(투찰)-0.31%_경찰서-터미널간도로(투찰)②_왜관-태평건설" xfId="246" xr:uid="{00000000-0005-0000-0000-0000F6000000}"/>
    <cellStyle name="_대곡이설(투찰)_양곡부두(투찰)-0.31%_경찰서-터미널간도로(투찰)②_왜관-태평건설 2" xfId="1654" xr:uid="{00000000-0005-0000-0000-000076060000}"/>
    <cellStyle name="_대곡이설(투찰)_양곡부두(투찰)-0.31%_마현생창(동양고속)" xfId="247" xr:uid="{00000000-0005-0000-0000-0000F7000000}"/>
    <cellStyle name="_대곡이설(투찰)_양곡부두(투찰)-0.31%_마현생창(동양고속) 2" xfId="1655" xr:uid="{00000000-0005-0000-0000-000077060000}"/>
    <cellStyle name="_대곡이설(투찰)_양곡부두(투찰)-0.31%_마현생창(동양고속)_왜관-태평건설" xfId="248" xr:uid="{00000000-0005-0000-0000-0000F8000000}"/>
    <cellStyle name="_대곡이설(투찰)_양곡부두(투찰)-0.31%_마현생창(동양고속)_왜관-태평건설 2" xfId="1656" xr:uid="{00000000-0005-0000-0000-000078060000}"/>
    <cellStyle name="_대곡이설(투찰)_양곡부두(투찰)-0.31%_봉무지방산업단지도로(투찰)②" xfId="249" xr:uid="{00000000-0005-0000-0000-0000F9000000}"/>
    <cellStyle name="_대곡이설(투찰)_양곡부두(투찰)-0.31%_봉무지방산업단지도로(투찰)② 2" xfId="1657" xr:uid="{00000000-0005-0000-0000-000079060000}"/>
    <cellStyle name="_대곡이설(투찰)_양곡부두(투찰)-0.31%_봉무지방산업단지도로(투찰)②_마현생창(동양고속)" xfId="250" xr:uid="{00000000-0005-0000-0000-0000FA000000}"/>
    <cellStyle name="_대곡이설(투찰)_양곡부두(투찰)-0.31%_봉무지방산업단지도로(투찰)②_마현생창(동양고속) 2" xfId="1658" xr:uid="{00000000-0005-0000-0000-00007A060000}"/>
    <cellStyle name="_대곡이설(투찰)_양곡부두(투찰)-0.31%_봉무지방산업단지도로(투찰)②_마현생창(동양고속)_왜관-태평건설" xfId="251" xr:uid="{00000000-0005-0000-0000-0000FB000000}"/>
    <cellStyle name="_대곡이설(투찰)_양곡부두(투찰)-0.31%_봉무지방산업단지도로(투찰)②_마현생창(동양고속)_왜관-태평건설 2" xfId="1659" xr:uid="{00000000-0005-0000-0000-00007B060000}"/>
    <cellStyle name="_대곡이설(투찰)_양곡부두(투찰)-0.31%_봉무지방산업단지도로(투찰)②_왜관-태평건설" xfId="252" xr:uid="{00000000-0005-0000-0000-0000FC000000}"/>
    <cellStyle name="_대곡이설(투찰)_양곡부두(투찰)-0.31%_봉무지방산업단지도로(투찰)②_왜관-태평건설 2" xfId="1660" xr:uid="{00000000-0005-0000-0000-00007C060000}"/>
    <cellStyle name="_대곡이설(투찰)_양곡부두(투찰)-0.31%_봉무지방산업단지도로(투찰)②+0.250%" xfId="253" xr:uid="{00000000-0005-0000-0000-0000FD000000}"/>
    <cellStyle name="_대곡이설(투찰)_양곡부두(투찰)-0.31%_봉무지방산업단지도로(투찰)②+0.250% 2" xfId="1661" xr:uid="{00000000-0005-0000-0000-00007D060000}"/>
    <cellStyle name="_대곡이설(투찰)_양곡부두(투찰)-0.31%_봉무지방산업단지도로(투찰)②+0.250%_마현생창(동양고속)" xfId="254" xr:uid="{00000000-0005-0000-0000-0000FE000000}"/>
    <cellStyle name="_대곡이설(투찰)_양곡부두(투찰)-0.31%_봉무지방산업단지도로(투찰)②+0.250%_마현생창(동양고속) 2" xfId="1662" xr:uid="{00000000-0005-0000-0000-00007E060000}"/>
    <cellStyle name="_대곡이설(투찰)_양곡부두(투찰)-0.31%_봉무지방산업단지도로(투찰)②+0.250%_마현생창(동양고속)_왜관-태평건설" xfId="255" xr:uid="{00000000-0005-0000-0000-0000FF000000}"/>
    <cellStyle name="_대곡이설(투찰)_양곡부두(투찰)-0.31%_봉무지방산업단지도로(투찰)②+0.250%_마현생창(동양고속)_왜관-태평건설 2" xfId="1663" xr:uid="{00000000-0005-0000-0000-00007F060000}"/>
    <cellStyle name="_대곡이설(투찰)_양곡부두(투찰)-0.31%_봉무지방산업단지도로(투찰)②+0.250%_왜관-태평건설" xfId="256" xr:uid="{00000000-0005-0000-0000-000000010000}"/>
    <cellStyle name="_대곡이설(투찰)_양곡부두(투찰)-0.31%_봉무지방산업단지도로(투찰)②+0.250%_왜관-태평건설 2" xfId="1664" xr:uid="{00000000-0005-0000-0000-000080060000}"/>
    <cellStyle name="_대곡이설(투찰)_양곡부두(투찰)-0.31%_왜관-태평건설" xfId="257" xr:uid="{00000000-0005-0000-0000-000001010000}"/>
    <cellStyle name="_대곡이설(투찰)_양곡부두(투찰)-0.31%_왜관-태평건설 2" xfId="1665" xr:uid="{00000000-0005-0000-0000-000081060000}"/>
    <cellStyle name="_대곡이설(투찰)_양곡부두(투찰)-0.31%_합덕-신례원(2공구)투찰" xfId="258" xr:uid="{00000000-0005-0000-0000-000002010000}"/>
    <cellStyle name="_대곡이설(투찰)_양곡부두(투찰)-0.31%_합덕-신례원(2공구)투찰 2" xfId="1666" xr:uid="{00000000-0005-0000-0000-000082060000}"/>
    <cellStyle name="_대곡이설(투찰)_양곡부두(투찰)-0.31%_합덕-신례원(2공구)투찰_경찰서-터미널간도로(투찰)②" xfId="259" xr:uid="{00000000-0005-0000-0000-000003010000}"/>
    <cellStyle name="_대곡이설(투찰)_양곡부두(투찰)-0.31%_합덕-신례원(2공구)투찰_경찰서-터미널간도로(투찰)② 2" xfId="1667" xr:uid="{00000000-0005-0000-0000-000083060000}"/>
    <cellStyle name="_대곡이설(투찰)_양곡부두(투찰)-0.31%_합덕-신례원(2공구)투찰_경찰서-터미널간도로(투찰)②_마현생창(동양고속)" xfId="260" xr:uid="{00000000-0005-0000-0000-000004010000}"/>
    <cellStyle name="_대곡이설(투찰)_양곡부두(투찰)-0.31%_합덕-신례원(2공구)투찰_경찰서-터미널간도로(투찰)②_마현생창(동양고속) 2" xfId="1668" xr:uid="{00000000-0005-0000-0000-000084060000}"/>
    <cellStyle name="_대곡이설(투찰)_양곡부두(투찰)-0.31%_합덕-신례원(2공구)투찰_경찰서-터미널간도로(투찰)②_마현생창(동양고속)_왜관-태평건설" xfId="261" xr:uid="{00000000-0005-0000-0000-000005010000}"/>
    <cellStyle name="_대곡이설(투찰)_양곡부두(투찰)-0.31%_합덕-신례원(2공구)투찰_경찰서-터미널간도로(투찰)②_마현생창(동양고속)_왜관-태평건설 2" xfId="1669" xr:uid="{00000000-0005-0000-0000-000085060000}"/>
    <cellStyle name="_대곡이설(투찰)_양곡부두(투찰)-0.31%_합덕-신례원(2공구)투찰_경찰서-터미널간도로(투찰)②_왜관-태평건설" xfId="262" xr:uid="{00000000-0005-0000-0000-000006010000}"/>
    <cellStyle name="_대곡이설(투찰)_양곡부두(투찰)-0.31%_합덕-신례원(2공구)투찰_경찰서-터미널간도로(투찰)②_왜관-태평건설 2" xfId="1670" xr:uid="{00000000-0005-0000-0000-000086060000}"/>
    <cellStyle name="_대곡이설(투찰)_양곡부두(투찰)-0.31%_합덕-신례원(2공구)투찰_마현생창(동양고속)" xfId="263" xr:uid="{00000000-0005-0000-0000-000007010000}"/>
    <cellStyle name="_대곡이설(투찰)_양곡부두(투찰)-0.31%_합덕-신례원(2공구)투찰_마현생창(동양고속) 2" xfId="1671" xr:uid="{00000000-0005-0000-0000-000087060000}"/>
    <cellStyle name="_대곡이설(투찰)_양곡부두(투찰)-0.31%_합덕-신례원(2공구)투찰_마현생창(동양고속)_왜관-태평건설" xfId="264" xr:uid="{00000000-0005-0000-0000-000008010000}"/>
    <cellStyle name="_대곡이설(투찰)_양곡부두(투찰)-0.31%_합덕-신례원(2공구)투찰_마현생창(동양고속)_왜관-태평건설 2" xfId="1672" xr:uid="{00000000-0005-0000-0000-000088060000}"/>
    <cellStyle name="_대곡이설(투찰)_양곡부두(투찰)-0.31%_합덕-신례원(2공구)투찰_봉무지방산업단지도로(투찰)②" xfId="265" xr:uid="{00000000-0005-0000-0000-000009010000}"/>
    <cellStyle name="_대곡이설(투찰)_양곡부두(투찰)-0.31%_합덕-신례원(2공구)투찰_봉무지방산업단지도로(투찰)② 2" xfId="1673" xr:uid="{00000000-0005-0000-0000-000089060000}"/>
    <cellStyle name="_대곡이설(투찰)_양곡부두(투찰)-0.31%_합덕-신례원(2공구)투찰_봉무지방산업단지도로(투찰)②_마현생창(동양고속)" xfId="266" xr:uid="{00000000-0005-0000-0000-00000A010000}"/>
    <cellStyle name="_대곡이설(투찰)_양곡부두(투찰)-0.31%_합덕-신례원(2공구)투찰_봉무지방산업단지도로(투찰)②_마현생창(동양고속) 2" xfId="1674" xr:uid="{00000000-0005-0000-0000-00008A060000}"/>
    <cellStyle name="_대곡이설(투찰)_양곡부두(투찰)-0.31%_합덕-신례원(2공구)투찰_봉무지방산업단지도로(투찰)②_마현생창(동양고속)_왜관-태평건설" xfId="267" xr:uid="{00000000-0005-0000-0000-00000B010000}"/>
    <cellStyle name="_대곡이설(투찰)_양곡부두(투찰)-0.31%_합덕-신례원(2공구)투찰_봉무지방산업단지도로(투찰)②_마현생창(동양고속)_왜관-태평건설 2" xfId="1675" xr:uid="{00000000-0005-0000-0000-00008B060000}"/>
    <cellStyle name="_대곡이설(투찰)_양곡부두(투찰)-0.31%_합덕-신례원(2공구)투찰_봉무지방산업단지도로(투찰)②_왜관-태평건설" xfId="268" xr:uid="{00000000-0005-0000-0000-00000C010000}"/>
    <cellStyle name="_대곡이설(투찰)_양곡부두(투찰)-0.31%_합덕-신례원(2공구)투찰_봉무지방산업단지도로(투찰)②_왜관-태평건설 2" xfId="1676" xr:uid="{00000000-0005-0000-0000-00008C060000}"/>
    <cellStyle name="_대곡이설(투찰)_양곡부두(투찰)-0.31%_합덕-신례원(2공구)투찰_봉무지방산업단지도로(투찰)②+0.250%" xfId="269" xr:uid="{00000000-0005-0000-0000-00000D010000}"/>
    <cellStyle name="_대곡이설(투찰)_양곡부두(투찰)-0.31%_합덕-신례원(2공구)투찰_봉무지방산업단지도로(투찰)②+0.250% 2" xfId="1677" xr:uid="{00000000-0005-0000-0000-00008D060000}"/>
    <cellStyle name="_대곡이설(투찰)_양곡부두(투찰)-0.31%_합덕-신례원(2공구)투찰_봉무지방산업단지도로(투찰)②+0.250%_마현생창(동양고속)" xfId="270" xr:uid="{00000000-0005-0000-0000-00000E010000}"/>
    <cellStyle name="_대곡이설(투찰)_양곡부두(투찰)-0.31%_합덕-신례원(2공구)투찰_봉무지방산업단지도로(투찰)②+0.250%_마현생창(동양고속) 2" xfId="1678" xr:uid="{00000000-0005-0000-0000-00008E060000}"/>
    <cellStyle name="_대곡이설(투찰)_양곡부두(투찰)-0.31%_합덕-신례원(2공구)투찰_봉무지방산업단지도로(투찰)②+0.250%_마현생창(동양고속)_왜관-태평건설" xfId="271" xr:uid="{00000000-0005-0000-0000-00000F010000}"/>
    <cellStyle name="_대곡이설(투찰)_양곡부두(투찰)-0.31%_합덕-신례원(2공구)투찰_봉무지방산업단지도로(투찰)②+0.250%_마현생창(동양고속)_왜관-태평건설 2" xfId="1679" xr:uid="{00000000-0005-0000-0000-00008F060000}"/>
    <cellStyle name="_대곡이설(투찰)_양곡부두(투찰)-0.31%_합덕-신례원(2공구)투찰_봉무지방산업단지도로(투찰)②+0.250%_왜관-태평건설" xfId="272" xr:uid="{00000000-0005-0000-0000-000010010000}"/>
    <cellStyle name="_대곡이설(투찰)_양곡부두(투찰)-0.31%_합덕-신례원(2공구)투찰_봉무지방산업단지도로(투찰)②+0.250%_왜관-태평건설 2" xfId="1680" xr:uid="{00000000-0005-0000-0000-000090060000}"/>
    <cellStyle name="_대곡이설(투찰)_양곡부두(투찰)-0.31%_합덕-신례원(2공구)투찰_왜관-태평건설" xfId="273" xr:uid="{00000000-0005-0000-0000-000011010000}"/>
    <cellStyle name="_대곡이설(투찰)_양곡부두(투찰)-0.31%_합덕-신례원(2공구)투찰_왜관-태평건설 2" xfId="1681" xr:uid="{00000000-0005-0000-0000-000091060000}"/>
    <cellStyle name="_대곡이설(투찰)_양곡부두(투찰)-0.31%_합덕-신례원(2공구)투찰_합덕-신례원(2공구)투찰" xfId="274" xr:uid="{00000000-0005-0000-0000-000012010000}"/>
    <cellStyle name="_대곡이설(투찰)_양곡부두(투찰)-0.31%_합덕-신례원(2공구)투찰_합덕-신례원(2공구)투찰 2" xfId="1682" xr:uid="{00000000-0005-0000-0000-000092060000}"/>
    <cellStyle name="_대곡이설(투찰)_양곡부두(투찰)-0.31%_합덕-신례원(2공구)투찰_합덕-신례원(2공구)투찰_경찰서-터미널간도로(투찰)②" xfId="275" xr:uid="{00000000-0005-0000-0000-000013010000}"/>
    <cellStyle name="_대곡이설(투찰)_양곡부두(투찰)-0.31%_합덕-신례원(2공구)투찰_합덕-신례원(2공구)투찰_경찰서-터미널간도로(투찰)② 2" xfId="1683" xr:uid="{00000000-0005-0000-0000-000093060000}"/>
    <cellStyle name="_대곡이설(투찰)_양곡부두(투찰)-0.31%_합덕-신례원(2공구)투찰_합덕-신례원(2공구)투찰_경찰서-터미널간도로(투찰)②_마현생창(동양고속)" xfId="276" xr:uid="{00000000-0005-0000-0000-000014010000}"/>
    <cellStyle name="_대곡이설(투찰)_양곡부두(투찰)-0.31%_합덕-신례원(2공구)투찰_합덕-신례원(2공구)투찰_경찰서-터미널간도로(투찰)②_마현생창(동양고속) 2" xfId="1684" xr:uid="{00000000-0005-0000-0000-000094060000}"/>
    <cellStyle name="_대곡이설(투찰)_양곡부두(투찰)-0.31%_합덕-신례원(2공구)투찰_합덕-신례원(2공구)투찰_경찰서-터미널간도로(투찰)②_마현생창(동양고속)_왜관-태평건설" xfId="277" xr:uid="{00000000-0005-0000-0000-000015010000}"/>
    <cellStyle name="_대곡이설(투찰)_양곡부두(투찰)-0.31%_합덕-신례원(2공구)투찰_합덕-신례원(2공구)투찰_경찰서-터미널간도로(투찰)②_마현생창(동양고속)_왜관-태평건설 2" xfId="1685" xr:uid="{00000000-0005-0000-0000-000095060000}"/>
    <cellStyle name="_대곡이설(투찰)_양곡부두(투찰)-0.31%_합덕-신례원(2공구)투찰_합덕-신례원(2공구)투찰_경찰서-터미널간도로(투찰)②_왜관-태평건설" xfId="278" xr:uid="{00000000-0005-0000-0000-000016010000}"/>
    <cellStyle name="_대곡이설(투찰)_양곡부두(투찰)-0.31%_합덕-신례원(2공구)투찰_합덕-신례원(2공구)투찰_경찰서-터미널간도로(투찰)②_왜관-태평건설 2" xfId="1686" xr:uid="{00000000-0005-0000-0000-000096060000}"/>
    <cellStyle name="_대곡이설(투찰)_양곡부두(투찰)-0.31%_합덕-신례원(2공구)투찰_합덕-신례원(2공구)투찰_마현생창(동양고속)" xfId="279" xr:uid="{00000000-0005-0000-0000-000017010000}"/>
    <cellStyle name="_대곡이설(투찰)_양곡부두(투찰)-0.31%_합덕-신례원(2공구)투찰_합덕-신례원(2공구)투찰_마현생창(동양고속) 2" xfId="1687" xr:uid="{00000000-0005-0000-0000-000097060000}"/>
    <cellStyle name="_대곡이설(투찰)_양곡부두(투찰)-0.31%_합덕-신례원(2공구)투찰_합덕-신례원(2공구)투찰_마현생창(동양고속)_왜관-태평건설" xfId="280" xr:uid="{00000000-0005-0000-0000-000018010000}"/>
    <cellStyle name="_대곡이설(투찰)_양곡부두(투찰)-0.31%_합덕-신례원(2공구)투찰_합덕-신례원(2공구)투찰_마현생창(동양고속)_왜관-태평건설 2" xfId="1688" xr:uid="{00000000-0005-0000-0000-000098060000}"/>
    <cellStyle name="_대곡이설(투찰)_양곡부두(투찰)-0.31%_합덕-신례원(2공구)투찰_합덕-신례원(2공구)투찰_봉무지방산업단지도로(투찰)②" xfId="281" xr:uid="{00000000-0005-0000-0000-000019010000}"/>
    <cellStyle name="_대곡이설(투찰)_양곡부두(투찰)-0.31%_합덕-신례원(2공구)투찰_합덕-신례원(2공구)투찰_봉무지방산업단지도로(투찰)② 2" xfId="1689" xr:uid="{00000000-0005-0000-0000-000099060000}"/>
    <cellStyle name="_대곡이설(투찰)_양곡부두(투찰)-0.31%_합덕-신례원(2공구)투찰_합덕-신례원(2공구)투찰_봉무지방산업단지도로(투찰)②_마현생창(동양고속)" xfId="282" xr:uid="{00000000-0005-0000-0000-00001A010000}"/>
    <cellStyle name="_대곡이설(투찰)_양곡부두(투찰)-0.31%_합덕-신례원(2공구)투찰_합덕-신례원(2공구)투찰_봉무지방산업단지도로(투찰)②_마현생창(동양고속) 2" xfId="1690" xr:uid="{00000000-0005-0000-0000-00009A060000}"/>
    <cellStyle name="_대곡이설(투찰)_양곡부두(투찰)-0.31%_합덕-신례원(2공구)투찰_합덕-신례원(2공구)투찰_봉무지방산업단지도로(투찰)②_마현생창(동양고속)_왜관-태평건설" xfId="283" xr:uid="{00000000-0005-0000-0000-00001B010000}"/>
    <cellStyle name="_대곡이설(투찰)_양곡부두(투찰)-0.31%_합덕-신례원(2공구)투찰_합덕-신례원(2공구)투찰_봉무지방산업단지도로(투찰)②_마현생창(동양고속)_왜관-태평건설 2" xfId="1691" xr:uid="{00000000-0005-0000-0000-00009B060000}"/>
    <cellStyle name="_대곡이설(투찰)_양곡부두(투찰)-0.31%_합덕-신례원(2공구)투찰_합덕-신례원(2공구)투찰_봉무지방산업단지도로(투찰)②_왜관-태평건설" xfId="284" xr:uid="{00000000-0005-0000-0000-00001C010000}"/>
    <cellStyle name="_대곡이설(투찰)_양곡부두(투찰)-0.31%_합덕-신례원(2공구)투찰_합덕-신례원(2공구)투찰_봉무지방산업단지도로(투찰)②_왜관-태평건설 2" xfId="1692" xr:uid="{00000000-0005-0000-0000-00009C060000}"/>
    <cellStyle name="_대곡이설(투찰)_양곡부두(투찰)-0.31%_합덕-신례원(2공구)투찰_합덕-신례원(2공구)투찰_봉무지방산업단지도로(투찰)②+0.250%" xfId="285" xr:uid="{00000000-0005-0000-0000-00001D010000}"/>
    <cellStyle name="_대곡이설(투찰)_양곡부두(투찰)-0.31%_합덕-신례원(2공구)투찰_합덕-신례원(2공구)투찰_봉무지방산업단지도로(투찰)②+0.250% 2" xfId="1693" xr:uid="{00000000-0005-0000-0000-00009D060000}"/>
    <cellStyle name="_대곡이설(투찰)_양곡부두(투찰)-0.31%_합덕-신례원(2공구)투찰_합덕-신례원(2공구)투찰_봉무지방산업단지도로(투찰)②+0.250%_마현생창(동양고속)" xfId="286" xr:uid="{00000000-0005-0000-0000-00001E010000}"/>
    <cellStyle name="_대곡이설(투찰)_양곡부두(투찰)-0.31%_합덕-신례원(2공구)투찰_합덕-신례원(2공구)투찰_봉무지방산업단지도로(투찰)②+0.250%_마현생창(동양고속) 2" xfId="1694" xr:uid="{00000000-0005-0000-0000-00009E060000}"/>
    <cellStyle name="_대곡이설(투찰)_양곡부두(투찰)-0.31%_합덕-신례원(2공구)투찰_합덕-신례원(2공구)투찰_봉무지방산업단지도로(투찰)②+0.250%_마현생창(동양고속)_왜관-태평건설" xfId="287" xr:uid="{00000000-0005-0000-0000-00001F010000}"/>
    <cellStyle name="_대곡이설(투찰)_양곡부두(투찰)-0.31%_합덕-신례원(2공구)투찰_합덕-신례원(2공구)투찰_봉무지방산업단지도로(투찰)②+0.250%_마현생창(동양고속)_왜관-태평건설 2" xfId="1695" xr:uid="{00000000-0005-0000-0000-00009F060000}"/>
    <cellStyle name="_대곡이설(투찰)_양곡부두(투찰)-0.31%_합덕-신례원(2공구)투찰_합덕-신례원(2공구)투찰_봉무지방산업단지도로(투찰)②+0.250%_왜관-태평건설" xfId="288" xr:uid="{00000000-0005-0000-0000-000020010000}"/>
    <cellStyle name="_대곡이설(투찰)_양곡부두(투찰)-0.31%_합덕-신례원(2공구)투찰_합덕-신례원(2공구)투찰_봉무지방산업단지도로(투찰)②+0.250%_왜관-태평건설 2" xfId="1696" xr:uid="{00000000-0005-0000-0000-0000A0060000}"/>
    <cellStyle name="_대곡이설(투찰)_양곡부두(투찰)-0.31%_합덕-신례원(2공구)투찰_합덕-신례원(2공구)투찰_왜관-태평건설" xfId="289" xr:uid="{00000000-0005-0000-0000-000021010000}"/>
    <cellStyle name="_대곡이설(투찰)_양곡부두(투찰)-0.31%_합덕-신례원(2공구)투찰_합덕-신례원(2공구)투찰_왜관-태평건설 2" xfId="1697" xr:uid="{00000000-0005-0000-0000-0000A1060000}"/>
    <cellStyle name="_대곡이설(투찰)_왜관-태평건설" xfId="290" xr:uid="{00000000-0005-0000-0000-000022010000}"/>
    <cellStyle name="_대곡이설(투찰)_왜관-태평건설 2" xfId="1698" xr:uid="{00000000-0005-0000-0000-0000A2060000}"/>
    <cellStyle name="_대곡이설(투찰)_창원상수도(토목)투찰" xfId="291" xr:uid="{00000000-0005-0000-0000-000023010000}"/>
    <cellStyle name="_대곡이설(투찰)_창원상수도(토목)투찰 2" xfId="1699" xr:uid="{00000000-0005-0000-0000-0000A3060000}"/>
    <cellStyle name="_대곡이설(투찰)_창원상수도(토목)투찰_경찰서-터미널간도로(투찰)②" xfId="292" xr:uid="{00000000-0005-0000-0000-000024010000}"/>
    <cellStyle name="_대곡이설(투찰)_창원상수도(토목)투찰_경찰서-터미널간도로(투찰)② 2" xfId="1700" xr:uid="{00000000-0005-0000-0000-0000A4060000}"/>
    <cellStyle name="_대곡이설(투찰)_창원상수도(토목)투찰_경찰서-터미널간도로(투찰)②_마현생창(동양고속)" xfId="293" xr:uid="{00000000-0005-0000-0000-000025010000}"/>
    <cellStyle name="_대곡이설(투찰)_창원상수도(토목)투찰_경찰서-터미널간도로(투찰)②_마현생창(동양고속) 2" xfId="1701" xr:uid="{00000000-0005-0000-0000-0000A5060000}"/>
    <cellStyle name="_대곡이설(투찰)_창원상수도(토목)투찰_경찰서-터미널간도로(투찰)②_마현생창(동양고속)_왜관-태평건설" xfId="294" xr:uid="{00000000-0005-0000-0000-000026010000}"/>
    <cellStyle name="_대곡이설(투찰)_창원상수도(토목)투찰_경찰서-터미널간도로(투찰)②_마현생창(동양고속)_왜관-태평건설 2" xfId="1702" xr:uid="{00000000-0005-0000-0000-0000A6060000}"/>
    <cellStyle name="_대곡이설(투찰)_창원상수도(토목)투찰_경찰서-터미널간도로(투찰)②_왜관-태평건설" xfId="295" xr:uid="{00000000-0005-0000-0000-000027010000}"/>
    <cellStyle name="_대곡이설(투찰)_창원상수도(토목)투찰_경찰서-터미널간도로(투찰)②_왜관-태평건설 2" xfId="1703" xr:uid="{00000000-0005-0000-0000-0000A7060000}"/>
    <cellStyle name="_대곡이설(투찰)_창원상수도(토목)투찰_마현생창(동양고속)" xfId="296" xr:uid="{00000000-0005-0000-0000-000028010000}"/>
    <cellStyle name="_대곡이설(투찰)_창원상수도(토목)투찰_마현생창(동양고속) 2" xfId="1704" xr:uid="{00000000-0005-0000-0000-0000A8060000}"/>
    <cellStyle name="_대곡이설(투찰)_창원상수도(토목)투찰_마현생창(동양고속)_왜관-태평건설" xfId="297" xr:uid="{00000000-0005-0000-0000-000029010000}"/>
    <cellStyle name="_대곡이설(투찰)_창원상수도(토목)투찰_마현생창(동양고속)_왜관-태평건설 2" xfId="1705" xr:uid="{00000000-0005-0000-0000-0000A9060000}"/>
    <cellStyle name="_대곡이설(투찰)_창원상수도(토목)투찰_봉무지방산업단지도로(투찰)②" xfId="298" xr:uid="{00000000-0005-0000-0000-00002A010000}"/>
    <cellStyle name="_대곡이설(투찰)_창원상수도(토목)투찰_봉무지방산업단지도로(투찰)② 2" xfId="1706" xr:uid="{00000000-0005-0000-0000-0000AA060000}"/>
    <cellStyle name="_대곡이설(투찰)_창원상수도(토목)투찰_봉무지방산업단지도로(투찰)②_마현생창(동양고속)" xfId="299" xr:uid="{00000000-0005-0000-0000-00002B010000}"/>
    <cellStyle name="_대곡이설(투찰)_창원상수도(토목)투찰_봉무지방산업단지도로(투찰)②_마현생창(동양고속) 2" xfId="1707" xr:uid="{00000000-0005-0000-0000-0000AB060000}"/>
    <cellStyle name="_대곡이설(투찰)_창원상수도(토목)투찰_봉무지방산업단지도로(투찰)②_마현생창(동양고속)_왜관-태평건설" xfId="300" xr:uid="{00000000-0005-0000-0000-00002C010000}"/>
    <cellStyle name="_대곡이설(투찰)_창원상수도(토목)투찰_봉무지방산업단지도로(투찰)②_마현생창(동양고속)_왜관-태평건설 2" xfId="1708" xr:uid="{00000000-0005-0000-0000-0000AC060000}"/>
    <cellStyle name="_대곡이설(투찰)_창원상수도(토목)투찰_봉무지방산업단지도로(투찰)②_왜관-태평건설" xfId="301" xr:uid="{00000000-0005-0000-0000-00002D010000}"/>
    <cellStyle name="_대곡이설(투찰)_창원상수도(토목)투찰_봉무지방산업단지도로(투찰)②_왜관-태평건설 2" xfId="1709" xr:uid="{00000000-0005-0000-0000-0000AD060000}"/>
    <cellStyle name="_대곡이설(투찰)_창원상수도(토목)투찰_봉무지방산업단지도로(투찰)②+0.250%" xfId="302" xr:uid="{00000000-0005-0000-0000-00002E010000}"/>
    <cellStyle name="_대곡이설(투찰)_창원상수도(토목)투찰_봉무지방산업단지도로(투찰)②+0.250% 2" xfId="1710" xr:uid="{00000000-0005-0000-0000-0000AE060000}"/>
    <cellStyle name="_대곡이설(투찰)_창원상수도(토목)투찰_봉무지방산업단지도로(투찰)②+0.250%_마현생창(동양고속)" xfId="303" xr:uid="{00000000-0005-0000-0000-00002F010000}"/>
    <cellStyle name="_대곡이설(투찰)_창원상수도(토목)투찰_봉무지방산업단지도로(투찰)②+0.250%_마현생창(동양고속) 2" xfId="1711" xr:uid="{00000000-0005-0000-0000-0000AF060000}"/>
    <cellStyle name="_대곡이설(투찰)_창원상수도(토목)투찰_봉무지방산업단지도로(투찰)②+0.250%_마현생창(동양고속)_왜관-태평건설" xfId="304" xr:uid="{00000000-0005-0000-0000-000030010000}"/>
    <cellStyle name="_대곡이설(투찰)_창원상수도(토목)투찰_봉무지방산업단지도로(투찰)②+0.250%_마현생창(동양고속)_왜관-태평건설 2" xfId="1712" xr:uid="{00000000-0005-0000-0000-0000B0060000}"/>
    <cellStyle name="_대곡이설(투찰)_창원상수도(토목)투찰_봉무지방산업단지도로(투찰)②+0.250%_왜관-태평건설" xfId="305" xr:uid="{00000000-0005-0000-0000-000031010000}"/>
    <cellStyle name="_대곡이설(투찰)_창원상수도(토목)투찰_봉무지방산업단지도로(투찰)②+0.250%_왜관-태평건설 2" xfId="1713" xr:uid="{00000000-0005-0000-0000-0000B1060000}"/>
    <cellStyle name="_대곡이설(투찰)_창원상수도(토목)투찰_왜관-태평건설" xfId="306" xr:uid="{00000000-0005-0000-0000-000032010000}"/>
    <cellStyle name="_대곡이설(투찰)_창원상수도(토목)투찰_왜관-태평건설 2" xfId="1714" xr:uid="{00000000-0005-0000-0000-0000B2060000}"/>
    <cellStyle name="_대곡이설(투찰)_창원상수도(토목)투찰_합덕-신례원(2공구)투찰" xfId="307" xr:uid="{00000000-0005-0000-0000-000033010000}"/>
    <cellStyle name="_대곡이설(투찰)_창원상수도(토목)투찰_합덕-신례원(2공구)투찰 2" xfId="1715" xr:uid="{00000000-0005-0000-0000-0000B3060000}"/>
    <cellStyle name="_대곡이설(투찰)_창원상수도(토목)투찰_합덕-신례원(2공구)투찰_경찰서-터미널간도로(투찰)②" xfId="308" xr:uid="{00000000-0005-0000-0000-000034010000}"/>
    <cellStyle name="_대곡이설(투찰)_창원상수도(토목)투찰_합덕-신례원(2공구)투찰_경찰서-터미널간도로(투찰)② 2" xfId="1716" xr:uid="{00000000-0005-0000-0000-0000B4060000}"/>
    <cellStyle name="_대곡이설(투찰)_창원상수도(토목)투찰_합덕-신례원(2공구)투찰_경찰서-터미널간도로(투찰)②_마현생창(동양고속)" xfId="309" xr:uid="{00000000-0005-0000-0000-000035010000}"/>
    <cellStyle name="_대곡이설(투찰)_창원상수도(토목)투찰_합덕-신례원(2공구)투찰_경찰서-터미널간도로(투찰)②_마현생창(동양고속) 2" xfId="1717" xr:uid="{00000000-0005-0000-0000-0000B5060000}"/>
    <cellStyle name="_대곡이설(투찰)_창원상수도(토목)투찰_합덕-신례원(2공구)투찰_경찰서-터미널간도로(투찰)②_마현생창(동양고속)_왜관-태평건설" xfId="310" xr:uid="{00000000-0005-0000-0000-000036010000}"/>
    <cellStyle name="_대곡이설(투찰)_창원상수도(토목)투찰_합덕-신례원(2공구)투찰_경찰서-터미널간도로(투찰)②_마현생창(동양고속)_왜관-태평건설 2" xfId="1718" xr:uid="{00000000-0005-0000-0000-0000B6060000}"/>
    <cellStyle name="_대곡이설(투찰)_창원상수도(토목)투찰_합덕-신례원(2공구)투찰_경찰서-터미널간도로(투찰)②_왜관-태평건설" xfId="311" xr:uid="{00000000-0005-0000-0000-000037010000}"/>
    <cellStyle name="_대곡이설(투찰)_창원상수도(토목)투찰_합덕-신례원(2공구)투찰_경찰서-터미널간도로(투찰)②_왜관-태평건설 2" xfId="1719" xr:uid="{00000000-0005-0000-0000-0000B7060000}"/>
    <cellStyle name="_대곡이설(투찰)_창원상수도(토목)투찰_합덕-신례원(2공구)투찰_마현생창(동양고속)" xfId="312" xr:uid="{00000000-0005-0000-0000-000038010000}"/>
    <cellStyle name="_대곡이설(투찰)_창원상수도(토목)투찰_합덕-신례원(2공구)투찰_마현생창(동양고속) 2" xfId="1720" xr:uid="{00000000-0005-0000-0000-0000B8060000}"/>
    <cellStyle name="_대곡이설(투찰)_창원상수도(토목)투찰_합덕-신례원(2공구)투찰_마현생창(동양고속)_왜관-태평건설" xfId="313" xr:uid="{00000000-0005-0000-0000-000039010000}"/>
    <cellStyle name="_대곡이설(투찰)_창원상수도(토목)투찰_합덕-신례원(2공구)투찰_마현생창(동양고속)_왜관-태평건설 2" xfId="1721" xr:uid="{00000000-0005-0000-0000-0000B9060000}"/>
    <cellStyle name="_대곡이설(투찰)_창원상수도(토목)투찰_합덕-신례원(2공구)투찰_봉무지방산업단지도로(투찰)②" xfId="314" xr:uid="{00000000-0005-0000-0000-00003A010000}"/>
    <cellStyle name="_대곡이설(투찰)_창원상수도(토목)투찰_합덕-신례원(2공구)투찰_봉무지방산업단지도로(투찰)② 2" xfId="1722" xr:uid="{00000000-0005-0000-0000-0000BA060000}"/>
    <cellStyle name="_대곡이설(투찰)_창원상수도(토목)투찰_합덕-신례원(2공구)투찰_봉무지방산업단지도로(투찰)②_마현생창(동양고속)" xfId="315" xr:uid="{00000000-0005-0000-0000-00003B010000}"/>
    <cellStyle name="_대곡이설(투찰)_창원상수도(토목)투찰_합덕-신례원(2공구)투찰_봉무지방산업단지도로(투찰)②_마현생창(동양고속) 2" xfId="1723" xr:uid="{00000000-0005-0000-0000-0000BB060000}"/>
    <cellStyle name="_대곡이설(투찰)_창원상수도(토목)투찰_합덕-신례원(2공구)투찰_봉무지방산업단지도로(투찰)②_마현생창(동양고속)_왜관-태평건설" xfId="316" xr:uid="{00000000-0005-0000-0000-00003C010000}"/>
    <cellStyle name="_대곡이설(투찰)_창원상수도(토목)투찰_합덕-신례원(2공구)투찰_봉무지방산업단지도로(투찰)②_마현생창(동양고속)_왜관-태평건설 2" xfId="1724" xr:uid="{00000000-0005-0000-0000-0000BC060000}"/>
    <cellStyle name="_대곡이설(투찰)_창원상수도(토목)투찰_합덕-신례원(2공구)투찰_봉무지방산업단지도로(투찰)②_왜관-태평건설" xfId="317" xr:uid="{00000000-0005-0000-0000-00003D010000}"/>
    <cellStyle name="_대곡이설(투찰)_창원상수도(토목)투찰_합덕-신례원(2공구)투찰_봉무지방산업단지도로(투찰)②_왜관-태평건설 2" xfId="1725" xr:uid="{00000000-0005-0000-0000-0000BD060000}"/>
    <cellStyle name="_대곡이설(투찰)_창원상수도(토목)투찰_합덕-신례원(2공구)투찰_봉무지방산업단지도로(투찰)②+0.250%" xfId="318" xr:uid="{00000000-0005-0000-0000-00003E010000}"/>
    <cellStyle name="_대곡이설(투찰)_창원상수도(토목)투찰_합덕-신례원(2공구)투찰_봉무지방산업단지도로(투찰)②+0.250% 2" xfId="1726" xr:uid="{00000000-0005-0000-0000-0000BE060000}"/>
    <cellStyle name="_대곡이설(투찰)_창원상수도(토목)투찰_합덕-신례원(2공구)투찰_봉무지방산업단지도로(투찰)②+0.250%_마현생창(동양고속)" xfId="319" xr:uid="{00000000-0005-0000-0000-00003F010000}"/>
    <cellStyle name="_대곡이설(투찰)_창원상수도(토목)투찰_합덕-신례원(2공구)투찰_봉무지방산업단지도로(투찰)②+0.250%_마현생창(동양고속) 2" xfId="1727" xr:uid="{00000000-0005-0000-0000-0000BF060000}"/>
    <cellStyle name="_대곡이설(투찰)_창원상수도(토목)투찰_합덕-신례원(2공구)투찰_봉무지방산업단지도로(투찰)②+0.250%_마현생창(동양고속)_왜관-태평건설" xfId="320" xr:uid="{00000000-0005-0000-0000-000040010000}"/>
    <cellStyle name="_대곡이설(투찰)_창원상수도(토목)투찰_합덕-신례원(2공구)투찰_봉무지방산업단지도로(투찰)②+0.250%_마현생창(동양고속)_왜관-태평건설 2" xfId="1728" xr:uid="{00000000-0005-0000-0000-0000C0060000}"/>
    <cellStyle name="_대곡이설(투찰)_창원상수도(토목)투찰_합덕-신례원(2공구)투찰_봉무지방산업단지도로(투찰)②+0.250%_왜관-태평건설" xfId="321" xr:uid="{00000000-0005-0000-0000-000041010000}"/>
    <cellStyle name="_대곡이설(투찰)_창원상수도(토목)투찰_합덕-신례원(2공구)투찰_봉무지방산업단지도로(투찰)②+0.250%_왜관-태평건설 2" xfId="1729" xr:uid="{00000000-0005-0000-0000-0000C1060000}"/>
    <cellStyle name="_대곡이설(투찰)_창원상수도(토목)투찰_합덕-신례원(2공구)투찰_왜관-태평건설" xfId="322" xr:uid="{00000000-0005-0000-0000-000042010000}"/>
    <cellStyle name="_대곡이설(투찰)_창원상수도(토목)투찰_합덕-신례원(2공구)투찰_왜관-태평건설 2" xfId="1730" xr:uid="{00000000-0005-0000-0000-0000C2060000}"/>
    <cellStyle name="_대곡이설(투찰)_창원상수도(토목)투찰_합덕-신례원(2공구)투찰_합덕-신례원(2공구)투찰" xfId="323" xr:uid="{00000000-0005-0000-0000-000043010000}"/>
    <cellStyle name="_대곡이설(투찰)_창원상수도(토목)투찰_합덕-신례원(2공구)투찰_합덕-신례원(2공구)투찰 2" xfId="1731" xr:uid="{00000000-0005-0000-0000-0000C3060000}"/>
    <cellStyle name="_대곡이설(투찰)_창원상수도(토목)투찰_합덕-신례원(2공구)투찰_합덕-신례원(2공구)투찰_경찰서-터미널간도로(투찰)②" xfId="324" xr:uid="{00000000-0005-0000-0000-000044010000}"/>
    <cellStyle name="_대곡이설(투찰)_창원상수도(토목)투찰_합덕-신례원(2공구)투찰_합덕-신례원(2공구)투찰_경찰서-터미널간도로(투찰)② 2" xfId="1732" xr:uid="{00000000-0005-0000-0000-0000C4060000}"/>
    <cellStyle name="_대곡이설(투찰)_창원상수도(토목)투찰_합덕-신례원(2공구)투찰_합덕-신례원(2공구)투찰_경찰서-터미널간도로(투찰)②_마현생창(동양고속)" xfId="325" xr:uid="{00000000-0005-0000-0000-000045010000}"/>
    <cellStyle name="_대곡이설(투찰)_창원상수도(토목)투찰_합덕-신례원(2공구)투찰_합덕-신례원(2공구)투찰_경찰서-터미널간도로(투찰)②_마현생창(동양고속) 2" xfId="1733" xr:uid="{00000000-0005-0000-0000-0000C5060000}"/>
    <cellStyle name="_대곡이설(투찰)_창원상수도(토목)투찰_합덕-신례원(2공구)투찰_합덕-신례원(2공구)투찰_경찰서-터미널간도로(투찰)②_마현생창(동양고속)_왜관-태평건설" xfId="326" xr:uid="{00000000-0005-0000-0000-000046010000}"/>
    <cellStyle name="_대곡이설(투찰)_창원상수도(토목)투찰_합덕-신례원(2공구)투찰_합덕-신례원(2공구)투찰_경찰서-터미널간도로(투찰)②_마현생창(동양고속)_왜관-태평건설 2" xfId="1734" xr:uid="{00000000-0005-0000-0000-0000C6060000}"/>
    <cellStyle name="_대곡이설(투찰)_창원상수도(토목)투찰_합덕-신례원(2공구)투찰_합덕-신례원(2공구)투찰_경찰서-터미널간도로(투찰)②_왜관-태평건설" xfId="327" xr:uid="{00000000-0005-0000-0000-000047010000}"/>
    <cellStyle name="_대곡이설(투찰)_창원상수도(토목)투찰_합덕-신례원(2공구)투찰_합덕-신례원(2공구)투찰_경찰서-터미널간도로(투찰)②_왜관-태평건설 2" xfId="1735" xr:uid="{00000000-0005-0000-0000-0000C7060000}"/>
    <cellStyle name="_대곡이설(투찰)_창원상수도(토목)투찰_합덕-신례원(2공구)투찰_합덕-신례원(2공구)투찰_마현생창(동양고속)" xfId="328" xr:uid="{00000000-0005-0000-0000-000048010000}"/>
    <cellStyle name="_대곡이설(투찰)_창원상수도(토목)투찰_합덕-신례원(2공구)투찰_합덕-신례원(2공구)투찰_마현생창(동양고속) 2" xfId="1736" xr:uid="{00000000-0005-0000-0000-0000C8060000}"/>
    <cellStyle name="_대곡이설(투찰)_창원상수도(토목)투찰_합덕-신례원(2공구)투찰_합덕-신례원(2공구)투찰_마현생창(동양고속)_왜관-태평건설" xfId="329" xr:uid="{00000000-0005-0000-0000-000049010000}"/>
    <cellStyle name="_대곡이설(투찰)_창원상수도(토목)투찰_합덕-신례원(2공구)투찰_합덕-신례원(2공구)투찰_마현생창(동양고속)_왜관-태평건설 2" xfId="1737" xr:uid="{00000000-0005-0000-0000-0000C9060000}"/>
    <cellStyle name="_대곡이설(투찰)_창원상수도(토목)투찰_합덕-신례원(2공구)투찰_합덕-신례원(2공구)투찰_봉무지방산업단지도로(투찰)②" xfId="330" xr:uid="{00000000-0005-0000-0000-00004A010000}"/>
    <cellStyle name="_대곡이설(투찰)_창원상수도(토목)투찰_합덕-신례원(2공구)투찰_합덕-신례원(2공구)투찰_봉무지방산업단지도로(투찰)② 2" xfId="1738" xr:uid="{00000000-0005-0000-0000-0000CA060000}"/>
    <cellStyle name="_대곡이설(투찰)_창원상수도(토목)투찰_합덕-신례원(2공구)투찰_합덕-신례원(2공구)투찰_봉무지방산업단지도로(투찰)②_마현생창(동양고속)" xfId="331" xr:uid="{00000000-0005-0000-0000-00004B010000}"/>
    <cellStyle name="_대곡이설(투찰)_창원상수도(토목)투찰_합덕-신례원(2공구)투찰_합덕-신례원(2공구)투찰_봉무지방산업단지도로(투찰)②_마현생창(동양고속) 2" xfId="1739" xr:uid="{00000000-0005-0000-0000-0000CB060000}"/>
    <cellStyle name="_대곡이설(투찰)_창원상수도(토목)투찰_합덕-신례원(2공구)투찰_합덕-신례원(2공구)투찰_봉무지방산업단지도로(투찰)②_마현생창(동양고속)_왜관-태평건설" xfId="332" xr:uid="{00000000-0005-0000-0000-00004C010000}"/>
    <cellStyle name="_대곡이설(투찰)_창원상수도(토목)투찰_합덕-신례원(2공구)투찰_합덕-신례원(2공구)투찰_봉무지방산업단지도로(투찰)②_마현생창(동양고속)_왜관-태평건설 2" xfId="1740" xr:uid="{00000000-0005-0000-0000-0000CC060000}"/>
    <cellStyle name="_대곡이설(투찰)_창원상수도(토목)투찰_합덕-신례원(2공구)투찰_합덕-신례원(2공구)투찰_봉무지방산업단지도로(투찰)②_왜관-태평건설" xfId="333" xr:uid="{00000000-0005-0000-0000-00004D010000}"/>
    <cellStyle name="_대곡이설(투찰)_창원상수도(토목)투찰_합덕-신례원(2공구)투찰_합덕-신례원(2공구)투찰_봉무지방산업단지도로(투찰)②_왜관-태평건설 2" xfId="1741" xr:uid="{00000000-0005-0000-0000-0000CD060000}"/>
    <cellStyle name="_대곡이설(투찰)_창원상수도(토목)투찰_합덕-신례원(2공구)투찰_합덕-신례원(2공구)투찰_봉무지방산업단지도로(투찰)②+0.250%" xfId="334" xr:uid="{00000000-0005-0000-0000-00004E010000}"/>
    <cellStyle name="_대곡이설(투찰)_창원상수도(토목)투찰_합덕-신례원(2공구)투찰_합덕-신례원(2공구)투찰_봉무지방산업단지도로(투찰)②+0.250% 2" xfId="1742" xr:uid="{00000000-0005-0000-0000-0000CE060000}"/>
    <cellStyle name="_대곡이설(투찰)_창원상수도(토목)투찰_합덕-신례원(2공구)투찰_합덕-신례원(2공구)투찰_봉무지방산업단지도로(투찰)②+0.250%_마현생창(동양고속)" xfId="335" xr:uid="{00000000-0005-0000-0000-00004F010000}"/>
    <cellStyle name="_대곡이설(투찰)_창원상수도(토목)투찰_합덕-신례원(2공구)투찰_합덕-신례원(2공구)투찰_봉무지방산업단지도로(투찰)②+0.250%_마현생창(동양고속) 2" xfId="1743" xr:uid="{00000000-0005-0000-0000-0000CF060000}"/>
    <cellStyle name="_대곡이설(투찰)_창원상수도(토목)투찰_합덕-신례원(2공구)투찰_합덕-신례원(2공구)투찰_봉무지방산업단지도로(투찰)②+0.250%_마현생창(동양고속)_왜관-태평건설" xfId="336" xr:uid="{00000000-0005-0000-0000-000050010000}"/>
    <cellStyle name="_대곡이설(투찰)_창원상수도(토목)투찰_합덕-신례원(2공구)투찰_합덕-신례원(2공구)투찰_봉무지방산업단지도로(투찰)②+0.250%_마현생창(동양고속)_왜관-태평건설 2" xfId="1744" xr:uid="{00000000-0005-0000-0000-0000D0060000}"/>
    <cellStyle name="_대곡이설(투찰)_창원상수도(토목)투찰_합덕-신례원(2공구)투찰_합덕-신례원(2공구)투찰_봉무지방산업단지도로(투찰)②+0.250%_왜관-태평건설" xfId="337" xr:uid="{00000000-0005-0000-0000-000051010000}"/>
    <cellStyle name="_대곡이설(투찰)_창원상수도(토목)투찰_합덕-신례원(2공구)투찰_합덕-신례원(2공구)투찰_봉무지방산업단지도로(투찰)②+0.250%_왜관-태평건설 2" xfId="1745" xr:uid="{00000000-0005-0000-0000-0000D1060000}"/>
    <cellStyle name="_대곡이설(투찰)_창원상수도(토목)투찰_합덕-신례원(2공구)투찰_합덕-신례원(2공구)투찰_왜관-태평건설" xfId="338" xr:uid="{00000000-0005-0000-0000-000052010000}"/>
    <cellStyle name="_대곡이설(투찰)_창원상수도(토목)투찰_합덕-신례원(2공구)투찰_합덕-신례원(2공구)투찰_왜관-태평건설 2" xfId="1746" xr:uid="{00000000-0005-0000-0000-0000D2060000}"/>
    <cellStyle name="_대곡이설(투찰)_합덕-신례원(2공구)투찰" xfId="339" xr:uid="{00000000-0005-0000-0000-000053010000}"/>
    <cellStyle name="_대곡이설(투찰)_합덕-신례원(2공구)투찰 2" xfId="1747" xr:uid="{00000000-0005-0000-0000-0000D3060000}"/>
    <cellStyle name="_대곡이설(투찰)_합덕-신례원(2공구)투찰_경찰서-터미널간도로(투찰)②" xfId="340" xr:uid="{00000000-0005-0000-0000-000054010000}"/>
    <cellStyle name="_대곡이설(투찰)_합덕-신례원(2공구)투찰_경찰서-터미널간도로(투찰)② 2" xfId="1748" xr:uid="{00000000-0005-0000-0000-0000D4060000}"/>
    <cellStyle name="_대곡이설(투찰)_합덕-신례원(2공구)투찰_경찰서-터미널간도로(투찰)②_마현생창(동양고속)" xfId="341" xr:uid="{00000000-0005-0000-0000-000055010000}"/>
    <cellStyle name="_대곡이설(투찰)_합덕-신례원(2공구)투찰_경찰서-터미널간도로(투찰)②_마현생창(동양고속) 2" xfId="1749" xr:uid="{00000000-0005-0000-0000-0000D5060000}"/>
    <cellStyle name="_대곡이설(투찰)_합덕-신례원(2공구)투찰_경찰서-터미널간도로(투찰)②_마현생창(동양고속)_왜관-태평건설" xfId="342" xr:uid="{00000000-0005-0000-0000-000056010000}"/>
    <cellStyle name="_대곡이설(투찰)_합덕-신례원(2공구)투찰_경찰서-터미널간도로(투찰)②_마현생창(동양고속)_왜관-태평건설 2" xfId="1750" xr:uid="{00000000-0005-0000-0000-0000D6060000}"/>
    <cellStyle name="_대곡이설(투찰)_합덕-신례원(2공구)투찰_경찰서-터미널간도로(투찰)②_왜관-태평건설" xfId="343" xr:uid="{00000000-0005-0000-0000-000057010000}"/>
    <cellStyle name="_대곡이설(투찰)_합덕-신례원(2공구)투찰_경찰서-터미널간도로(투찰)②_왜관-태평건설 2" xfId="1751" xr:uid="{00000000-0005-0000-0000-0000D7060000}"/>
    <cellStyle name="_대곡이설(투찰)_합덕-신례원(2공구)투찰_마현생창(동양고속)" xfId="344" xr:uid="{00000000-0005-0000-0000-000058010000}"/>
    <cellStyle name="_대곡이설(투찰)_합덕-신례원(2공구)투찰_마현생창(동양고속) 2" xfId="1752" xr:uid="{00000000-0005-0000-0000-0000D8060000}"/>
    <cellStyle name="_대곡이설(투찰)_합덕-신례원(2공구)투찰_마현생창(동양고속)_왜관-태평건설" xfId="345" xr:uid="{00000000-0005-0000-0000-000059010000}"/>
    <cellStyle name="_대곡이설(투찰)_합덕-신례원(2공구)투찰_마현생창(동양고속)_왜관-태평건설 2" xfId="1753" xr:uid="{00000000-0005-0000-0000-0000D9060000}"/>
    <cellStyle name="_대곡이설(투찰)_합덕-신례원(2공구)투찰_봉무지방산업단지도로(투찰)②" xfId="346" xr:uid="{00000000-0005-0000-0000-00005A010000}"/>
    <cellStyle name="_대곡이설(투찰)_합덕-신례원(2공구)투찰_봉무지방산업단지도로(투찰)② 2" xfId="1754" xr:uid="{00000000-0005-0000-0000-0000DA060000}"/>
    <cellStyle name="_대곡이설(투찰)_합덕-신례원(2공구)투찰_봉무지방산업단지도로(투찰)②_마현생창(동양고속)" xfId="347" xr:uid="{00000000-0005-0000-0000-00005B010000}"/>
    <cellStyle name="_대곡이설(투찰)_합덕-신례원(2공구)투찰_봉무지방산업단지도로(투찰)②_마현생창(동양고속) 2" xfId="1755" xr:uid="{00000000-0005-0000-0000-0000DB060000}"/>
    <cellStyle name="_대곡이설(투찰)_합덕-신례원(2공구)투찰_봉무지방산업단지도로(투찰)②_마현생창(동양고속)_왜관-태평건설" xfId="348" xr:uid="{00000000-0005-0000-0000-00005C010000}"/>
    <cellStyle name="_대곡이설(투찰)_합덕-신례원(2공구)투찰_봉무지방산업단지도로(투찰)②_마현생창(동양고속)_왜관-태평건설 2" xfId="1756" xr:uid="{00000000-0005-0000-0000-0000DC060000}"/>
    <cellStyle name="_대곡이설(투찰)_합덕-신례원(2공구)투찰_봉무지방산업단지도로(투찰)②_왜관-태평건설" xfId="349" xr:uid="{00000000-0005-0000-0000-00005D010000}"/>
    <cellStyle name="_대곡이설(투찰)_합덕-신례원(2공구)투찰_봉무지방산업단지도로(투찰)②_왜관-태평건설 2" xfId="1757" xr:uid="{00000000-0005-0000-0000-0000DD060000}"/>
    <cellStyle name="_대곡이설(투찰)_합덕-신례원(2공구)투찰_봉무지방산업단지도로(투찰)②+0.250%" xfId="350" xr:uid="{00000000-0005-0000-0000-00005E010000}"/>
    <cellStyle name="_대곡이설(투찰)_합덕-신례원(2공구)투찰_봉무지방산업단지도로(투찰)②+0.250% 2" xfId="1758" xr:uid="{00000000-0005-0000-0000-0000DE060000}"/>
    <cellStyle name="_대곡이설(투찰)_합덕-신례원(2공구)투찰_봉무지방산업단지도로(투찰)②+0.250%_마현생창(동양고속)" xfId="351" xr:uid="{00000000-0005-0000-0000-00005F010000}"/>
    <cellStyle name="_대곡이설(투찰)_합덕-신례원(2공구)투찰_봉무지방산업단지도로(투찰)②+0.250%_마현생창(동양고속) 2" xfId="1759" xr:uid="{00000000-0005-0000-0000-0000DF060000}"/>
    <cellStyle name="_대곡이설(투찰)_합덕-신례원(2공구)투찰_봉무지방산업단지도로(투찰)②+0.250%_마현생창(동양고속)_왜관-태평건설" xfId="352" xr:uid="{00000000-0005-0000-0000-000060010000}"/>
    <cellStyle name="_대곡이설(투찰)_합덕-신례원(2공구)투찰_봉무지방산업단지도로(투찰)②+0.250%_마현생창(동양고속)_왜관-태평건설 2" xfId="1760" xr:uid="{00000000-0005-0000-0000-0000E0060000}"/>
    <cellStyle name="_대곡이설(투찰)_합덕-신례원(2공구)투찰_봉무지방산업단지도로(투찰)②+0.250%_왜관-태평건설" xfId="353" xr:uid="{00000000-0005-0000-0000-000061010000}"/>
    <cellStyle name="_대곡이설(투찰)_합덕-신례원(2공구)투찰_봉무지방산업단지도로(투찰)②+0.250%_왜관-태평건설 2" xfId="1761" xr:uid="{00000000-0005-0000-0000-0000E1060000}"/>
    <cellStyle name="_대곡이설(투찰)_합덕-신례원(2공구)투찰_왜관-태평건설" xfId="354" xr:uid="{00000000-0005-0000-0000-000062010000}"/>
    <cellStyle name="_대곡이설(투찰)_합덕-신례원(2공구)투찰_왜관-태평건설 2" xfId="1762" xr:uid="{00000000-0005-0000-0000-0000E2060000}"/>
    <cellStyle name="_대곡이설(투찰)_합덕-신례원(2공구)투찰_합덕-신례원(2공구)투찰" xfId="355" xr:uid="{00000000-0005-0000-0000-000063010000}"/>
    <cellStyle name="_대곡이설(투찰)_합덕-신례원(2공구)투찰_합덕-신례원(2공구)투찰 2" xfId="1763" xr:uid="{00000000-0005-0000-0000-0000E3060000}"/>
    <cellStyle name="_대곡이설(투찰)_합덕-신례원(2공구)투찰_합덕-신례원(2공구)투찰_경찰서-터미널간도로(투찰)②" xfId="356" xr:uid="{00000000-0005-0000-0000-000064010000}"/>
    <cellStyle name="_대곡이설(투찰)_합덕-신례원(2공구)투찰_합덕-신례원(2공구)투찰_경찰서-터미널간도로(투찰)② 2" xfId="1764" xr:uid="{00000000-0005-0000-0000-0000E4060000}"/>
    <cellStyle name="_대곡이설(투찰)_합덕-신례원(2공구)투찰_합덕-신례원(2공구)투찰_경찰서-터미널간도로(투찰)②_마현생창(동양고속)" xfId="357" xr:uid="{00000000-0005-0000-0000-000065010000}"/>
    <cellStyle name="_대곡이설(투찰)_합덕-신례원(2공구)투찰_합덕-신례원(2공구)투찰_경찰서-터미널간도로(투찰)②_마현생창(동양고속) 2" xfId="1765" xr:uid="{00000000-0005-0000-0000-0000E5060000}"/>
    <cellStyle name="_대곡이설(투찰)_합덕-신례원(2공구)투찰_합덕-신례원(2공구)투찰_경찰서-터미널간도로(투찰)②_마현생창(동양고속)_왜관-태평건설" xfId="358" xr:uid="{00000000-0005-0000-0000-000066010000}"/>
    <cellStyle name="_대곡이설(투찰)_합덕-신례원(2공구)투찰_합덕-신례원(2공구)투찰_경찰서-터미널간도로(투찰)②_마현생창(동양고속)_왜관-태평건설 2" xfId="1766" xr:uid="{00000000-0005-0000-0000-0000E6060000}"/>
    <cellStyle name="_대곡이설(투찰)_합덕-신례원(2공구)투찰_합덕-신례원(2공구)투찰_경찰서-터미널간도로(투찰)②_왜관-태평건설" xfId="359" xr:uid="{00000000-0005-0000-0000-000067010000}"/>
    <cellStyle name="_대곡이설(투찰)_합덕-신례원(2공구)투찰_합덕-신례원(2공구)투찰_경찰서-터미널간도로(투찰)②_왜관-태평건설 2" xfId="1767" xr:uid="{00000000-0005-0000-0000-0000E7060000}"/>
    <cellStyle name="_대곡이설(투찰)_합덕-신례원(2공구)투찰_합덕-신례원(2공구)투찰_마현생창(동양고속)" xfId="360" xr:uid="{00000000-0005-0000-0000-000068010000}"/>
    <cellStyle name="_대곡이설(투찰)_합덕-신례원(2공구)투찰_합덕-신례원(2공구)투찰_마현생창(동양고속) 2" xfId="1768" xr:uid="{00000000-0005-0000-0000-0000E8060000}"/>
    <cellStyle name="_대곡이설(투찰)_합덕-신례원(2공구)투찰_합덕-신례원(2공구)투찰_마현생창(동양고속)_왜관-태평건설" xfId="361" xr:uid="{00000000-0005-0000-0000-000069010000}"/>
    <cellStyle name="_대곡이설(투찰)_합덕-신례원(2공구)투찰_합덕-신례원(2공구)투찰_마현생창(동양고속)_왜관-태평건설 2" xfId="1769" xr:uid="{00000000-0005-0000-0000-0000E9060000}"/>
    <cellStyle name="_대곡이설(투찰)_합덕-신례원(2공구)투찰_합덕-신례원(2공구)투찰_봉무지방산업단지도로(투찰)②" xfId="362" xr:uid="{00000000-0005-0000-0000-00006A010000}"/>
    <cellStyle name="_대곡이설(투찰)_합덕-신례원(2공구)투찰_합덕-신례원(2공구)투찰_봉무지방산업단지도로(투찰)② 2" xfId="1770" xr:uid="{00000000-0005-0000-0000-0000EA060000}"/>
    <cellStyle name="_대곡이설(투찰)_합덕-신례원(2공구)투찰_합덕-신례원(2공구)투찰_봉무지방산업단지도로(투찰)②_마현생창(동양고속)" xfId="363" xr:uid="{00000000-0005-0000-0000-00006B010000}"/>
    <cellStyle name="_대곡이설(투찰)_합덕-신례원(2공구)투찰_합덕-신례원(2공구)투찰_봉무지방산업단지도로(투찰)②_마현생창(동양고속) 2" xfId="1771" xr:uid="{00000000-0005-0000-0000-0000EB060000}"/>
    <cellStyle name="_대곡이설(투찰)_합덕-신례원(2공구)투찰_합덕-신례원(2공구)투찰_봉무지방산업단지도로(투찰)②_마현생창(동양고속)_왜관-태평건설" xfId="364" xr:uid="{00000000-0005-0000-0000-00006C010000}"/>
    <cellStyle name="_대곡이설(투찰)_합덕-신례원(2공구)투찰_합덕-신례원(2공구)투찰_봉무지방산업단지도로(투찰)②_마현생창(동양고속)_왜관-태평건설 2" xfId="1772" xr:uid="{00000000-0005-0000-0000-0000EC060000}"/>
    <cellStyle name="_대곡이설(투찰)_합덕-신례원(2공구)투찰_합덕-신례원(2공구)투찰_봉무지방산업단지도로(투찰)②_왜관-태평건설" xfId="365" xr:uid="{00000000-0005-0000-0000-00006D010000}"/>
    <cellStyle name="_대곡이설(투찰)_합덕-신례원(2공구)투찰_합덕-신례원(2공구)투찰_봉무지방산업단지도로(투찰)②_왜관-태평건설 2" xfId="1773" xr:uid="{00000000-0005-0000-0000-0000ED060000}"/>
    <cellStyle name="_대곡이설(투찰)_합덕-신례원(2공구)투찰_합덕-신례원(2공구)투찰_봉무지방산업단지도로(투찰)②+0.250%" xfId="366" xr:uid="{00000000-0005-0000-0000-00006E010000}"/>
    <cellStyle name="_대곡이설(투찰)_합덕-신례원(2공구)투찰_합덕-신례원(2공구)투찰_봉무지방산업단지도로(투찰)②+0.250% 2" xfId="1774" xr:uid="{00000000-0005-0000-0000-0000EE060000}"/>
    <cellStyle name="_대곡이설(투찰)_합덕-신례원(2공구)투찰_합덕-신례원(2공구)투찰_봉무지방산업단지도로(투찰)②+0.250%_마현생창(동양고속)" xfId="367" xr:uid="{00000000-0005-0000-0000-00006F010000}"/>
    <cellStyle name="_대곡이설(투찰)_합덕-신례원(2공구)투찰_합덕-신례원(2공구)투찰_봉무지방산업단지도로(투찰)②+0.250%_마현생창(동양고속) 2" xfId="1775" xr:uid="{00000000-0005-0000-0000-0000EF060000}"/>
    <cellStyle name="_대곡이설(투찰)_합덕-신례원(2공구)투찰_합덕-신례원(2공구)투찰_봉무지방산업단지도로(투찰)②+0.250%_마현생창(동양고속)_왜관-태평건설" xfId="368" xr:uid="{00000000-0005-0000-0000-000070010000}"/>
    <cellStyle name="_대곡이설(투찰)_합덕-신례원(2공구)투찰_합덕-신례원(2공구)투찰_봉무지방산업단지도로(투찰)②+0.250%_마현생창(동양고속)_왜관-태평건설 2" xfId="1776" xr:uid="{00000000-0005-0000-0000-0000F0060000}"/>
    <cellStyle name="_대곡이설(투찰)_합덕-신례원(2공구)투찰_합덕-신례원(2공구)투찰_봉무지방산업단지도로(투찰)②+0.250%_왜관-태평건설" xfId="369" xr:uid="{00000000-0005-0000-0000-000071010000}"/>
    <cellStyle name="_대곡이설(투찰)_합덕-신례원(2공구)투찰_합덕-신례원(2공구)투찰_봉무지방산업단지도로(투찰)②+0.250%_왜관-태평건설 2" xfId="1777" xr:uid="{00000000-0005-0000-0000-0000F1060000}"/>
    <cellStyle name="_대곡이설(투찰)_합덕-신례원(2공구)투찰_합덕-신례원(2공구)투찰_왜관-태평건설" xfId="370" xr:uid="{00000000-0005-0000-0000-000072010000}"/>
    <cellStyle name="_대곡이설(투찰)_합덕-신례원(2공구)투찰_합덕-신례원(2공구)투찰_왜관-태평건설 2" xfId="1778" xr:uid="{00000000-0005-0000-0000-0000F2060000}"/>
    <cellStyle name="_도고천품의안11" xfId="371" xr:uid="{00000000-0005-0000-0000-000073010000}"/>
    <cellStyle name="_도고천품의안11 2" xfId="1779" xr:uid="{00000000-0005-0000-0000-0000F3060000}"/>
    <cellStyle name="_도고천품의안11_1" xfId="372" xr:uid="{00000000-0005-0000-0000-000074010000}"/>
    <cellStyle name="_도고천품의안11_1 2" xfId="1780" xr:uid="{00000000-0005-0000-0000-0000F4060000}"/>
    <cellStyle name="_도고천품의안11_광주평동투찰" xfId="373" xr:uid="{00000000-0005-0000-0000-000075010000}"/>
    <cellStyle name="_도고천품의안11_광주평동투찰 2" xfId="1781" xr:uid="{00000000-0005-0000-0000-0000F5060000}"/>
    <cellStyle name="_도고천품의안11_광주평동품의1" xfId="374" xr:uid="{00000000-0005-0000-0000-000076010000}"/>
    <cellStyle name="_도고천품의안11_광주평동품의1 2" xfId="1782" xr:uid="{00000000-0005-0000-0000-0000F6060000}"/>
    <cellStyle name="_도고천품의안11_송학하수품의(설계넣고)" xfId="375" xr:uid="{00000000-0005-0000-0000-000077010000}"/>
    <cellStyle name="_도고천품의안11_송학하수품의(설계넣고) 2" xfId="1783" xr:uid="{00000000-0005-0000-0000-0000F7060000}"/>
    <cellStyle name="_도덕-고흥도로(투찰)" xfId="376" xr:uid="{00000000-0005-0000-0000-000078010000}"/>
    <cellStyle name="_두계변전소하도급" xfId="377" xr:uid="{00000000-0005-0000-0000-000079010000}"/>
    <cellStyle name="_매정견적보고" xfId="378" xr:uid="{00000000-0005-0000-0000-00007A010000}"/>
    <cellStyle name="_명암지도로투찰2" xfId="379" xr:uid="{00000000-0005-0000-0000-00007B010000}"/>
    <cellStyle name="_명암지도로투찰2 2" xfId="1784" xr:uid="{00000000-0005-0000-0000-0000F8060000}"/>
    <cellStyle name="_무창(전자입찰용)" xfId="380" xr:uid="{00000000-0005-0000-0000-00007C010000}"/>
    <cellStyle name="_무창(전자입찰용) 2" xfId="1785" xr:uid="{00000000-0005-0000-0000-0000F9060000}"/>
    <cellStyle name="_무창(전자입찰용)_왜관-태평건설" xfId="381" xr:uid="{00000000-0005-0000-0000-00007D010000}"/>
    <cellStyle name="_무창(전자입찰용)_왜관-태평건설 2" xfId="1786" xr:uid="{00000000-0005-0000-0000-0000FA060000}"/>
    <cellStyle name="_부대입찰양식②" xfId="382" xr:uid="{00000000-0005-0000-0000-00007E010000}"/>
    <cellStyle name="_부대입찰양식② 2" xfId="1787" xr:uid="{00000000-0005-0000-0000-0000FB060000}"/>
    <cellStyle name="_부대입찰양식②_경찰서-터미널간도로(투찰)②" xfId="383" xr:uid="{00000000-0005-0000-0000-00007F010000}"/>
    <cellStyle name="_부대입찰양식②_경찰서-터미널간도로(투찰)② 2" xfId="1788" xr:uid="{00000000-0005-0000-0000-0000FC060000}"/>
    <cellStyle name="_부대입찰양식②_경찰서-터미널간도로(투찰)②_마현생창(동양고속)" xfId="384" xr:uid="{00000000-0005-0000-0000-000080010000}"/>
    <cellStyle name="_부대입찰양식②_경찰서-터미널간도로(투찰)②_마현생창(동양고속) 2" xfId="1789" xr:uid="{00000000-0005-0000-0000-0000FD060000}"/>
    <cellStyle name="_부대입찰양식②_경찰서-터미널간도로(투찰)②_마현생창(동양고속)_왜관-태평건설" xfId="385" xr:uid="{00000000-0005-0000-0000-000081010000}"/>
    <cellStyle name="_부대입찰양식②_경찰서-터미널간도로(투찰)②_마현생창(동양고속)_왜관-태평건설 2" xfId="1790" xr:uid="{00000000-0005-0000-0000-0000FE060000}"/>
    <cellStyle name="_부대입찰양식②_경찰서-터미널간도로(투찰)②_왜관-태평건설" xfId="386" xr:uid="{00000000-0005-0000-0000-000082010000}"/>
    <cellStyle name="_부대입찰양식②_경찰서-터미널간도로(투찰)②_왜관-태평건설 2" xfId="1791" xr:uid="{00000000-0005-0000-0000-0000FF060000}"/>
    <cellStyle name="_부대입찰양식②_마현생창(동양고속)" xfId="387" xr:uid="{00000000-0005-0000-0000-000083010000}"/>
    <cellStyle name="_부대입찰양식②_마현생창(동양고속) 2" xfId="1792" xr:uid="{00000000-0005-0000-0000-000000070000}"/>
    <cellStyle name="_부대입찰양식②_마현생창(동양고속)_왜관-태평건설" xfId="388" xr:uid="{00000000-0005-0000-0000-000084010000}"/>
    <cellStyle name="_부대입찰양식②_마현생창(동양고속)_왜관-태평건설 2" xfId="1793" xr:uid="{00000000-0005-0000-0000-000001070000}"/>
    <cellStyle name="_부대입찰양식②_봉무지방산업단지도로(투찰)②" xfId="389" xr:uid="{00000000-0005-0000-0000-000085010000}"/>
    <cellStyle name="_부대입찰양식②_봉무지방산업단지도로(투찰)② 2" xfId="1794" xr:uid="{00000000-0005-0000-0000-000002070000}"/>
    <cellStyle name="_부대입찰양식②_봉무지방산업단지도로(투찰)②_마현생창(동양고속)" xfId="390" xr:uid="{00000000-0005-0000-0000-000086010000}"/>
    <cellStyle name="_부대입찰양식②_봉무지방산업단지도로(투찰)②_마현생창(동양고속) 2" xfId="1795" xr:uid="{00000000-0005-0000-0000-000003070000}"/>
    <cellStyle name="_부대입찰양식②_봉무지방산업단지도로(투찰)②_마현생창(동양고속)_왜관-태평건설" xfId="391" xr:uid="{00000000-0005-0000-0000-000087010000}"/>
    <cellStyle name="_부대입찰양식②_봉무지방산업단지도로(투찰)②_마현생창(동양고속)_왜관-태평건설 2" xfId="1796" xr:uid="{00000000-0005-0000-0000-000004070000}"/>
    <cellStyle name="_부대입찰양식②_봉무지방산업단지도로(투찰)②_왜관-태평건설" xfId="392" xr:uid="{00000000-0005-0000-0000-000088010000}"/>
    <cellStyle name="_부대입찰양식②_봉무지방산업단지도로(투찰)②_왜관-태평건설 2" xfId="1797" xr:uid="{00000000-0005-0000-0000-000005070000}"/>
    <cellStyle name="_부대입찰양식②_봉무지방산업단지도로(투찰)②+0.250%" xfId="393" xr:uid="{00000000-0005-0000-0000-000089010000}"/>
    <cellStyle name="_부대입찰양식②_봉무지방산업단지도로(투찰)②+0.250% 2" xfId="1798" xr:uid="{00000000-0005-0000-0000-000006070000}"/>
    <cellStyle name="_부대입찰양식②_봉무지방산업단지도로(투찰)②+0.250%_마현생창(동양고속)" xfId="394" xr:uid="{00000000-0005-0000-0000-00008A010000}"/>
    <cellStyle name="_부대입찰양식②_봉무지방산업단지도로(투찰)②+0.250%_마현생창(동양고속) 2" xfId="1799" xr:uid="{00000000-0005-0000-0000-000007070000}"/>
    <cellStyle name="_부대입찰양식②_봉무지방산업단지도로(투찰)②+0.250%_마현생창(동양고속)_왜관-태평건설" xfId="395" xr:uid="{00000000-0005-0000-0000-00008B010000}"/>
    <cellStyle name="_부대입찰양식②_봉무지방산업단지도로(투찰)②+0.250%_마현생창(동양고속)_왜관-태평건설 2" xfId="1800" xr:uid="{00000000-0005-0000-0000-000008070000}"/>
    <cellStyle name="_부대입찰양식②_봉무지방산업단지도로(투찰)②+0.250%_왜관-태평건설" xfId="396" xr:uid="{00000000-0005-0000-0000-00008C010000}"/>
    <cellStyle name="_부대입찰양식②_봉무지방산업단지도로(투찰)②+0.250%_왜관-태평건설 2" xfId="1801" xr:uid="{00000000-0005-0000-0000-000009070000}"/>
    <cellStyle name="_부대입찰양식②_왜관-태평건설" xfId="397" xr:uid="{00000000-0005-0000-0000-00008D010000}"/>
    <cellStyle name="_부대입찰양식②_왜관-태평건설 2" xfId="1802" xr:uid="{00000000-0005-0000-0000-00000A070000}"/>
    <cellStyle name="_부대입찰양식②_합덕-신례원(2공구)투찰" xfId="398" xr:uid="{00000000-0005-0000-0000-00008E010000}"/>
    <cellStyle name="_부대입찰양식②_합덕-신례원(2공구)투찰 2" xfId="1803" xr:uid="{00000000-0005-0000-0000-00000B070000}"/>
    <cellStyle name="_부대입찰양식②_합덕-신례원(2공구)투찰_경찰서-터미널간도로(투찰)②" xfId="399" xr:uid="{00000000-0005-0000-0000-00008F010000}"/>
    <cellStyle name="_부대입찰양식②_합덕-신례원(2공구)투찰_경찰서-터미널간도로(투찰)② 2" xfId="1804" xr:uid="{00000000-0005-0000-0000-00000C070000}"/>
    <cellStyle name="_부대입찰양식②_합덕-신례원(2공구)투찰_경찰서-터미널간도로(투찰)②_마현생창(동양고속)" xfId="400" xr:uid="{00000000-0005-0000-0000-000090010000}"/>
    <cellStyle name="_부대입찰양식②_합덕-신례원(2공구)투찰_경찰서-터미널간도로(투찰)②_마현생창(동양고속) 2" xfId="1805" xr:uid="{00000000-0005-0000-0000-00000D070000}"/>
    <cellStyle name="_부대입찰양식②_합덕-신례원(2공구)투찰_경찰서-터미널간도로(투찰)②_마현생창(동양고속)_왜관-태평건설" xfId="401" xr:uid="{00000000-0005-0000-0000-000091010000}"/>
    <cellStyle name="_부대입찰양식②_합덕-신례원(2공구)투찰_경찰서-터미널간도로(투찰)②_마현생창(동양고속)_왜관-태평건설 2" xfId="1806" xr:uid="{00000000-0005-0000-0000-00000E070000}"/>
    <cellStyle name="_부대입찰양식②_합덕-신례원(2공구)투찰_경찰서-터미널간도로(투찰)②_왜관-태평건설" xfId="402" xr:uid="{00000000-0005-0000-0000-000092010000}"/>
    <cellStyle name="_부대입찰양식②_합덕-신례원(2공구)투찰_경찰서-터미널간도로(투찰)②_왜관-태평건설 2" xfId="1807" xr:uid="{00000000-0005-0000-0000-00000F070000}"/>
    <cellStyle name="_부대입찰양식②_합덕-신례원(2공구)투찰_마현생창(동양고속)" xfId="403" xr:uid="{00000000-0005-0000-0000-000093010000}"/>
    <cellStyle name="_부대입찰양식②_합덕-신례원(2공구)투찰_마현생창(동양고속) 2" xfId="1808" xr:uid="{00000000-0005-0000-0000-000010070000}"/>
    <cellStyle name="_부대입찰양식②_합덕-신례원(2공구)투찰_마현생창(동양고속)_왜관-태평건설" xfId="404" xr:uid="{00000000-0005-0000-0000-000094010000}"/>
    <cellStyle name="_부대입찰양식②_합덕-신례원(2공구)투찰_마현생창(동양고속)_왜관-태평건설 2" xfId="1809" xr:uid="{00000000-0005-0000-0000-000011070000}"/>
    <cellStyle name="_부대입찰양식②_합덕-신례원(2공구)투찰_봉무지방산업단지도로(투찰)②" xfId="405" xr:uid="{00000000-0005-0000-0000-000095010000}"/>
    <cellStyle name="_부대입찰양식②_합덕-신례원(2공구)투찰_봉무지방산업단지도로(투찰)② 2" xfId="1810" xr:uid="{00000000-0005-0000-0000-000012070000}"/>
    <cellStyle name="_부대입찰양식②_합덕-신례원(2공구)투찰_봉무지방산업단지도로(투찰)②_마현생창(동양고속)" xfId="406" xr:uid="{00000000-0005-0000-0000-000096010000}"/>
    <cellStyle name="_부대입찰양식②_합덕-신례원(2공구)투찰_봉무지방산업단지도로(투찰)②_마현생창(동양고속) 2" xfId="1811" xr:uid="{00000000-0005-0000-0000-000013070000}"/>
    <cellStyle name="_부대입찰양식②_합덕-신례원(2공구)투찰_봉무지방산업단지도로(투찰)②_마현생창(동양고속)_왜관-태평건설" xfId="407" xr:uid="{00000000-0005-0000-0000-000097010000}"/>
    <cellStyle name="_부대입찰양식②_합덕-신례원(2공구)투찰_봉무지방산업단지도로(투찰)②_마현생창(동양고속)_왜관-태평건설 2" xfId="1812" xr:uid="{00000000-0005-0000-0000-000014070000}"/>
    <cellStyle name="_부대입찰양식②_합덕-신례원(2공구)투찰_봉무지방산업단지도로(투찰)②_왜관-태평건설" xfId="408" xr:uid="{00000000-0005-0000-0000-000098010000}"/>
    <cellStyle name="_부대입찰양식②_합덕-신례원(2공구)투찰_봉무지방산업단지도로(투찰)②_왜관-태평건설 2" xfId="1813" xr:uid="{00000000-0005-0000-0000-000015070000}"/>
    <cellStyle name="_부대입찰양식②_합덕-신례원(2공구)투찰_봉무지방산업단지도로(투찰)②+0.250%" xfId="409" xr:uid="{00000000-0005-0000-0000-000099010000}"/>
    <cellStyle name="_부대입찰양식②_합덕-신례원(2공구)투찰_봉무지방산업단지도로(투찰)②+0.250% 2" xfId="1814" xr:uid="{00000000-0005-0000-0000-000016070000}"/>
    <cellStyle name="_부대입찰양식②_합덕-신례원(2공구)투찰_봉무지방산업단지도로(투찰)②+0.250%_마현생창(동양고속)" xfId="410" xr:uid="{00000000-0005-0000-0000-00009A010000}"/>
    <cellStyle name="_부대입찰양식②_합덕-신례원(2공구)투찰_봉무지방산업단지도로(투찰)②+0.250%_마현생창(동양고속) 2" xfId="1815" xr:uid="{00000000-0005-0000-0000-000017070000}"/>
    <cellStyle name="_부대입찰양식②_합덕-신례원(2공구)투찰_봉무지방산업단지도로(투찰)②+0.250%_마현생창(동양고속)_왜관-태평건설" xfId="411" xr:uid="{00000000-0005-0000-0000-00009B010000}"/>
    <cellStyle name="_부대입찰양식②_합덕-신례원(2공구)투찰_봉무지방산업단지도로(투찰)②+0.250%_마현생창(동양고속)_왜관-태평건설 2" xfId="1816" xr:uid="{00000000-0005-0000-0000-000018070000}"/>
    <cellStyle name="_부대입찰양식②_합덕-신례원(2공구)투찰_봉무지방산업단지도로(투찰)②+0.250%_왜관-태평건설" xfId="412" xr:uid="{00000000-0005-0000-0000-00009C010000}"/>
    <cellStyle name="_부대입찰양식②_합덕-신례원(2공구)투찰_봉무지방산업단지도로(투찰)②+0.250%_왜관-태평건설 2" xfId="1817" xr:uid="{00000000-0005-0000-0000-000019070000}"/>
    <cellStyle name="_부대입찰양식②_합덕-신례원(2공구)투찰_왜관-태평건설" xfId="413" xr:uid="{00000000-0005-0000-0000-00009D010000}"/>
    <cellStyle name="_부대입찰양식②_합덕-신례원(2공구)투찰_왜관-태평건설 2" xfId="1818" xr:uid="{00000000-0005-0000-0000-00001A070000}"/>
    <cellStyle name="_부대입찰양식②_합덕-신례원(2공구)투찰_합덕-신례원(2공구)투찰" xfId="414" xr:uid="{00000000-0005-0000-0000-00009E010000}"/>
    <cellStyle name="_부대입찰양식②_합덕-신례원(2공구)투찰_합덕-신례원(2공구)투찰 2" xfId="1819" xr:uid="{00000000-0005-0000-0000-00001B070000}"/>
    <cellStyle name="_부대입찰양식②_합덕-신례원(2공구)투찰_합덕-신례원(2공구)투찰_경찰서-터미널간도로(투찰)②" xfId="415" xr:uid="{00000000-0005-0000-0000-00009F010000}"/>
    <cellStyle name="_부대입찰양식②_합덕-신례원(2공구)투찰_합덕-신례원(2공구)투찰_경찰서-터미널간도로(투찰)② 2" xfId="1820" xr:uid="{00000000-0005-0000-0000-00001C070000}"/>
    <cellStyle name="_부대입찰양식②_합덕-신례원(2공구)투찰_합덕-신례원(2공구)투찰_경찰서-터미널간도로(투찰)②_마현생창(동양고속)" xfId="416" xr:uid="{00000000-0005-0000-0000-0000A0010000}"/>
    <cellStyle name="_부대입찰양식②_합덕-신례원(2공구)투찰_합덕-신례원(2공구)투찰_경찰서-터미널간도로(투찰)②_마현생창(동양고속) 2" xfId="1821" xr:uid="{00000000-0005-0000-0000-00001D070000}"/>
    <cellStyle name="_부대입찰양식②_합덕-신례원(2공구)투찰_합덕-신례원(2공구)투찰_경찰서-터미널간도로(투찰)②_마현생창(동양고속)_왜관-태평건설" xfId="417" xr:uid="{00000000-0005-0000-0000-0000A1010000}"/>
    <cellStyle name="_부대입찰양식②_합덕-신례원(2공구)투찰_합덕-신례원(2공구)투찰_경찰서-터미널간도로(투찰)②_마현생창(동양고속)_왜관-태평건설 2" xfId="1822" xr:uid="{00000000-0005-0000-0000-00001E070000}"/>
    <cellStyle name="_부대입찰양식②_합덕-신례원(2공구)투찰_합덕-신례원(2공구)투찰_경찰서-터미널간도로(투찰)②_왜관-태평건설" xfId="418" xr:uid="{00000000-0005-0000-0000-0000A2010000}"/>
    <cellStyle name="_부대입찰양식②_합덕-신례원(2공구)투찰_합덕-신례원(2공구)투찰_경찰서-터미널간도로(투찰)②_왜관-태평건설 2" xfId="1823" xr:uid="{00000000-0005-0000-0000-00001F070000}"/>
    <cellStyle name="_부대입찰양식②_합덕-신례원(2공구)투찰_합덕-신례원(2공구)투찰_마현생창(동양고속)" xfId="419" xr:uid="{00000000-0005-0000-0000-0000A3010000}"/>
    <cellStyle name="_부대입찰양식②_합덕-신례원(2공구)투찰_합덕-신례원(2공구)투찰_마현생창(동양고속) 2" xfId="1824" xr:uid="{00000000-0005-0000-0000-000020070000}"/>
    <cellStyle name="_부대입찰양식②_합덕-신례원(2공구)투찰_합덕-신례원(2공구)투찰_마현생창(동양고속)_왜관-태평건설" xfId="420" xr:uid="{00000000-0005-0000-0000-0000A4010000}"/>
    <cellStyle name="_부대입찰양식②_합덕-신례원(2공구)투찰_합덕-신례원(2공구)투찰_마현생창(동양고속)_왜관-태평건설 2" xfId="1825" xr:uid="{00000000-0005-0000-0000-000021070000}"/>
    <cellStyle name="_부대입찰양식②_합덕-신례원(2공구)투찰_합덕-신례원(2공구)투찰_봉무지방산업단지도로(투찰)②" xfId="421" xr:uid="{00000000-0005-0000-0000-0000A5010000}"/>
    <cellStyle name="_부대입찰양식②_합덕-신례원(2공구)투찰_합덕-신례원(2공구)투찰_봉무지방산업단지도로(투찰)② 2" xfId="1826" xr:uid="{00000000-0005-0000-0000-000022070000}"/>
    <cellStyle name="_부대입찰양식②_합덕-신례원(2공구)투찰_합덕-신례원(2공구)투찰_봉무지방산업단지도로(투찰)②_마현생창(동양고속)" xfId="422" xr:uid="{00000000-0005-0000-0000-0000A6010000}"/>
    <cellStyle name="_부대입찰양식②_합덕-신례원(2공구)투찰_합덕-신례원(2공구)투찰_봉무지방산업단지도로(투찰)②_마현생창(동양고속) 2" xfId="1827" xr:uid="{00000000-0005-0000-0000-000023070000}"/>
    <cellStyle name="_부대입찰양식②_합덕-신례원(2공구)투찰_합덕-신례원(2공구)투찰_봉무지방산업단지도로(투찰)②_마현생창(동양고속)_왜관-태평건설" xfId="423" xr:uid="{00000000-0005-0000-0000-0000A7010000}"/>
    <cellStyle name="_부대입찰양식②_합덕-신례원(2공구)투찰_합덕-신례원(2공구)투찰_봉무지방산업단지도로(투찰)②_마현생창(동양고속)_왜관-태평건설 2" xfId="1828" xr:uid="{00000000-0005-0000-0000-000024070000}"/>
    <cellStyle name="_부대입찰양식②_합덕-신례원(2공구)투찰_합덕-신례원(2공구)투찰_봉무지방산업단지도로(투찰)②_왜관-태평건설" xfId="424" xr:uid="{00000000-0005-0000-0000-0000A8010000}"/>
    <cellStyle name="_부대입찰양식②_합덕-신례원(2공구)투찰_합덕-신례원(2공구)투찰_봉무지방산업단지도로(투찰)②_왜관-태평건설 2" xfId="1829" xr:uid="{00000000-0005-0000-0000-000025070000}"/>
    <cellStyle name="_부대입찰양식②_합덕-신례원(2공구)투찰_합덕-신례원(2공구)투찰_봉무지방산업단지도로(투찰)②+0.250%" xfId="425" xr:uid="{00000000-0005-0000-0000-0000A9010000}"/>
    <cellStyle name="_부대입찰양식②_합덕-신례원(2공구)투찰_합덕-신례원(2공구)투찰_봉무지방산업단지도로(투찰)②+0.250% 2" xfId="1830" xr:uid="{00000000-0005-0000-0000-000026070000}"/>
    <cellStyle name="_부대입찰양식②_합덕-신례원(2공구)투찰_합덕-신례원(2공구)투찰_봉무지방산업단지도로(투찰)②+0.250%_마현생창(동양고속)" xfId="426" xr:uid="{00000000-0005-0000-0000-0000AA010000}"/>
    <cellStyle name="_부대입찰양식②_합덕-신례원(2공구)투찰_합덕-신례원(2공구)투찰_봉무지방산업단지도로(투찰)②+0.250%_마현생창(동양고속) 2" xfId="1831" xr:uid="{00000000-0005-0000-0000-000027070000}"/>
    <cellStyle name="_부대입찰양식②_합덕-신례원(2공구)투찰_합덕-신례원(2공구)투찰_봉무지방산업단지도로(투찰)②+0.250%_마현생창(동양고속)_왜관-태평건설" xfId="427" xr:uid="{00000000-0005-0000-0000-0000AB010000}"/>
    <cellStyle name="_부대입찰양식②_합덕-신례원(2공구)투찰_합덕-신례원(2공구)투찰_봉무지방산업단지도로(투찰)②+0.250%_마현생창(동양고속)_왜관-태평건설 2" xfId="1832" xr:uid="{00000000-0005-0000-0000-000028070000}"/>
    <cellStyle name="_부대입찰양식②_합덕-신례원(2공구)투찰_합덕-신례원(2공구)투찰_봉무지방산업단지도로(투찰)②+0.250%_왜관-태평건설" xfId="428" xr:uid="{00000000-0005-0000-0000-0000AC010000}"/>
    <cellStyle name="_부대입찰양식②_합덕-신례원(2공구)투찰_합덕-신례원(2공구)투찰_봉무지방산업단지도로(투찰)②+0.250%_왜관-태평건설 2" xfId="1833" xr:uid="{00000000-0005-0000-0000-000029070000}"/>
    <cellStyle name="_부대입찰양식②_합덕-신례원(2공구)투찰_합덕-신례원(2공구)투찰_왜관-태평건설" xfId="429" xr:uid="{00000000-0005-0000-0000-0000AD010000}"/>
    <cellStyle name="_부대입찰양식②_합덕-신례원(2공구)투찰_합덕-신례원(2공구)투찰_왜관-태평건설 2" xfId="1834" xr:uid="{00000000-0005-0000-0000-00002A070000}"/>
    <cellStyle name="_부대입찰확약서" xfId="430" xr:uid="{00000000-0005-0000-0000-0000AE010000}"/>
    <cellStyle name="_부평배수지(투찰)" xfId="431" xr:uid="{00000000-0005-0000-0000-0000AF010000}"/>
    <cellStyle name="_부평배수지(투찰) 2" xfId="1835" xr:uid="{00000000-0005-0000-0000-00002B070000}"/>
    <cellStyle name="_부평배수지(투찰)_경찰서-터미널간도로(투찰)②" xfId="432" xr:uid="{00000000-0005-0000-0000-0000B0010000}"/>
    <cellStyle name="_부평배수지(투찰)_경찰서-터미널간도로(투찰)② 2" xfId="1836" xr:uid="{00000000-0005-0000-0000-00002C070000}"/>
    <cellStyle name="_부평배수지(투찰)_경찰서-터미널간도로(투찰)②_마현생창(동양고속)" xfId="433" xr:uid="{00000000-0005-0000-0000-0000B1010000}"/>
    <cellStyle name="_부평배수지(투찰)_경찰서-터미널간도로(투찰)②_마현생창(동양고속) 2" xfId="1837" xr:uid="{00000000-0005-0000-0000-00002D070000}"/>
    <cellStyle name="_부평배수지(투찰)_경찰서-터미널간도로(투찰)②_마현생창(동양고속)_왜관-태평건설" xfId="434" xr:uid="{00000000-0005-0000-0000-0000B2010000}"/>
    <cellStyle name="_부평배수지(투찰)_경찰서-터미널간도로(투찰)②_마현생창(동양고속)_왜관-태평건설 2" xfId="1838" xr:uid="{00000000-0005-0000-0000-00002E070000}"/>
    <cellStyle name="_부평배수지(투찰)_경찰서-터미널간도로(투찰)②_왜관-태평건설" xfId="435" xr:uid="{00000000-0005-0000-0000-0000B3010000}"/>
    <cellStyle name="_부평배수지(투찰)_경찰서-터미널간도로(투찰)②_왜관-태평건설 2" xfId="1839" xr:uid="{00000000-0005-0000-0000-00002F070000}"/>
    <cellStyle name="_부평배수지(투찰)_마현생창(동양고속)" xfId="436" xr:uid="{00000000-0005-0000-0000-0000B4010000}"/>
    <cellStyle name="_부평배수지(투찰)_마현생창(동양고속) 2" xfId="1840" xr:uid="{00000000-0005-0000-0000-000030070000}"/>
    <cellStyle name="_부평배수지(투찰)_마현생창(동양고속)_왜관-태평건설" xfId="437" xr:uid="{00000000-0005-0000-0000-0000B5010000}"/>
    <cellStyle name="_부평배수지(투찰)_마현생창(동양고속)_왜관-태평건설 2" xfId="1841" xr:uid="{00000000-0005-0000-0000-000031070000}"/>
    <cellStyle name="_부평배수지(투찰)_봉무지방산업단지도로(투찰)②" xfId="438" xr:uid="{00000000-0005-0000-0000-0000B6010000}"/>
    <cellStyle name="_부평배수지(투찰)_봉무지방산업단지도로(투찰)② 2" xfId="1842" xr:uid="{00000000-0005-0000-0000-000032070000}"/>
    <cellStyle name="_부평배수지(투찰)_봉무지방산업단지도로(투찰)②_마현생창(동양고속)" xfId="439" xr:uid="{00000000-0005-0000-0000-0000B7010000}"/>
    <cellStyle name="_부평배수지(투찰)_봉무지방산업단지도로(투찰)②_마현생창(동양고속) 2" xfId="1843" xr:uid="{00000000-0005-0000-0000-000033070000}"/>
    <cellStyle name="_부평배수지(투찰)_봉무지방산업단지도로(투찰)②_마현생창(동양고속)_왜관-태평건설" xfId="440" xr:uid="{00000000-0005-0000-0000-0000B8010000}"/>
    <cellStyle name="_부평배수지(투찰)_봉무지방산업단지도로(투찰)②_마현생창(동양고속)_왜관-태평건설 2" xfId="1844" xr:uid="{00000000-0005-0000-0000-000034070000}"/>
    <cellStyle name="_부평배수지(투찰)_봉무지방산업단지도로(투찰)②_왜관-태평건설" xfId="441" xr:uid="{00000000-0005-0000-0000-0000B9010000}"/>
    <cellStyle name="_부평배수지(투찰)_봉무지방산업단지도로(투찰)②_왜관-태평건설 2" xfId="1845" xr:uid="{00000000-0005-0000-0000-000035070000}"/>
    <cellStyle name="_부평배수지(투찰)_봉무지방산업단지도로(투찰)②+0.250%" xfId="442" xr:uid="{00000000-0005-0000-0000-0000BA010000}"/>
    <cellStyle name="_부평배수지(투찰)_봉무지방산업단지도로(투찰)②+0.250% 2" xfId="1846" xr:uid="{00000000-0005-0000-0000-000036070000}"/>
    <cellStyle name="_부평배수지(투찰)_봉무지방산업단지도로(투찰)②+0.250%_마현생창(동양고속)" xfId="443" xr:uid="{00000000-0005-0000-0000-0000BB010000}"/>
    <cellStyle name="_부평배수지(투찰)_봉무지방산업단지도로(투찰)②+0.250%_마현생창(동양고속) 2" xfId="1847" xr:uid="{00000000-0005-0000-0000-000037070000}"/>
    <cellStyle name="_부평배수지(투찰)_봉무지방산업단지도로(투찰)②+0.250%_마현생창(동양고속)_왜관-태평건설" xfId="444" xr:uid="{00000000-0005-0000-0000-0000BC010000}"/>
    <cellStyle name="_부평배수지(투찰)_봉무지방산업단지도로(투찰)②+0.250%_마현생창(동양고속)_왜관-태평건설 2" xfId="1848" xr:uid="{00000000-0005-0000-0000-000038070000}"/>
    <cellStyle name="_부평배수지(투찰)_봉무지방산업단지도로(투찰)②+0.250%_왜관-태평건설" xfId="445" xr:uid="{00000000-0005-0000-0000-0000BD010000}"/>
    <cellStyle name="_부평배수지(투찰)_봉무지방산업단지도로(투찰)②+0.250%_왜관-태평건설 2" xfId="1849" xr:uid="{00000000-0005-0000-0000-000039070000}"/>
    <cellStyle name="_부평배수지(투찰)_왜관-태평건설" xfId="446" xr:uid="{00000000-0005-0000-0000-0000BE010000}"/>
    <cellStyle name="_부평배수지(투찰)_왜관-태평건설 2" xfId="1850" xr:uid="{00000000-0005-0000-0000-00003A070000}"/>
    <cellStyle name="_부평배수지(투찰)_합덕-신례원(2공구)투찰" xfId="447" xr:uid="{00000000-0005-0000-0000-0000BF010000}"/>
    <cellStyle name="_부평배수지(투찰)_합덕-신례원(2공구)투찰 2" xfId="1851" xr:uid="{00000000-0005-0000-0000-00003B070000}"/>
    <cellStyle name="_부평배수지(투찰)_합덕-신례원(2공구)투찰_경찰서-터미널간도로(투찰)②" xfId="448" xr:uid="{00000000-0005-0000-0000-0000C0010000}"/>
    <cellStyle name="_부평배수지(투찰)_합덕-신례원(2공구)투찰_경찰서-터미널간도로(투찰)② 2" xfId="1852" xr:uid="{00000000-0005-0000-0000-00003C070000}"/>
    <cellStyle name="_부평배수지(투찰)_합덕-신례원(2공구)투찰_경찰서-터미널간도로(투찰)②_마현생창(동양고속)" xfId="449" xr:uid="{00000000-0005-0000-0000-0000C1010000}"/>
    <cellStyle name="_부평배수지(투찰)_합덕-신례원(2공구)투찰_경찰서-터미널간도로(투찰)②_마현생창(동양고속) 2" xfId="1853" xr:uid="{00000000-0005-0000-0000-00003D070000}"/>
    <cellStyle name="_부평배수지(투찰)_합덕-신례원(2공구)투찰_경찰서-터미널간도로(투찰)②_마현생창(동양고속)_왜관-태평건설" xfId="450" xr:uid="{00000000-0005-0000-0000-0000C2010000}"/>
    <cellStyle name="_부평배수지(투찰)_합덕-신례원(2공구)투찰_경찰서-터미널간도로(투찰)②_마현생창(동양고속)_왜관-태평건설 2" xfId="1854" xr:uid="{00000000-0005-0000-0000-00003E070000}"/>
    <cellStyle name="_부평배수지(투찰)_합덕-신례원(2공구)투찰_경찰서-터미널간도로(투찰)②_왜관-태평건설" xfId="451" xr:uid="{00000000-0005-0000-0000-0000C3010000}"/>
    <cellStyle name="_부평배수지(투찰)_합덕-신례원(2공구)투찰_경찰서-터미널간도로(투찰)②_왜관-태평건설 2" xfId="1855" xr:uid="{00000000-0005-0000-0000-00003F070000}"/>
    <cellStyle name="_부평배수지(투찰)_합덕-신례원(2공구)투찰_마현생창(동양고속)" xfId="452" xr:uid="{00000000-0005-0000-0000-0000C4010000}"/>
    <cellStyle name="_부평배수지(투찰)_합덕-신례원(2공구)투찰_마현생창(동양고속) 2" xfId="1856" xr:uid="{00000000-0005-0000-0000-000040070000}"/>
    <cellStyle name="_부평배수지(투찰)_합덕-신례원(2공구)투찰_마현생창(동양고속)_왜관-태평건설" xfId="453" xr:uid="{00000000-0005-0000-0000-0000C5010000}"/>
    <cellStyle name="_부평배수지(투찰)_합덕-신례원(2공구)투찰_마현생창(동양고속)_왜관-태평건설 2" xfId="1857" xr:uid="{00000000-0005-0000-0000-000041070000}"/>
    <cellStyle name="_부평배수지(투찰)_합덕-신례원(2공구)투찰_봉무지방산업단지도로(투찰)②" xfId="454" xr:uid="{00000000-0005-0000-0000-0000C6010000}"/>
    <cellStyle name="_부평배수지(투찰)_합덕-신례원(2공구)투찰_봉무지방산업단지도로(투찰)② 2" xfId="1858" xr:uid="{00000000-0005-0000-0000-000042070000}"/>
    <cellStyle name="_부평배수지(투찰)_합덕-신례원(2공구)투찰_봉무지방산업단지도로(투찰)②_마현생창(동양고속)" xfId="455" xr:uid="{00000000-0005-0000-0000-0000C7010000}"/>
    <cellStyle name="_부평배수지(투찰)_합덕-신례원(2공구)투찰_봉무지방산업단지도로(투찰)②_마현생창(동양고속) 2" xfId="1859" xr:uid="{00000000-0005-0000-0000-000043070000}"/>
    <cellStyle name="_부평배수지(투찰)_합덕-신례원(2공구)투찰_봉무지방산업단지도로(투찰)②_마현생창(동양고속)_왜관-태평건설" xfId="456" xr:uid="{00000000-0005-0000-0000-0000C8010000}"/>
    <cellStyle name="_부평배수지(투찰)_합덕-신례원(2공구)투찰_봉무지방산업단지도로(투찰)②_마현생창(동양고속)_왜관-태평건설 2" xfId="1860" xr:uid="{00000000-0005-0000-0000-000044070000}"/>
    <cellStyle name="_부평배수지(투찰)_합덕-신례원(2공구)투찰_봉무지방산업단지도로(투찰)②_왜관-태평건설" xfId="457" xr:uid="{00000000-0005-0000-0000-0000C9010000}"/>
    <cellStyle name="_부평배수지(투찰)_합덕-신례원(2공구)투찰_봉무지방산업단지도로(투찰)②_왜관-태평건설 2" xfId="1861" xr:uid="{00000000-0005-0000-0000-000045070000}"/>
    <cellStyle name="_부평배수지(투찰)_합덕-신례원(2공구)투찰_봉무지방산업단지도로(투찰)②+0.250%" xfId="458" xr:uid="{00000000-0005-0000-0000-0000CA010000}"/>
    <cellStyle name="_부평배수지(투찰)_합덕-신례원(2공구)투찰_봉무지방산업단지도로(투찰)②+0.250% 2" xfId="1862" xr:uid="{00000000-0005-0000-0000-000046070000}"/>
    <cellStyle name="_부평배수지(투찰)_합덕-신례원(2공구)투찰_봉무지방산업단지도로(투찰)②+0.250%_마현생창(동양고속)" xfId="459" xr:uid="{00000000-0005-0000-0000-0000CB010000}"/>
    <cellStyle name="_부평배수지(투찰)_합덕-신례원(2공구)투찰_봉무지방산업단지도로(투찰)②+0.250%_마현생창(동양고속) 2" xfId="1863" xr:uid="{00000000-0005-0000-0000-000047070000}"/>
    <cellStyle name="_부평배수지(투찰)_합덕-신례원(2공구)투찰_봉무지방산업단지도로(투찰)②+0.250%_마현생창(동양고속)_왜관-태평건설" xfId="460" xr:uid="{00000000-0005-0000-0000-0000CC010000}"/>
    <cellStyle name="_부평배수지(투찰)_합덕-신례원(2공구)투찰_봉무지방산업단지도로(투찰)②+0.250%_마현생창(동양고속)_왜관-태평건설 2" xfId="1864" xr:uid="{00000000-0005-0000-0000-000048070000}"/>
    <cellStyle name="_부평배수지(투찰)_합덕-신례원(2공구)투찰_봉무지방산업단지도로(투찰)②+0.250%_왜관-태평건설" xfId="461" xr:uid="{00000000-0005-0000-0000-0000CD010000}"/>
    <cellStyle name="_부평배수지(투찰)_합덕-신례원(2공구)투찰_봉무지방산업단지도로(투찰)②+0.250%_왜관-태평건설 2" xfId="1865" xr:uid="{00000000-0005-0000-0000-000049070000}"/>
    <cellStyle name="_부평배수지(투찰)_합덕-신례원(2공구)투찰_왜관-태평건설" xfId="462" xr:uid="{00000000-0005-0000-0000-0000CE010000}"/>
    <cellStyle name="_부평배수지(투찰)_합덕-신례원(2공구)투찰_왜관-태평건설 2" xfId="1866" xr:uid="{00000000-0005-0000-0000-00004A070000}"/>
    <cellStyle name="_부평배수지(투찰)_합덕-신례원(2공구)투찰_합덕-신례원(2공구)투찰" xfId="463" xr:uid="{00000000-0005-0000-0000-0000CF010000}"/>
    <cellStyle name="_부평배수지(투찰)_합덕-신례원(2공구)투찰_합덕-신례원(2공구)투찰 2" xfId="1867" xr:uid="{00000000-0005-0000-0000-00004B070000}"/>
    <cellStyle name="_부평배수지(투찰)_합덕-신례원(2공구)투찰_합덕-신례원(2공구)투찰_경찰서-터미널간도로(투찰)②" xfId="464" xr:uid="{00000000-0005-0000-0000-0000D0010000}"/>
    <cellStyle name="_부평배수지(투찰)_합덕-신례원(2공구)투찰_합덕-신례원(2공구)투찰_경찰서-터미널간도로(투찰)② 2" xfId="1868" xr:uid="{00000000-0005-0000-0000-00004C070000}"/>
    <cellStyle name="_부평배수지(투찰)_합덕-신례원(2공구)투찰_합덕-신례원(2공구)투찰_경찰서-터미널간도로(투찰)②_마현생창(동양고속)" xfId="465" xr:uid="{00000000-0005-0000-0000-0000D1010000}"/>
    <cellStyle name="_부평배수지(투찰)_합덕-신례원(2공구)투찰_합덕-신례원(2공구)투찰_경찰서-터미널간도로(투찰)②_마현생창(동양고속) 2" xfId="1869" xr:uid="{00000000-0005-0000-0000-00004D070000}"/>
    <cellStyle name="_부평배수지(투찰)_합덕-신례원(2공구)투찰_합덕-신례원(2공구)투찰_경찰서-터미널간도로(투찰)②_마현생창(동양고속)_왜관-태평건설" xfId="466" xr:uid="{00000000-0005-0000-0000-0000D2010000}"/>
    <cellStyle name="_부평배수지(투찰)_합덕-신례원(2공구)투찰_합덕-신례원(2공구)투찰_경찰서-터미널간도로(투찰)②_마현생창(동양고속)_왜관-태평건설 2" xfId="1870" xr:uid="{00000000-0005-0000-0000-00004E070000}"/>
    <cellStyle name="_부평배수지(투찰)_합덕-신례원(2공구)투찰_합덕-신례원(2공구)투찰_경찰서-터미널간도로(투찰)②_왜관-태평건설" xfId="467" xr:uid="{00000000-0005-0000-0000-0000D3010000}"/>
    <cellStyle name="_부평배수지(투찰)_합덕-신례원(2공구)투찰_합덕-신례원(2공구)투찰_경찰서-터미널간도로(투찰)②_왜관-태평건설 2" xfId="1871" xr:uid="{00000000-0005-0000-0000-00004F070000}"/>
    <cellStyle name="_부평배수지(투찰)_합덕-신례원(2공구)투찰_합덕-신례원(2공구)투찰_마현생창(동양고속)" xfId="468" xr:uid="{00000000-0005-0000-0000-0000D4010000}"/>
    <cellStyle name="_부평배수지(투찰)_합덕-신례원(2공구)투찰_합덕-신례원(2공구)투찰_마현생창(동양고속) 2" xfId="1872" xr:uid="{00000000-0005-0000-0000-000050070000}"/>
    <cellStyle name="_부평배수지(투찰)_합덕-신례원(2공구)투찰_합덕-신례원(2공구)투찰_마현생창(동양고속)_왜관-태평건설" xfId="469" xr:uid="{00000000-0005-0000-0000-0000D5010000}"/>
    <cellStyle name="_부평배수지(투찰)_합덕-신례원(2공구)투찰_합덕-신례원(2공구)투찰_마현생창(동양고속)_왜관-태평건설 2" xfId="1873" xr:uid="{00000000-0005-0000-0000-000051070000}"/>
    <cellStyle name="_부평배수지(투찰)_합덕-신례원(2공구)투찰_합덕-신례원(2공구)투찰_봉무지방산업단지도로(투찰)②" xfId="470" xr:uid="{00000000-0005-0000-0000-0000D6010000}"/>
    <cellStyle name="_부평배수지(투찰)_합덕-신례원(2공구)투찰_합덕-신례원(2공구)투찰_봉무지방산업단지도로(투찰)② 2" xfId="1874" xr:uid="{00000000-0005-0000-0000-000052070000}"/>
    <cellStyle name="_부평배수지(투찰)_합덕-신례원(2공구)투찰_합덕-신례원(2공구)투찰_봉무지방산업단지도로(투찰)②_마현생창(동양고속)" xfId="471" xr:uid="{00000000-0005-0000-0000-0000D7010000}"/>
    <cellStyle name="_부평배수지(투찰)_합덕-신례원(2공구)투찰_합덕-신례원(2공구)투찰_봉무지방산업단지도로(투찰)②_마현생창(동양고속) 2" xfId="1875" xr:uid="{00000000-0005-0000-0000-000053070000}"/>
    <cellStyle name="_부평배수지(투찰)_합덕-신례원(2공구)투찰_합덕-신례원(2공구)투찰_봉무지방산업단지도로(투찰)②_마현생창(동양고속)_왜관-태평건설" xfId="472" xr:uid="{00000000-0005-0000-0000-0000D8010000}"/>
    <cellStyle name="_부평배수지(투찰)_합덕-신례원(2공구)투찰_합덕-신례원(2공구)투찰_봉무지방산업단지도로(투찰)②_마현생창(동양고속)_왜관-태평건설 2" xfId="1876" xr:uid="{00000000-0005-0000-0000-000054070000}"/>
    <cellStyle name="_부평배수지(투찰)_합덕-신례원(2공구)투찰_합덕-신례원(2공구)투찰_봉무지방산업단지도로(투찰)②_왜관-태평건설" xfId="473" xr:uid="{00000000-0005-0000-0000-0000D9010000}"/>
    <cellStyle name="_부평배수지(투찰)_합덕-신례원(2공구)투찰_합덕-신례원(2공구)투찰_봉무지방산업단지도로(투찰)②_왜관-태평건설 2" xfId="1877" xr:uid="{00000000-0005-0000-0000-000055070000}"/>
    <cellStyle name="_부평배수지(투찰)_합덕-신례원(2공구)투찰_합덕-신례원(2공구)투찰_봉무지방산업단지도로(투찰)②+0.250%" xfId="474" xr:uid="{00000000-0005-0000-0000-0000DA010000}"/>
    <cellStyle name="_부평배수지(투찰)_합덕-신례원(2공구)투찰_합덕-신례원(2공구)투찰_봉무지방산업단지도로(투찰)②+0.250% 2" xfId="1878" xr:uid="{00000000-0005-0000-0000-000056070000}"/>
    <cellStyle name="_부평배수지(투찰)_합덕-신례원(2공구)투찰_합덕-신례원(2공구)투찰_봉무지방산업단지도로(투찰)②+0.250%_마현생창(동양고속)" xfId="475" xr:uid="{00000000-0005-0000-0000-0000DB010000}"/>
    <cellStyle name="_부평배수지(투찰)_합덕-신례원(2공구)투찰_합덕-신례원(2공구)투찰_봉무지방산업단지도로(투찰)②+0.250%_마현생창(동양고속) 2" xfId="1879" xr:uid="{00000000-0005-0000-0000-000057070000}"/>
    <cellStyle name="_부평배수지(투찰)_합덕-신례원(2공구)투찰_합덕-신례원(2공구)투찰_봉무지방산업단지도로(투찰)②+0.250%_마현생창(동양고속)_왜관-태평건설" xfId="476" xr:uid="{00000000-0005-0000-0000-0000DC010000}"/>
    <cellStyle name="_부평배수지(투찰)_합덕-신례원(2공구)투찰_합덕-신례원(2공구)투찰_봉무지방산업단지도로(투찰)②+0.250%_마현생창(동양고속)_왜관-태평건설 2" xfId="1880" xr:uid="{00000000-0005-0000-0000-000058070000}"/>
    <cellStyle name="_부평배수지(투찰)_합덕-신례원(2공구)투찰_합덕-신례원(2공구)투찰_봉무지방산업단지도로(투찰)②+0.250%_왜관-태평건설" xfId="477" xr:uid="{00000000-0005-0000-0000-0000DD010000}"/>
    <cellStyle name="_부평배수지(투찰)_합덕-신례원(2공구)투찰_합덕-신례원(2공구)투찰_봉무지방산업단지도로(투찰)②+0.250%_왜관-태평건설 2" xfId="1881" xr:uid="{00000000-0005-0000-0000-000059070000}"/>
    <cellStyle name="_부평배수지(투찰)_합덕-신례원(2공구)투찰_합덕-신례원(2공구)투찰_왜관-태평건설" xfId="478" xr:uid="{00000000-0005-0000-0000-0000DE010000}"/>
    <cellStyle name="_부평배수지(투찰)_합덕-신례원(2공구)투찰_합덕-신례원(2공구)투찰_왜관-태평건설 2" xfId="1882" xr:uid="{00000000-0005-0000-0000-00005A070000}"/>
    <cellStyle name="_사동초중" xfId="479" xr:uid="{00000000-0005-0000-0000-0000DF010000}"/>
    <cellStyle name="_서라벌고 내역서" xfId="480" xr:uid="{00000000-0005-0000-0000-0000E0010000}"/>
    <cellStyle name="_설계추정2(토목)대림" xfId="481" xr:uid="{00000000-0005-0000-0000-0000E1010000}"/>
    <cellStyle name="_소화펌프" xfId="482" xr:uid="{00000000-0005-0000-0000-0000E2010000}"/>
    <cellStyle name="_송학하수품의(설계넣고)" xfId="483" xr:uid="{00000000-0005-0000-0000-0000E3010000}"/>
    <cellStyle name="_송학하수품의(설계넣고) 2" xfId="1883" xr:uid="{00000000-0005-0000-0000-00005B070000}"/>
    <cellStyle name="_신태백(가실행)" xfId="484" xr:uid="{00000000-0005-0000-0000-0000E4010000}"/>
    <cellStyle name="_신태백(가실행) 2" xfId="1884" xr:uid="{00000000-0005-0000-0000-00005C070000}"/>
    <cellStyle name="_신태백(가실행)_1" xfId="485" xr:uid="{00000000-0005-0000-0000-0000E5010000}"/>
    <cellStyle name="_신태백(가실행)_1 2" xfId="1885" xr:uid="{00000000-0005-0000-0000-00005D070000}"/>
    <cellStyle name="_신태백(가실행)_1_경찰서-터미널간도로(투찰)②" xfId="486" xr:uid="{00000000-0005-0000-0000-0000E6010000}"/>
    <cellStyle name="_신태백(가실행)_1_경찰서-터미널간도로(투찰)② 2" xfId="1886" xr:uid="{00000000-0005-0000-0000-00005E070000}"/>
    <cellStyle name="_신태백(가실행)_1_경찰서-터미널간도로(투찰)②_마현생창(동양고속)" xfId="487" xr:uid="{00000000-0005-0000-0000-0000E7010000}"/>
    <cellStyle name="_신태백(가실행)_1_경찰서-터미널간도로(투찰)②_마현생창(동양고속) 2" xfId="1887" xr:uid="{00000000-0005-0000-0000-00005F070000}"/>
    <cellStyle name="_신태백(가실행)_1_경찰서-터미널간도로(투찰)②_마현생창(동양고속)_왜관-태평건설" xfId="488" xr:uid="{00000000-0005-0000-0000-0000E8010000}"/>
    <cellStyle name="_신태백(가실행)_1_경찰서-터미널간도로(투찰)②_마현생창(동양고속)_왜관-태평건설 2" xfId="1888" xr:uid="{00000000-0005-0000-0000-000060070000}"/>
    <cellStyle name="_신태백(가실행)_1_경찰서-터미널간도로(투찰)②_왜관-태평건설" xfId="489" xr:uid="{00000000-0005-0000-0000-0000E9010000}"/>
    <cellStyle name="_신태백(가실행)_1_경찰서-터미널간도로(투찰)②_왜관-태평건설 2" xfId="1889" xr:uid="{00000000-0005-0000-0000-000061070000}"/>
    <cellStyle name="_신태백(가실행)_1_마현생창(동양고속)" xfId="490" xr:uid="{00000000-0005-0000-0000-0000EA010000}"/>
    <cellStyle name="_신태백(가실행)_1_마현생창(동양고속) 2" xfId="1890" xr:uid="{00000000-0005-0000-0000-000062070000}"/>
    <cellStyle name="_신태백(가실행)_1_마현생창(동양고속)_왜관-태평건설" xfId="491" xr:uid="{00000000-0005-0000-0000-0000EB010000}"/>
    <cellStyle name="_신태백(가실행)_1_마현생창(동양고속)_왜관-태평건설 2" xfId="1891" xr:uid="{00000000-0005-0000-0000-000063070000}"/>
    <cellStyle name="_신태백(가실행)_1_봉무지방산업단지도로(투찰)②" xfId="492" xr:uid="{00000000-0005-0000-0000-0000EC010000}"/>
    <cellStyle name="_신태백(가실행)_1_봉무지방산업단지도로(투찰)② 2" xfId="1892" xr:uid="{00000000-0005-0000-0000-000064070000}"/>
    <cellStyle name="_신태백(가실행)_1_봉무지방산업단지도로(투찰)②_마현생창(동양고속)" xfId="493" xr:uid="{00000000-0005-0000-0000-0000ED010000}"/>
    <cellStyle name="_신태백(가실행)_1_봉무지방산업단지도로(투찰)②_마현생창(동양고속) 2" xfId="1893" xr:uid="{00000000-0005-0000-0000-000065070000}"/>
    <cellStyle name="_신태백(가실행)_1_봉무지방산업단지도로(투찰)②_마현생창(동양고속)_왜관-태평건설" xfId="494" xr:uid="{00000000-0005-0000-0000-0000EE010000}"/>
    <cellStyle name="_신태백(가실행)_1_봉무지방산업단지도로(투찰)②_마현생창(동양고속)_왜관-태평건설 2" xfId="1894" xr:uid="{00000000-0005-0000-0000-000066070000}"/>
    <cellStyle name="_신태백(가실행)_1_봉무지방산업단지도로(투찰)②_왜관-태평건설" xfId="495" xr:uid="{00000000-0005-0000-0000-0000EF010000}"/>
    <cellStyle name="_신태백(가실행)_1_봉무지방산업단지도로(투찰)②_왜관-태평건설 2" xfId="1895" xr:uid="{00000000-0005-0000-0000-000067070000}"/>
    <cellStyle name="_신태백(가실행)_1_봉무지방산업단지도로(투찰)②+0.250%" xfId="496" xr:uid="{00000000-0005-0000-0000-0000F0010000}"/>
    <cellStyle name="_신태백(가실행)_1_봉무지방산업단지도로(투찰)②+0.250% 2" xfId="1896" xr:uid="{00000000-0005-0000-0000-000068070000}"/>
    <cellStyle name="_신태백(가실행)_1_봉무지방산업단지도로(투찰)②+0.250%_마현생창(동양고속)" xfId="497" xr:uid="{00000000-0005-0000-0000-0000F1010000}"/>
    <cellStyle name="_신태백(가실행)_1_봉무지방산업단지도로(투찰)②+0.250%_마현생창(동양고속) 2" xfId="1897" xr:uid="{00000000-0005-0000-0000-000069070000}"/>
    <cellStyle name="_신태백(가실행)_1_봉무지방산업단지도로(투찰)②+0.250%_마현생창(동양고속)_왜관-태평건설" xfId="498" xr:uid="{00000000-0005-0000-0000-0000F2010000}"/>
    <cellStyle name="_신태백(가실행)_1_봉무지방산업단지도로(투찰)②+0.250%_마현생창(동양고속)_왜관-태평건설 2" xfId="1898" xr:uid="{00000000-0005-0000-0000-00006A070000}"/>
    <cellStyle name="_신태백(가실행)_1_봉무지방산업단지도로(투찰)②+0.250%_왜관-태평건설" xfId="499" xr:uid="{00000000-0005-0000-0000-0000F3010000}"/>
    <cellStyle name="_신태백(가실행)_1_봉무지방산업단지도로(투찰)②+0.250%_왜관-태평건설 2" xfId="1899" xr:uid="{00000000-0005-0000-0000-00006B070000}"/>
    <cellStyle name="_신태백(가실행)_1_왜관-태평건설" xfId="500" xr:uid="{00000000-0005-0000-0000-0000F4010000}"/>
    <cellStyle name="_신태백(가실행)_1_왜관-태평건설 2" xfId="1900" xr:uid="{00000000-0005-0000-0000-00006C070000}"/>
    <cellStyle name="_신태백(가실행)_1_합덕-신례원(2공구)투찰" xfId="501" xr:uid="{00000000-0005-0000-0000-0000F5010000}"/>
    <cellStyle name="_신태백(가실행)_1_합덕-신례원(2공구)투찰 2" xfId="1901" xr:uid="{00000000-0005-0000-0000-00006D070000}"/>
    <cellStyle name="_신태백(가실행)_1_합덕-신례원(2공구)투찰_경찰서-터미널간도로(투찰)②" xfId="502" xr:uid="{00000000-0005-0000-0000-0000F6010000}"/>
    <cellStyle name="_신태백(가실행)_1_합덕-신례원(2공구)투찰_경찰서-터미널간도로(투찰)② 2" xfId="1902" xr:uid="{00000000-0005-0000-0000-00006E070000}"/>
    <cellStyle name="_신태백(가실행)_1_합덕-신례원(2공구)투찰_경찰서-터미널간도로(투찰)②_마현생창(동양고속)" xfId="503" xr:uid="{00000000-0005-0000-0000-0000F7010000}"/>
    <cellStyle name="_신태백(가실행)_1_합덕-신례원(2공구)투찰_경찰서-터미널간도로(투찰)②_마현생창(동양고속) 2" xfId="1903" xr:uid="{00000000-0005-0000-0000-00006F070000}"/>
    <cellStyle name="_신태백(가실행)_1_합덕-신례원(2공구)투찰_경찰서-터미널간도로(투찰)②_마현생창(동양고속)_왜관-태평건설" xfId="504" xr:uid="{00000000-0005-0000-0000-0000F8010000}"/>
    <cellStyle name="_신태백(가실행)_1_합덕-신례원(2공구)투찰_경찰서-터미널간도로(투찰)②_마현생창(동양고속)_왜관-태평건설 2" xfId="1904" xr:uid="{00000000-0005-0000-0000-000070070000}"/>
    <cellStyle name="_신태백(가실행)_1_합덕-신례원(2공구)투찰_경찰서-터미널간도로(투찰)②_왜관-태평건설" xfId="505" xr:uid="{00000000-0005-0000-0000-0000F9010000}"/>
    <cellStyle name="_신태백(가실행)_1_합덕-신례원(2공구)투찰_경찰서-터미널간도로(투찰)②_왜관-태평건설 2" xfId="1905" xr:uid="{00000000-0005-0000-0000-000071070000}"/>
    <cellStyle name="_신태백(가실행)_1_합덕-신례원(2공구)투찰_마현생창(동양고속)" xfId="506" xr:uid="{00000000-0005-0000-0000-0000FA010000}"/>
    <cellStyle name="_신태백(가실행)_1_합덕-신례원(2공구)투찰_마현생창(동양고속) 2" xfId="1906" xr:uid="{00000000-0005-0000-0000-000072070000}"/>
    <cellStyle name="_신태백(가실행)_1_합덕-신례원(2공구)투찰_마현생창(동양고속)_왜관-태평건설" xfId="507" xr:uid="{00000000-0005-0000-0000-0000FB010000}"/>
    <cellStyle name="_신태백(가실행)_1_합덕-신례원(2공구)투찰_마현생창(동양고속)_왜관-태평건설 2" xfId="1907" xr:uid="{00000000-0005-0000-0000-000073070000}"/>
    <cellStyle name="_신태백(가실행)_1_합덕-신례원(2공구)투찰_봉무지방산업단지도로(투찰)②" xfId="508" xr:uid="{00000000-0005-0000-0000-0000FC010000}"/>
    <cellStyle name="_신태백(가실행)_1_합덕-신례원(2공구)투찰_봉무지방산업단지도로(투찰)② 2" xfId="1908" xr:uid="{00000000-0005-0000-0000-000074070000}"/>
    <cellStyle name="_신태백(가실행)_1_합덕-신례원(2공구)투찰_봉무지방산업단지도로(투찰)②_마현생창(동양고속)" xfId="509" xr:uid="{00000000-0005-0000-0000-0000FD010000}"/>
    <cellStyle name="_신태백(가실행)_1_합덕-신례원(2공구)투찰_봉무지방산업단지도로(투찰)②_마현생창(동양고속) 2" xfId="1909" xr:uid="{00000000-0005-0000-0000-000075070000}"/>
    <cellStyle name="_신태백(가실행)_1_합덕-신례원(2공구)투찰_봉무지방산업단지도로(투찰)②_마현생창(동양고속)_왜관-태평건설" xfId="510" xr:uid="{00000000-0005-0000-0000-0000FE010000}"/>
    <cellStyle name="_신태백(가실행)_1_합덕-신례원(2공구)투찰_봉무지방산업단지도로(투찰)②_마현생창(동양고속)_왜관-태평건설 2" xfId="1910" xr:uid="{00000000-0005-0000-0000-000076070000}"/>
    <cellStyle name="_신태백(가실행)_1_합덕-신례원(2공구)투찰_봉무지방산업단지도로(투찰)②_왜관-태평건설" xfId="511" xr:uid="{00000000-0005-0000-0000-0000FF010000}"/>
    <cellStyle name="_신태백(가실행)_1_합덕-신례원(2공구)투찰_봉무지방산업단지도로(투찰)②_왜관-태평건설 2" xfId="1911" xr:uid="{00000000-0005-0000-0000-000077070000}"/>
    <cellStyle name="_신태백(가실행)_1_합덕-신례원(2공구)투찰_봉무지방산업단지도로(투찰)②+0.250%" xfId="512" xr:uid="{00000000-0005-0000-0000-000000020000}"/>
    <cellStyle name="_신태백(가실행)_1_합덕-신례원(2공구)투찰_봉무지방산업단지도로(투찰)②+0.250% 2" xfId="1912" xr:uid="{00000000-0005-0000-0000-000078070000}"/>
    <cellStyle name="_신태백(가실행)_1_합덕-신례원(2공구)투찰_봉무지방산업단지도로(투찰)②+0.250%_마현생창(동양고속)" xfId="513" xr:uid="{00000000-0005-0000-0000-000001020000}"/>
    <cellStyle name="_신태백(가실행)_1_합덕-신례원(2공구)투찰_봉무지방산업단지도로(투찰)②+0.250%_마현생창(동양고속) 2" xfId="1913" xr:uid="{00000000-0005-0000-0000-000079070000}"/>
    <cellStyle name="_신태백(가실행)_1_합덕-신례원(2공구)투찰_봉무지방산업단지도로(투찰)②+0.250%_마현생창(동양고속)_왜관-태평건설" xfId="514" xr:uid="{00000000-0005-0000-0000-000002020000}"/>
    <cellStyle name="_신태백(가실행)_1_합덕-신례원(2공구)투찰_봉무지방산업단지도로(투찰)②+0.250%_마현생창(동양고속)_왜관-태평건설 2" xfId="1914" xr:uid="{00000000-0005-0000-0000-00007A070000}"/>
    <cellStyle name="_신태백(가실행)_1_합덕-신례원(2공구)투찰_봉무지방산업단지도로(투찰)②+0.250%_왜관-태평건설" xfId="515" xr:uid="{00000000-0005-0000-0000-000003020000}"/>
    <cellStyle name="_신태백(가실행)_1_합덕-신례원(2공구)투찰_봉무지방산업단지도로(투찰)②+0.250%_왜관-태평건설 2" xfId="1915" xr:uid="{00000000-0005-0000-0000-00007B070000}"/>
    <cellStyle name="_신태백(가실행)_1_합덕-신례원(2공구)투찰_왜관-태평건설" xfId="516" xr:uid="{00000000-0005-0000-0000-000004020000}"/>
    <cellStyle name="_신태백(가실행)_1_합덕-신례원(2공구)투찰_왜관-태평건설 2" xfId="1916" xr:uid="{00000000-0005-0000-0000-00007C070000}"/>
    <cellStyle name="_신태백(가실행)_1_합덕-신례원(2공구)투찰_합덕-신례원(2공구)투찰" xfId="517" xr:uid="{00000000-0005-0000-0000-000005020000}"/>
    <cellStyle name="_신태백(가실행)_1_합덕-신례원(2공구)투찰_합덕-신례원(2공구)투찰 2" xfId="1917" xr:uid="{00000000-0005-0000-0000-00007D070000}"/>
    <cellStyle name="_신태백(가실행)_1_합덕-신례원(2공구)투찰_합덕-신례원(2공구)투찰_경찰서-터미널간도로(투찰)②" xfId="518" xr:uid="{00000000-0005-0000-0000-000006020000}"/>
    <cellStyle name="_신태백(가실행)_1_합덕-신례원(2공구)투찰_합덕-신례원(2공구)투찰_경찰서-터미널간도로(투찰)② 2" xfId="1918" xr:uid="{00000000-0005-0000-0000-00007E070000}"/>
    <cellStyle name="_신태백(가실행)_1_합덕-신례원(2공구)투찰_합덕-신례원(2공구)투찰_경찰서-터미널간도로(투찰)②_마현생창(동양고속)" xfId="519" xr:uid="{00000000-0005-0000-0000-000007020000}"/>
    <cellStyle name="_신태백(가실행)_1_합덕-신례원(2공구)투찰_합덕-신례원(2공구)투찰_경찰서-터미널간도로(투찰)②_마현생창(동양고속) 2" xfId="1919" xr:uid="{00000000-0005-0000-0000-00007F070000}"/>
    <cellStyle name="_신태백(가실행)_1_합덕-신례원(2공구)투찰_합덕-신례원(2공구)투찰_경찰서-터미널간도로(투찰)②_마현생창(동양고속)_왜관-태평건설" xfId="520" xr:uid="{00000000-0005-0000-0000-000008020000}"/>
    <cellStyle name="_신태백(가실행)_1_합덕-신례원(2공구)투찰_합덕-신례원(2공구)투찰_경찰서-터미널간도로(투찰)②_마현생창(동양고속)_왜관-태평건설 2" xfId="1920" xr:uid="{00000000-0005-0000-0000-000080070000}"/>
    <cellStyle name="_신태백(가실행)_1_합덕-신례원(2공구)투찰_합덕-신례원(2공구)투찰_경찰서-터미널간도로(투찰)②_왜관-태평건설" xfId="521" xr:uid="{00000000-0005-0000-0000-000009020000}"/>
    <cellStyle name="_신태백(가실행)_1_합덕-신례원(2공구)투찰_합덕-신례원(2공구)투찰_경찰서-터미널간도로(투찰)②_왜관-태평건설 2" xfId="1921" xr:uid="{00000000-0005-0000-0000-000081070000}"/>
    <cellStyle name="_신태백(가실행)_1_합덕-신례원(2공구)투찰_합덕-신례원(2공구)투찰_마현생창(동양고속)" xfId="522" xr:uid="{00000000-0005-0000-0000-00000A020000}"/>
    <cellStyle name="_신태백(가실행)_1_합덕-신례원(2공구)투찰_합덕-신례원(2공구)투찰_마현생창(동양고속) 2" xfId="1922" xr:uid="{00000000-0005-0000-0000-000082070000}"/>
    <cellStyle name="_신태백(가실행)_1_합덕-신례원(2공구)투찰_합덕-신례원(2공구)투찰_마현생창(동양고속)_왜관-태평건설" xfId="523" xr:uid="{00000000-0005-0000-0000-00000B020000}"/>
    <cellStyle name="_신태백(가실행)_1_합덕-신례원(2공구)투찰_합덕-신례원(2공구)투찰_마현생창(동양고속)_왜관-태평건설 2" xfId="1923" xr:uid="{00000000-0005-0000-0000-000083070000}"/>
    <cellStyle name="_신태백(가실행)_1_합덕-신례원(2공구)투찰_합덕-신례원(2공구)투찰_봉무지방산업단지도로(투찰)②" xfId="524" xr:uid="{00000000-0005-0000-0000-00000C020000}"/>
    <cellStyle name="_신태백(가실행)_1_합덕-신례원(2공구)투찰_합덕-신례원(2공구)투찰_봉무지방산업단지도로(투찰)② 2" xfId="1924" xr:uid="{00000000-0005-0000-0000-000084070000}"/>
    <cellStyle name="_신태백(가실행)_1_합덕-신례원(2공구)투찰_합덕-신례원(2공구)투찰_봉무지방산업단지도로(투찰)②_마현생창(동양고속)" xfId="525" xr:uid="{00000000-0005-0000-0000-00000D020000}"/>
    <cellStyle name="_신태백(가실행)_1_합덕-신례원(2공구)투찰_합덕-신례원(2공구)투찰_봉무지방산업단지도로(투찰)②_마현생창(동양고속) 2" xfId="1925" xr:uid="{00000000-0005-0000-0000-000085070000}"/>
    <cellStyle name="_신태백(가실행)_1_합덕-신례원(2공구)투찰_합덕-신례원(2공구)투찰_봉무지방산업단지도로(투찰)②_마현생창(동양고속)_왜관-태평건설" xfId="526" xr:uid="{00000000-0005-0000-0000-00000E020000}"/>
    <cellStyle name="_신태백(가실행)_1_합덕-신례원(2공구)투찰_합덕-신례원(2공구)투찰_봉무지방산업단지도로(투찰)②_마현생창(동양고속)_왜관-태평건설 2" xfId="1926" xr:uid="{00000000-0005-0000-0000-000086070000}"/>
    <cellStyle name="_신태백(가실행)_1_합덕-신례원(2공구)투찰_합덕-신례원(2공구)투찰_봉무지방산업단지도로(투찰)②_왜관-태평건설" xfId="527" xr:uid="{00000000-0005-0000-0000-00000F020000}"/>
    <cellStyle name="_신태백(가실행)_1_합덕-신례원(2공구)투찰_합덕-신례원(2공구)투찰_봉무지방산업단지도로(투찰)②_왜관-태평건설 2" xfId="1927" xr:uid="{00000000-0005-0000-0000-000087070000}"/>
    <cellStyle name="_신태백(가실행)_1_합덕-신례원(2공구)투찰_합덕-신례원(2공구)투찰_봉무지방산업단지도로(투찰)②+0.250%" xfId="528" xr:uid="{00000000-0005-0000-0000-000010020000}"/>
    <cellStyle name="_신태백(가실행)_1_합덕-신례원(2공구)투찰_합덕-신례원(2공구)투찰_봉무지방산업단지도로(투찰)②+0.250% 2" xfId="1928" xr:uid="{00000000-0005-0000-0000-000088070000}"/>
    <cellStyle name="_신태백(가실행)_1_합덕-신례원(2공구)투찰_합덕-신례원(2공구)투찰_봉무지방산업단지도로(투찰)②+0.250%_마현생창(동양고속)" xfId="529" xr:uid="{00000000-0005-0000-0000-000011020000}"/>
    <cellStyle name="_신태백(가실행)_1_합덕-신례원(2공구)투찰_합덕-신례원(2공구)투찰_봉무지방산업단지도로(투찰)②+0.250%_마현생창(동양고속) 2" xfId="1929" xr:uid="{00000000-0005-0000-0000-000089070000}"/>
    <cellStyle name="_신태백(가실행)_1_합덕-신례원(2공구)투찰_합덕-신례원(2공구)투찰_봉무지방산업단지도로(투찰)②+0.250%_마현생창(동양고속)_왜관-태평건설" xfId="530" xr:uid="{00000000-0005-0000-0000-000012020000}"/>
    <cellStyle name="_신태백(가실행)_1_합덕-신례원(2공구)투찰_합덕-신례원(2공구)투찰_봉무지방산업단지도로(투찰)②+0.250%_마현생창(동양고속)_왜관-태평건설 2" xfId="1930" xr:uid="{00000000-0005-0000-0000-00008A070000}"/>
    <cellStyle name="_신태백(가실행)_1_합덕-신례원(2공구)투찰_합덕-신례원(2공구)투찰_봉무지방산업단지도로(투찰)②+0.250%_왜관-태평건설" xfId="531" xr:uid="{00000000-0005-0000-0000-000013020000}"/>
    <cellStyle name="_신태백(가실행)_1_합덕-신례원(2공구)투찰_합덕-신례원(2공구)투찰_봉무지방산업단지도로(투찰)②+0.250%_왜관-태평건설 2" xfId="1931" xr:uid="{00000000-0005-0000-0000-00008B070000}"/>
    <cellStyle name="_신태백(가실행)_1_합덕-신례원(2공구)투찰_합덕-신례원(2공구)투찰_왜관-태평건설" xfId="532" xr:uid="{00000000-0005-0000-0000-000014020000}"/>
    <cellStyle name="_신태백(가실행)_1_합덕-신례원(2공구)투찰_합덕-신례원(2공구)투찰_왜관-태평건설 2" xfId="1932" xr:uid="{00000000-0005-0000-0000-00008C070000}"/>
    <cellStyle name="_신태백(가실행)_경찰서-터미널간도로(투찰)②" xfId="533" xr:uid="{00000000-0005-0000-0000-000015020000}"/>
    <cellStyle name="_신태백(가실행)_경찰서-터미널간도로(투찰)② 2" xfId="1933" xr:uid="{00000000-0005-0000-0000-00008D070000}"/>
    <cellStyle name="_신태백(가실행)_경찰서-터미널간도로(투찰)②_마현생창(동양고속)" xfId="534" xr:uid="{00000000-0005-0000-0000-000016020000}"/>
    <cellStyle name="_신태백(가실행)_경찰서-터미널간도로(투찰)②_마현생창(동양고속) 2" xfId="1934" xr:uid="{00000000-0005-0000-0000-00008E070000}"/>
    <cellStyle name="_신태백(가실행)_경찰서-터미널간도로(투찰)②_마현생창(동양고속)_왜관-태평건설" xfId="535" xr:uid="{00000000-0005-0000-0000-000017020000}"/>
    <cellStyle name="_신태백(가실행)_경찰서-터미널간도로(투찰)②_마현생창(동양고속)_왜관-태평건설 2" xfId="1935" xr:uid="{00000000-0005-0000-0000-00008F070000}"/>
    <cellStyle name="_신태백(가실행)_경찰서-터미널간도로(투찰)②_왜관-태평건설" xfId="536" xr:uid="{00000000-0005-0000-0000-000018020000}"/>
    <cellStyle name="_신태백(가실행)_경찰서-터미널간도로(투찰)②_왜관-태평건설 2" xfId="1936" xr:uid="{00000000-0005-0000-0000-000090070000}"/>
    <cellStyle name="_신태백(가실행)_도덕-고흥도로(투찰)" xfId="537" xr:uid="{00000000-0005-0000-0000-000019020000}"/>
    <cellStyle name="_신태백(가실행)_도덕-고흥도로(투찰) 2" xfId="1937" xr:uid="{00000000-0005-0000-0000-000091070000}"/>
    <cellStyle name="_신태백(가실행)_도덕-고흥도로(투찰)_경찰서-터미널간도로(투찰)②" xfId="538" xr:uid="{00000000-0005-0000-0000-00001A020000}"/>
    <cellStyle name="_신태백(가실행)_도덕-고흥도로(투찰)_경찰서-터미널간도로(투찰)② 2" xfId="1938" xr:uid="{00000000-0005-0000-0000-000092070000}"/>
    <cellStyle name="_신태백(가실행)_도덕-고흥도로(투찰)_경찰서-터미널간도로(투찰)②_마현생창(동양고속)" xfId="539" xr:uid="{00000000-0005-0000-0000-00001B020000}"/>
    <cellStyle name="_신태백(가실행)_도덕-고흥도로(투찰)_경찰서-터미널간도로(투찰)②_마현생창(동양고속) 2" xfId="1939" xr:uid="{00000000-0005-0000-0000-000093070000}"/>
    <cellStyle name="_신태백(가실행)_도덕-고흥도로(투찰)_경찰서-터미널간도로(투찰)②_마현생창(동양고속)_왜관-태평건설" xfId="540" xr:uid="{00000000-0005-0000-0000-00001C020000}"/>
    <cellStyle name="_신태백(가실행)_도덕-고흥도로(투찰)_경찰서-터미널간도로(투찰)②_마현생창(동양고속)_왜관-태평건설 2" xfId="1940" xr:uid="{00000000-0005-0000-0000-000094070000}"/>
    <cellStyle name="_신태백(가실행)_도덕-고흥도로(투찰)_경찰서-터미널간도로(투찰)②_왜관-태평건설" xfId="541" xr:uid="{00000000-0005-0000-0000-00001D020000}"/>
    <cellStyle name="_신태백(가실행)_도덕-고흥도로(투찰)_경찰서-터미널간도로(투찰)②_왜관-태평건설 2" xfId="1941" xr:uid="{00000000-0005-0000-0000-000095070000}"/>
    <cellStyle name="_신태백(가실행)_도덕-고흥도로(투찰)_마현생창(동양고속)" xfId="542" xr:uid="{00000000-0005-0000-0000-00001E020000}"/>
    <cellStyle name="_신태백(가실행)_도덕-고흥도로(투찰)_마현생창(동양고속) 2" xfId="1942" xr:uid="{00000000-0005-0000-0000-000096070000}"/>
    <cellStyle name="_신태백(가실행)_도덕-고흥도로(투찰)_마현생창(동양고속)_왜관-태평건설" xfId="543" xr:uid="{00000000-0005-0000-0000-00001F020000}"/>
    <cellStyle name="_신태백(가실행)_도덕-고흥도로(투찰)_마현생창(동양고속)_왜관-태평건설 2" xfId="1943" xr:uid="{00000000-0005-0000-0000-000097070000}"/>
    <cellStyle name="_신태백(가실행)_도덕-고흥도로(투찰)_봉무지방산업단지도로(투찰)②" xfId="544" xr:uid="{00000000-0005-0000-0000-000020020000}"/>
    <cellStyle name="_신태백(가실행)_도덕-고흥도로(투찰)_봉무지방산업단지도로(투찰)② 2" xfId="1944" xr:uid="{00000000-0005-0000-0000-000098070000}"/>
    <cellStyle name="_신태백(가실행)_도덕-고흥도로(투찰)_봉무지방산업단지도로(투찰)②_마현생창(동양고속)" xfId="545" xr:uid="{00000000-0005-0000-0000-000021020000}"/>
    <cellStyle name="_신태백(가실행)_도덕-고흥도로(투찰)_봉무지방산업단지도로(투찰)②_마현생창(동양고속) 2" xfId="1945" xr:uid="{00000000-0005-0000-0000-000099070000}"/>
    <cellStyle name="_신태백(가실행)_도덕-고흥도로(투찰)_봉무지방산업단지도로(투찰)②_마현생창(동양고속)_왜관-태평건설" xfId="546" xr:uid="{00000000-0005-0000-0000-000022020000}"/>
    <cellStyle name="_신태백(가실행)_도덕-고흥도로(투찰)_봉무지방산업단지도로(투찰)②_마현생창(동양고속)_왜관-태평건설 2" xfId="1946" xr:uid="{00000000-0005-0000-0000-00009A070000}"/>
    <cellStyle name="_신태백(가실행)_도덕-고흥도로(투찰)_봉무지방산업단지도로(투찰)②_왜관-태평건설" xfId="547" xr:uid="{00000000-0005-0000-0000-000023020000}"/>
    <cellStyle name="_신태백(가실행)_도덕-고흥도로(투찰)_봉무지방산업단지도로(투찰)②_왜관-태평건설 2" xfId="1947" xr:uid="{00000000-0005-0000-0000-00009B070000}"/>
    <cellStyle name="_신태백(가실행)_도덕-고흥도로(투찰)_봉무지방산업단지도로(투찰)②+0.250%" xfId="548" xr:uid="{00000000-0005-0000-0000-000024020000}"/>
    <cellStyle name="_신태백(가실행)_도덕-고흥도로(투찰)_봉무지방산업단지도로(투찰)②+0.250% 2" xfId="1948" xr:uid="{00000000-0005-0000-0000-00009C070000}"/>
    <cellStyle name="_신태백(가실행)_도덕-고흥도로(투찰)_봉무지방산업단지도로(투찰)②+0.250%_마현생창(동양고속)" xfId="549" xr:uid="{00000000-0005-0000-0000-000025020000}"/>
    <cellStyle name="_신태백(가실행)_도덕-고흥도로(투찰)_봉무지방산업단지도로(투찰)②+0.250%_마현생창(동양고속) 2" xfId="1949" xr:uid="{00000000-0005-0000-0000-00009D070000}"/>
    <cellStyle name="_신태백(가실행)_도덕-고흥도로(투찰)_봉무지방산업단지도로(투찰)②+0.250%_마현생창(동양고속)_왜관-태평건설" xfId="550" xr:uid="{00000000-0005-0000-0000-000026020000}"/>
    <cellStyle name="_신태백(가실행)_도덕-고흥도로(투찰)_봉무지방산업단지도로(투찰)②+0.250%_마현생창(동양고속)_왜관-태평건설 2" xfId="1950" xr:uid="{00000000-0005-0000-0000-00009E070000}"/>
    <cellStyle name="_신태백(가실행)_도덕-고흥도로(투찰)_봉무지방산업단지도로(투찰)②+0.250%_왜관-태평건설" xfId="551" xr:uid="{00000000-0005-0000-0000-000027020000}"/>
    <cellStyle name="_신태백(가실행)_도덕-고흥도로(투찰)_봉무지방산업단지도로(투찰)②+0.250%_왜관-태평건설 2" xfId="1951" xr:uid="{00000000-0005-0000-0000-00009F070000}"/>
    <cellStyle name="_신태백(가실행)_도덕-고흥도로(투찰)_왜관-태평건설" xfId="552" xr:uid="{00000000-0005-0000-0000-000028020000}"/>
    <cellStyle name="_신태백(가실행)_도덕-고흥도로(투찰)_왜관-태평건설 2" xfId="1952" xr:uid="{00000000-0005-0000-0000-0000A0070000}"/>
    <cellStyle name="_신태백(가실행)_도덕-고흥도로(투찰)_합덕-신례원(2공구)투찰" xfId="553" xr:uid="{00000000-0005-0000-0000-000029020000}"/>
    <cellStyle name="_신태백(가실행)_도덕-고흥도로(투찰)_합덕-신례원(2공구)투찰 2" xfId="1953" xr:uid="{00000000-0005-0000-0000-0000A1070000}"/>
    <cellStyle name="_신태백(가실행)_도덕-고흥도로(투찰)_합덕-신례원(2공구)투찰_경찰서-터미널간도로(투찰)②" xfId="554" xr:uid="{00000000-0005-0000-0000-00002A020000}"/>
    <cellStyle name="_신태백(가실행)_도덕-고흥도로(투찰)_합덕-신례원(2공구)투찰_경찰서-터미널간도로(투찰)② 2" xfId="1954" xr:uid="{00000000-0005-0000-0000-0000A2070000}"/>
    <cellStyle name="_신태백(가실행)_도덕-고흥도로(투찰)_합덕-신례원(2공구)투찰_경찰서-터미널간도로(투찰)②_마현생창(동양고속)" xfId="555" xr:uid="{00000000-0005-0000-0000-00002B020000}"/>
    <cellStyle name="_신태백(가실행)_도덕-고흥도로(투찰)_합덕-신례원(2공구)투찰_경찰서-터미널간도로(투찰)②_마현생창(동양고속) 2" xfId="1955" xr:uid="{00000000-0005-0000-0000-0000A3070000}"/>
    <cellStyle name="_신태백(가실행)_도덕-고흥도로(투찰)_합덕-신례원(2공구)투찰_경찰서-터미널간도로(투찰)②_마현생창(동양고속)_왜관-태평건설" xfId="556" xr:uid="{00000000-0005-0000-0000-00002C020000}"/>
    <cellStyle name="_신태백(가실행)_도덕-고흥도로(투찰)_합덕-신례원(2공구)투찰_경찰서-터미널간도로(투찰)②_마현생창(동양고속)_왜관-태평건설 2" xfId="1956" xr:uid="{00000000-0005-0000-0000-0000A4070000}"/>
    <cellStyle name="_신태백(가실행)_도덕-고흥도로(투찰)_합덕-신례원(2공구)투찰_경찰서-터미널간도로(투찰)②_왜관-태평건설" xfId="557" xr:uid="{00000000-0005-0000-0000-00002D020000}"/>
    <cellStyle name="_신태백(가실행)_도덕-고흥도로(투찰)_합덕-신례원(2공구)투찰_경찰서-터미널간도로(투찰)②_왜관-태평건설 2" xfId="1957" xr:uid="{00000000-0005-0000-0000-0000A5070000}"/>
    <cellStyle name="_신태백(가실행)_도덕-고흥도로(투찰)_합덕-신례원(2공구)투찰_마현생창(동양고속)" xfId="558" xr:uid="{00000000-0005-0000-0000-00002E020000}"/>
    <cellStyle name="_신태백(가실행)_도덕-고흥도로(투찰)_합덕-신례원(2공구)투찰_마현생창(동양고속) 2" xfId="1958" xr:uid="{00000000-0005-0000-0000-0000A6070000}"/>
    <cellStyle name="_신태백(가실행)_도덕-고흥도로(투찰)_합덕-신례원(2공구)투찰_마현생창(동양고속)_왜관-태평건설" xfId="559" xr:uid="{00000000-0005-0000-0000-00002F020000}"/>
    <cellStyle name="_신태백(가실행)_도덕-고흥도로(투찰)_합덕-신례원(2공구)투찰_마현생창(동양고속)_왜관-태평건설 2" xfId="1959" xr:uid="{00000000-0005-0000-0000-0000A7070000}"/>
    <cellStyle name="_신태백(가실행)_도덕-고흥도로(투찰)_합덕-신례원(2공구)투찰_봉무지방산업단지도로(투찰)②" xfId="560" xr:uid="{00000000-0005-0000-0000-000030020000}"/>
    <cellStyle name="_신태백(가실행)_도덕-고흥도로(투찰)_합덕-신례원(2공구)투찰_봉무지방산업단지도로(투찰)② 2" xfId="1960" xr:uid="{00000000-0005-0000-0000-0000A8070000}"/>
    <cellStyle name="_신태백(가실행)_도덕-고흥도로(투찰)_합덕-신례원(2공구)투찰_봉무지방산업단지도로(투찰)②_마현생창(동양고속)" xfId="561" xr:uid="{00000000-0005-0000-0000-000031020000}"/>
    <cellStyle name="_신태백(가실행)_도덕-고흥도로(투찰)_합덕-신례원(2공구)투찰_봉무지방산업단지도로(투찰)②_마현생창(동양고속) 2" xfId="1961" xr:uid="{00000000-0005-0000-0000-0000A9070000}"/>
    <cellStyle name="_신태백(가실행)_도덕-고흥도로(투찰)_합덕-신례원(2공구)투찰_봉무지방산업단지도로(투찰)②_마현생창(동양고속)_왜관-태평건설" xfId="562" xr:uid="{00000000-0005-0000-0000-000032020000}"/>
    <cellStyle name="_신태백(가실행)_도덕-고흥도로(투찰)_합덕-신례원(2공구)투찰_봉무지방산업단지도로(투찰)②_마현생창(동양고속)_왜관-태평건설 2" xfId="1962" xr:uid="{00000000-0005-0000-0000-0000AA070000}"/>
    <cellStyle name="_신태백(가실행)_도덕-고흥도로(투찰)_합덕-신례원(2공구)투찰_봉무지방산업단지도로(투찰)②_왜관-태평건설" xfId="563" xr:uid="{00000000-0005-0000-0000-000033020000}"/>
    <cellStyle name="_신태백(가실행)_도덕-고흥도로(투찰)_합덕-신례원(2공구)투찰_봉무지방산업단지도로(투찰)②_왜관-태평건설 2" xfId="1963" xr:uid="{00000000-0005-0000-0000-0000AB070000}"/>
    <cellStyle name="_신태백(가실행)_도덕-고흥도로(투찰)_합덕-신례원(2공구)투찰_봉무지방산업단지도로(투찰)②+0.250%" xfId="564" xr:uid="{00000000-0005-0000-0000-000034020000}"/>
    <cellStyle name="_신태백(가실행)_도덕-고흥도로(투찰)_합덕-신례원(2공구)투찰_봉무지방산업단지도로(투찰)②+0.250% 2" xfId="1964" xr:uid="{00000000-0005-0000-0000-0000AC070000}"/>
    <cellStyle name="_신태백(가실행)_도덕-고흥도로(투찰)_합덕-신례원(2공구)투찰_봉무지방산업단지도로(투찰)②+0.250%_마현생창(동양고속)" xfId="565" xr:uid="{00000000-0005-0000-0000-000035020000}"/>
    <cellStyle name="_신태백(가실행)_도덕-고흥도로(투찰)_합덕-신례원(2공구)투찰_봉무지방산업단지도로(투찰)②+0.250%_마현생창(동양고속) 2" xfId="1965" xr:uid="{00000000-0005-0000-0000-0000AD070000}"/>
    <cellStyle name="_신태백(가실행)_도덕-고흥도로(투찰)_합덕-신례원(2공구)투찰_봉무지방산업단지도로(투찰)②+0.250%_마현생창(동양고속)_왜관-태평건설" xfId="566" xr:uid="{00000000-0005-0000-0000-000036020000}"/>
    <cellStyle name="_신태백(가실행)_도덕-고흥도로(투찰)_합덕-신례원(2공구)투찰_봉무지방산업단지도로(투찰)②+0.250%_마현생창(동양고속)_왜관-태평건설 2" xfId="1966" xr:uid="{00000000-0005-0000-0000-0000AE070000}"/>
    <cellStyle name="_신태백(가실행)_도덕-고흥도로(투찰)_합덕-신례원(2공구)투찰_봉무지방산업단지도로(투찰)②+0.250%_왜관-태평건설" xfId="567" xr:uid="{00000000-0005-0000-0000-000037020000}"/>
    <cellStyle name="_신태백(가실행)_도덕-고흥도로(투찰)_합덕-신례원(2공구)투찰_봉무지방산업단지도로(투찰)②+0.250%_왜관-태평건설 2" xfId="1967" xr:uid="{00000000-0005-0000-0000-0000AF070000}"/>
    <cellStyle name="_신태백(가실행)_도덕-고흥도로(투찰)_합덕-신례원(2공구)투찰_왜관-태평건설" xfId="568" xr:uid="{00000000-0005-0000-0000-000038020000}"/>
    <cellStyle name="_신태백(가실행)_도덕-고흥도로(투찰)_합덕-신례원(2공구)투찰_왜관-태평건설 2" xfId="1968" xr:uid="{00000000-0005-0000-0000-0000B0070000}"/>
    <cellStyle name="_신태백(가실행)_도덕-고흥도로(투찰)_합덕-신례원(2공구)투찰_합덕-신례원(2공구)투찰" xfId="569" xr:uid="{00000000-0005-0000-0000-000039020000}"/>
    <cellStyle name="_신태백(가실행)_도덕-고흥도로(투찰)_합덕-신례원(2공구)투찰_합덕-신례원(2공구)투찰 2" xfId="1969" xr:uid="{00000000-0005-0000-0000-0000B1070000}"/>
    <cellStyle name="_신태백(가실행)_도덕-고흥도로(투찰)_합덕-신례원(2공구)투찰_합덕-신례원(2공구)투찰_경찰서-터미널간도로(투찰)②" xfId="570" xr:uid="{00000000-0005-0000-0000-00003A020000}"/>
    <cellStyle name="_신태백(가실행)_도덕-고흥도로(투찰)_합덕-신례원(2공구)투찰_합덕-신례원(2공구)투찰_경찰서-터미널간도로(투찰)② 2" xfId="1970" xr:uid="{00000000-0005-0000-0000-0000B2070000}"/>
    <cellStyle name="_신태백(가실행)_도덕-고흥도로(투찰)_합덕-신례원(2공구)투찰_합덕-신례원(2공구)투찰_경찰서-터미널간도로(투찰)②_마현생창(동양고속)" xfId="571" xr:uid="{00000000-0005-0000-0000-00003B020000}"/>
    <cellStyle name="_신태백(가실행)_도덕-고흥도로(투찰)_합덕-신례원(2공구)투찰_합덕-신례원(2공구)투찰_경찰서-터미널간도로(투찰)②_마현생창(동양고속) 2" xfId="1971" xr:uid="{00000000-0005-0000-0000-0000B3070000}"/>
    <cellStyle name="_신태백(가실행)_도덕-고흥도로(투찰)_합덕-신례원(2공구)투찰_합덕-신례원(2공구)투찰_경찰서-터미널간도로(투찰)②_마현생창(동양고속)_왜관-태평건설" xfId="572" xr:uid="{00000000-0005-0000-0000-00003C020000}"/>
    <cellStyle name="_신태백(가실행)_도덕-고흥도로(투찰)_합덕-신례원(2공구)투찰_합덕-신례원(2공구)투찰_경찰서-터미널간도로(투찰)②_마현생창(동양고속)_왜관-태평건설 2" xfId="1972" xr:uid="{00000000-0005-0000-0000-0000B4070000}"/>
    <cellStyle name="_신태백(가실행)_도덕-고흥도로(투찰)_합덕-신례원(2공구)투찰_합덕-신례원(2공구)투찰_경찰서-터미널간도로(투찰)②_왜관-태평건설" xfId="573" xr:uid="{00000000-0005-0000-0000-00003D020000}"/>
    <cellStyle name="_신태백(가실행)_도덕-고흥도로(투찰)_합덕-신례원(2공구)투찰_합덕-신례원(2공구)투찰_경찰서-터미널간도로(투찰)②_왜관-태평건설 2" xfId="1973" xr:uid="{00000000-0005-0000-0000-0000B5070000}"/>
    <cellStyle name="_신태백(가실행)_도덕-고흥도로(투찰)_합덕-신례원(2공구)투찰_합덕-신례원(2공구)투찰_마현생창(동양고속)" xfId="574" xr:uid="{00000000-0005-0000-0000-00003E020000}"/>
    <cellStyle name="_신태백(가실행)_도덕-고흥도로(투찰)_합덕-신례원(2공구)투찰_합덕-신례원(2공구)투찰_마현생창(동양고속) 2" xfId="1974" xr:uid="{00000000-0005-0000-0000-0000B6070000}"/>
    <cellStyle name="_신태백(가실행)_도덕-고흥도로(투찰)_합덕-신례원(2공구)투찰_합덕-신례원(2공구)투찰_마현생창(동양고속)_왜관-태평건설" xfId="575" xr:uid="{00000000-0005-0000-0000-00003F020000}"/>
    <cellStyle name="_신태백(가실행)_도덕-고흥도로(투찰)_합덕-신례원(2공구)투찰_합덕-신례원(2공구)투찰_마현생창(동양고속)_왜관-태평건설 2" xfId="1975" xr:uid="{00000000-0005-0000-0000-0000B7070000}"/>
    <cellStyle name="_신태백(가실행)_도덕-고흥도로(투찰)_합덕-신례원(2공구)투찰_합덕-신례원(2공구)투찰_봉무지방산업단지도로(투찰)②" xfId="576" xr:uid="{00000000-0005-0000-0000-000040020000}"/>
    <cellStyle name="_신태백(가실행)_도덕-고흥도로(투찰)_합덕-신례원(2공구)투찰_합덕-신례원(2공구)투찰_봉무지방산업단지도로(투찰)② 2" xfId="1976" xr:uid="{00000000-0005-0000-0000-0000B8070000}"/>
    <cellStyle name="_신태백(가실행)_도덕-고흥도로(투찰)_합덕-신례원(2공구)투찰_합덕-신례원(2공구)투찰_봉무지방산업단지도로(투찰)②_마현생창(동양고속)" xfId="577" xr:uid="{00000000-0005-0000-0000-000041020000}"/>
    <cellStyle name="_신태백(가실행)_도덕-고흥도로(투찰)_합덕-신례원(2공구)투찰_합덕-신례원(2공구)투찰_봉무지방산업단지도로(투찰)②_마현생창(동양고속) 2" xfId="1977" xr:uid="{00000000-0005-0000-0000-0000B9070000}"/>
    <cellStyle name="_신태백(가실행)_도덕-고흥도로(투찰)_합덕-신례원(2공구)투찰_합덕-신례원(2공구)투찰_봉무지방산업단지도로(투찰)②_마현생창(동양고속)_왜관-태평건설" xfId="578" xr:uid="{00000000-0005-0000-0000-000042020000}"/>
    <cellStyle name="_신태백(가실행)_도덕-고흥도로(투찰)_합덕-신례원(2공구)투찰_합덕-신례원(2공구)투찰_봉무지방산업단지도로(투찰)②_마현생창(동양고속)_왜관-태평건설 2" xfId="1978" xr:uid="{00000000-0005-0000-0000-0000BA070000}"/>
    <cellStyle name="_신태백(가실행)_도덕-고흥도로(투찰)_합덕-신례원(2공구)투찰_합덕-신례원(2공구)투찰_봉무지방산업단지도로(투찰)②_왜관-태평건설" xfId="579" xr:uid="{00000000-0005-0000-0000-000043020000}"/>
    <cellStyle name="_신태백(가실행)_도덕-고흥도로(투찰)_합덕-신례원(2공구)투찰_합덕-신례원(2공구)투찰_봉무지방산업단지도로(투찰)②_왜관-태평건설 2" xfId="1979" xr:uid="{00000000-0005-0000-0000-0000BB070000}"/>
    <cellStyle name="_신태백(가실행)_도덕-고흥도로(투찰)_합덕-신례원(2공구)투찰_합덕-신례원(2공구)투찰_봉무지방산업단지도로(투찰)②+0.250%" xfId="580" xr:uid="{00000000-0005-0000-0000-000044020000}"/>
    <cellStyle name="_신태백(가실행)_도덕-고흥도로(투찰)_합덕-신례원(2공구)투찰_합덕-신례원(2공구)투찰_봉무지방산업단지도로(투찰)②+0.250% 2" xfId="1980" xr:uid="{00000000-0005-0000-0000-0000BC070000}"/>
    <cellStyle name="_신태백(가실행)_도덕-고흥도로(투찰)_합덕-신례원(2공구)투찰_합덕-신례원(2공구)투찰_봉무지방산업단지도로(투찰)②+0.250%_마현생창(동양고속)" xfId="581" xr:uid="{00000000-0005-0000-0000-000045020000}"/>
    <cellStyle name="_신태백(가실행)_도덕-고흥도로(투찰)_합덕-신례원(2공구)투찰_합덕-신례원(2공구)투찰_봉무지방산업단지도로(투찰)②+0.250%_마현생창(동양고속) 2" xfId="1981" xr:uid="{00000000-0005-0000-0000-0000BD070000}"/>
    <cellStyle name="_신태백(가실행)_도덕-고흥도로(투찰)_합덕-신례원(2공구)투찰_합덕-신례원(2공구)투찰_봉무지방산업단지도로(투찰)②+0.250%_마현생창(동양고속)_왜관-태평건설" xfId="582" xr:uid="{00000000-0005-0000-0000-000046020000}"/>
    <cellStyle name="_신태백(가실행)_도덕-고흥도로(투찰)_합덕-신례원(2공구)투찰_합덕-신례원(2공구)투찰_봉무지방산업단지도로(투찰)②+0.250%_마현생창(동양고속)_왜관-태평건설 2" xfId="1982" xr:uid="{00000000-0005-0000-0000-0000BE070000}"/>
    <cellStyle name="_신태백(가실행)_도덕-고흥도로(투찰)_합덕-신례원(2공구)투찰_합덕-신례원(2공구)투찰_봉무지방산업단지도로(투찰)②+0.250%_왜관-태평건설" xfId="583" xr:uid="{00000000-0005-0000-0000-000047020000}"/>
    <cellStyle name="_신태백(가실행)_도덕-고흥도로(투찰)_합덕-신례원(2공구)투찰_합덕-신례원(2공구)투찰_봉무지방산업단지도로(투찰)②+0.250%_왜관-태평건설 2" xfId="1983" xr:uid="{00000000-0005-0000-0000-0000BF070000}"/>
    <cellStyle name="_신태백(가실행)_도덕-고흥도로(투찰)_합덕-신례원(2공구)투찰_합덕-신례원(2공구)투찰_왜관-태평건설" xfId="584" xr:uid="{00000000-0005-0000-0000-000048020000}"/>
    <cellStyle name="_신태백(가실행)_도덕-고흥도로(투찰)_합덕-신례원(2공구)투찰_합덕-신례원(2공구)투찰_왜관-태평건설 2" xfId="1984" xr:uid="{00000000-0005-0000-0000-0000C0070000}"/>
    <cellStyle name="_신태백(가실행)_마현생창(동양고속)" xfId="585" xr:uid="{00000000-0005-0000-0000-000049020000}"/>
    <cellStyle name="_신태백(가실행)_마현생창(동양고속) 2" xfId="1985" xr:uid="{00000000-0005-0000-0000-0000C1070000}"/>
    <cellStyle name="_신태백(가실행)_마현생창(동양고속)_왜관-태평건설" xfId="586" xr:uid="{00000000-0005-0000-0000-00004A020000}"/>
    <cellStyle name="_신태백(가실행)_마현생창(동양고속)_왜관-태평건설 2" xfId="1986" xr:uid="{00000000-0005-0000-0000-0000C2070000}"/>
    <cellStyle name="_신태백(가실행)_봉무지방산업단지도로(투찰)②" xfId="587" xr:uid="{00000000-0005-0000-0000-00004B020000}"/>
    <cellStyle name="_신태백(가실행)_봉무지방산업단지도로(투찰)② 2" xfId="1987" xr:uid="{00000000-0005-0000-0000-0000C3070000}"/>
    <cellStyle name="_신태백(가실행)_봉무지방산업단지도로(투찰)②_마현생창(동양고속)" xfId="588" xr:uid="{00000000-0005-0000-0000-00004C020000}"/>
    <cellStyle name="_신태백(가실행)_봉무지방산업단지도로(투찰)②_마현생창(동양고속) 2" xfId="1988" xr:uid="{00000000-0005-0000-0000-0000C4070000}"/>
    <cellStyle name="_신태백(가실행)_봉무지방산업단지도로(투찰)②_마현생창(동양고속)_왜관-태평건설" xfId="589" xr:uid="{00000000-0005-0000-0000-00004D020000}"/>
    <cellStyle name="_신태백(가실행)_봉무지방산업단지도로(투찰)②_마현생창(동양고속)_왜관-태평건설 2" xfId="1989" xr:uid="{00000000-0005-0000-0000-0000C5070000}"/>
    <cellStyle name="_신태백(가실행)_봉무지방산업단지도로(투찰)②_왜관-태평건설" xfId="590" xr:uid="{00000000-0005-0000-0000-00004E020000}"/>
    <cellStyle name="_신태백(가실행)_봉무지방산업단지도로(투찰)②_왜관-태평건설 2" xfId="1990" xr:uid="{00000000-0005-0000-0000-0000C6070000}"/>
    <cellStyle name="_신태백(가실행)_봉무지방산업단지도로(투찰)②+0.250%" xfId="591" xr:uid="{00000000-0005-0000-0000-00004F020000}"/>
    <cellStyle name="_신태백(가실행)_봉무지방산업단지도로(투찰)②+0.250% 2" xfId="1991" xr:uid="{00000000-0005-0000-0000-0000C7070000}"/>
    <cellStyle name="_신태백(가실행)_봉무지방산업단지도로(투찰)②+0.250%_마현생창(동양고속)" xfId="592" xr:uid="{00000000-0005-0000-0000-000050020000}"/>
    <cellStyle name="_신태백(가실행)_봉무지방산업단지도로(투찰)②+0.250%_마현생창(동양고속) 2" xfId="1992" xr:uid="{00000000-0005-0000-0000-0000C8070000}"/>
    <cellStyle name="_신태백(가실행)_봉무지방산업단지도로(투찰)②+0.250%_마현생창(동양고속)_왜관-태평건설" xfId="593" xr:uid="{00000000-0005-0000-0000-000051020000}"/>
    <cellStyle name="_신태백(가실행)_봉무지방산업단지도로(투찰)②+0.250%_마현생창(동양고속)_왜관-태평건설 2" xfId="1993" xr:uid="{00000000-0005-0000-0000-0000C9070000}"/>
    <cellStyle name="_신태백(가실행)_봉무지방산업단지도로(투찰)②+0.250%_왜관-태평건설" xfId="594" xr:uid="{00000000-0005-0000-0000-000052020000}"/>
    <cellStyle name="_신태백(가실행)_봉무지방산업단지도로(투찰)②+0.250%_왜관-태평건설 2" xfId="1994" xr:uid="{00000000-0005-0000-0000-0000CA070000}"/>
    <cellStyle name="_신태백(가실행)_안산부대(투찰)⑤" xfId="595" xr:uid="{00000000-0005-0000-0000-000053020000}"/>
    <cellStyle name="_신태백(가실행)_안산부대(투찰)⑤ 2" xfId="1995" xr:uid="{00000000-0005-0000-0000-0000CB070000}"/>
    <cellStyle name="_신태백(가실행)_안산부대(투찰)⑤_경찰서-터미널간도로(투찰)②" xfId="596" xr:uid="{00000000-0005-0000-0000-000054020000}"/>
    <cellStyle name="_신태백(가실행)_안산부대(투찰)⑤_경찰서-터미널간도로(투찰)② 2" xfId="1996" xr:uid="{00000000-0005-0000-0000-0000CC070000}"/>
    <cellStyle name="_신태백(가실행)_안산부대(투찰)⑤_경찰서-터미널간도로(투찰)②_마현생창(동양고속)" xfId="597" xr:uid="{00000000-0005-0000-0000-000055020000}"/>
    <cellStyle name="_신태백(가실행)_안산부대(투찰)⑤_경찰서-터미널간도로(투찰)②_마현생창(동양고속) 2" xfId="1997" xr:uid="{00000000-0005-0000-0000-0000CD070000}"/>
    <cellStyle name="_신태백(가실행)_안산부대(투찰)⑤_경찰서-터미널간도로(투찰)②_마현생창(동양고속)_왜관-태평건설" xfId="598" xr:uid="{00000000-0005-0000-0000-000056020000}"/>
    <cellStyle name="_신태백(가실행)_안산부대(투찰)⑤_경찰서-터미널간도로(투찰)②_마현생창(동양고속)_왜관-태평건설 2" xfId="1998" xr:uid="{00000000-0005-0000-0000-0000CE070000}"/>
    <cellStyle name="_신태백(가실행)_안산부대(투찰)⑤_경찰서-터미널간도로(투찰)②_왜관-태평건설" xfId="599" xr:uid="{00000000-0005-0000-0000-000057020000}"/>
    <cellStyle name="_신태백(가실행)_안산부대(투찰)⑤_경찰서-터미널간도로(투찰)②_왜관-태평건설 2" xfId="1999" xr:uid="{00000000-0005-0000-0000-0000CF070000}"/>
    <cellStyle name="_신태백(가실행)_안산부대(투찰)⑤_마현생창(동양고속)" xfId="600" xr:uid="{00000000-0005-0000-0000-000058020000}"/>
    <cellStyle name="_신태백(가실행)_안산부대(투찰)⑤_마현생창(동양고속) 2" xfId="2000" xr:uid="{00000000-0005-0000-0000-0000D0070000}"/>
    <cellStyle name="_신태백(가실행)_안산부대(투찰)⑤_마현생창(동양고속)_왜관-태평건설" xfId="601" xr:uid="{00000000-0005-0000-0000-000059020000}"/>
    <cellStyle name="_신태백(가실행)_안산부대(투찰)⑤_마현생창(동양고속)_왜관-태평건설 2" xfId="2001" xr:uid="{00000000-0005-0000-0000-0000D1070000}"/>
    <cellStyle name="_신태백(가실행)_안산부대(투찰)⑤_봉무지방산업단지도로(투찰)②" xfId="602" xr:uid="{00000000-0005-0000-0000-00005A020000}"/>
    <cellStyle name="_신태백(가실행)_안산부대(투찰)⑤_봉무지방산업단지도로(투찰)② 2" xfId="2002" xr:uid="{00000000-0005-0000-0000-0000D2070000}"/>
    <cellStyle name="_신태백(가실행)_안산부대(투찰)⑤_봉무지방산업단지도로(투찰)②_마현생창(동양고속)" xfId="603" xr:uid="{00000000-0005-0000-0000-00005B020000}"/>
    <cellStyle name="_신태백(가실행)_안산부대(투찰)⑤_봉무지방산업단지도로(투찰)②_마현생창(동양고속) 2" xfId="2003" xr:uid="{00000000-0005-0000-0000-0000D3070000}"/>
    <cellStyle name="_신태백(가실행)_안산부대(투찰)⑤_봉무지방산업단지도로(투찰)②_마현생창(동양고속)_왜관-태평건설" xfId="604" xr:uid="{00000000-0005-0000-0000-00005C020000}"/>
    <cellStyle name="_신태백(가실행)_안산부대(투찰)⑤_봉무지방산업단지도로(투찰)②_마현생창(동양고속)_왜관-태평건설 2" xfId="2004" xr:uid="{00000000-0005-0000-0000-0000D4070000}"/>
    <cellStyle name="_신태백(가실행)_안산부대(투찰)⑤_봉무지방산업단지도로(투찰)②_왜관-태평건설" xfId="605" xr:uid="{00000000-0005-0000-0000-00005D020000}"/>
    <cellStyle name="_신태백(가실행)_안산부대(투찰)⑤_봉무지방산업단지도로(투찰)②_왜관-태평건설 2" xfId="2005" xr:uid="{00000000-0005-0000-0000-0000D5070000}"/>
    <cellStyle name="_신태백(가실행)_안산부대(투찰)⑤_봉무지방산업단지도로(투찰)②+0.250%" xfId="606" xr:uid="{00000000-0005-0000-0000-00005E020000}"/>
    <cellStyle name="_신태백(가실행)_안산부대(투찰)⑤_봉무지방산업단지도로(투찰)②+0.250% 2" xfId="2006" xr:uid="{00000000-0005-0000-0000-0000D6070000}"/>
    <cellStyle name="_신태백(가실행)_안산부대(투찰)⑤_봉무지방산업단지도로(투찰)②+0.250%_마현생창(동양고속)" xfId="607" xr:uid="{00000000-0005-0000-0000-00005F020000}"/>
    <cellStyle name="_신태백(가실행)_안산부대(투찰)⑤_봉무지방산업단지도로(투찰)②+0.250%_마현생창(동양고속) 2" xfId="2007" xr:uid="{00000000-0005-0000-0000-0000D7070000}"/>
    <cellStyle name="_신태백(가실행)_안산부대(투찰)⑤_봉무지방산업단지도로(투찰)②+0.250%_마현생창(동양고속)_왜관-태평건설" xfId="608" xr:uid="{00000000-0005-0000-0000-000060020000}"/>
    <cellStyle name="_신태백(가실행)_안산부대(투찰)⑤_봉무지방산업단지도로(투찰)②+0.250%_마현생창(동양고속)_왜관-태평건설 2" xfId="2008" xr:uid="{00000000-0005-0000-0000-0000D8070000}"/>
    <cellStyle name="_신태백(가실행)_안산부대(투찰)⑤_봉무지방산업단지도로(투찰)②+0.250%_왜관-태평건설" xfId="609" xr:uid="{00000000-0005-0000-0000-000061020000}"/>
    <cellStyle name="_신태백(가실행)_안산부대(투찰)⑤_봉무지방산업단지도로(투찰)②+0.250%_왜관-태평건설 2" xfId="2009" xr:uid="{00000000-0005-0000-0000-0000D9070000}"/>
    <cellStyle name="_신태백(가실행)_안산부대(투찰)⑤_왜관-태평건설" xfId="610" xr:uid="{00000000-0005-0000-0000-000062020000}"/>
    <cellStyle name="_신태백(가실행)_안산부대(투찰)⑤_왜관-태평건설 2" xfId="2010" xr:uid="{00000000-0005-0000-0000-0000DA070000}"/>
    <cellStyle name="_신태백(가실행)_안산부대(투찰)⑤_합덕-신례원(2공구)투찰" xfId="611" xr:uid="{00000000-0005-0000-0000-000063020000}"/>
    <cellStyle name="_신태백(가실행)_안산부대(투찰)⑤_합덕-신례원(2공구)투찰 2" xfId="2011" xr:uid="{00000000-0005-0000-0000-0000DB070000}"/>
    <cellStyle name="_신태백(가실행)_안산부대(투찰)⑤_합덕-신례원(2공구)투찰_경찰서-터미널간도로(투찰)②" xfId="612" xr:uid="{00000000-0005-0000-0000-000064020000}"/>
    <cellStyle name="_신태백(가실행)_안산부대(투찰)⑤_합덕-신례원(2공구)투찰_경찰서-터미널간도로(투찰)② 2" xfId="2012" xr:uid="{00000000-0005-0000-0000-0000DC070000}"/>
    <cellStyle name="_신태백(가실행)_안산부대(투찰)⑤_합덕-신례원(2공구)투찰_경찰서-터미널간도로(투찰)②_마현생창(동양고속)" xfId="613" xr:uid="{00000000-0005-0000-0000-000065020000}"/>
    <cellStyle name="_신태백(가실행)_안산부대(투찰)⑤_합덕-신례원(2공구)투찰_경찰서-터미널간도로(투찰)②_마현생창(동양고속) 2" xfId="2013" xr:uid="{00000000-0005-0000-0000-0000DD070000}"/>
    <cellStyle name="_신태백(가실행)_안산부대(투찰)⑤_합덕-신례원(2공구)투찰_경찰서-터미널간도로(투찰)②_마현생창(동양고속)_왜관-태평건설" xfId="614" xr:uid="{00000000-0005-0000-0000-000066020000}"/>
    <cellStyle name="_신태백(가실행)_안산부대(투찰)⑤_합덕-신례원(2공구)투찰_경찰서-터미널간도로(투찰)②_마현생창(동양고속)_왜관-태평건설 2" xfId="2014" xr:uid="{00000000-0005-0000-0000-0000DE070000}"/>
    <cellStyle name="_신태백(가실행)_안산부대(투찰)⑤_합덕-신례원(2공구)투찰_경찰서-터미널간도로(투찰)②_왜관-태평건설" xfId="615" xr:uid="{00000000-0005-0000-0000-000067020000}"/>
    <cellStyle name="_신태백(가실행)_안산부대(투찰)⑤_합덕-신례원(2공구)투찰_경찰서-터미널간도로(투찰)②_왜관-태평건설 2" xfId="2015" xr:uid="{00000000-0005-0000-0000-0000DF070000}"/>
    <cellStyle name="_신태백(가실행)_안산부대(투찰)⑤_합덕-신례원(2공구)투찰_마현생창(동양고속)" xfId="616" xr:uid="{00000000-0005-0000-0000-000068020000}"/>
    <cellStyle name="_신태백(가실행)_안산부대(투찰)⑤_합덕-신례원(2공구)투찰_마현생창(동양고속) 2" xfId="2016" xr:uid="{00000000-0005-0000-0000-0000E0070000}"/>
    <cellStyle name="_신태백(가실행)_안산부대(투찰)⑤_합덕-신례원(2공구)투찰_마현생창(동양고속)_왜관-태평건설" xfId="617" xr:uid="{00000000-0005-0000-0000-000069020000}"/>
    <cellStyle name="_신태백(가실행)_안산부대(투찰)⑤_합덕-신례원(2공구)투찰_마현생창(동양고속)_왜관-태평건설 2" xfId="2017" xr:uid="{00000000-0005-0000-0000-0000E1070000}"/>
    <cellStyle name="_신태백(가실행)_안산부대(투찰)⑤_합덕-신례원(2공구)투찰_봉무지방산업단지도로(투찰)②" xfId="618" xr:uid="{00000000-0005-0000-0000-00006A020000}"/>
    <cellStyle name="_신태백(가실행)_안산부대(투찰)⑤_합덕-신례원(2공구)투찰_봉무지방산업단지도로(투찰)② 2" xfId="2018" xr:uid="{00000000-0005-0000-0000-0000E2070000}"/>
    <cellStyle name="_신태백(가실행)_안산부대(투찰)⑤_합덕-신례원(2공구)투찰_봉무지방산업단지도로(투찰)②_마현생창(동양고속)" xfId="619" xr:uid="{00000000-0005-0000-0000-00006B020000}"/>
    <cellStyle name="_신태백(가실행)_안산부대(투찰)⑤_합덕-신례원(2공구)투찰_봉무지방산업단지도로(투찰)②_마현생창(동양고속) 2" xfId="2019" xr:uid="{00000000-0005-0000-0000-0000E3070000}"/>
    <cellStyle name="_신태백(가실행)_안산부대(투찰)⑤_합덕-신례원(2공구)투찰_봉무지방산업단지도로(투찰)②_마현생창(동양고속)_왜관-태평건설" xfId="620" xr:uid="{00000000-0005-0000-0000-00006C020000}"/>
    <cellStyle name="_신태백(가실행)_안산부대(투찰)⑤_합덕-신례원(2공구)투찰_봉무지방산업단지도로(투찰)②_마현생창(동양고속)_왜관-태평건설 2" xfId="2020" xr:uid="{00000000-0005-0000-0000-0000E4070000}"/>
    <cellStyle name="_신태백(가실행)_안산부대(투찰)⑤_합덕-신례원(2공구)투찰_봉무지방산업단지도로(투찰)②_왜관-태평건설" xfId="621" xr:uid="{00000000-0005-0000-0000-00006D020000}"/>
    <cellStyle name="_신태백(가실행)_안산부대(투찰)⑤_합덕-신례원(2공구)투찰_봉무지방산업단지도로(투찰)②_왜관-태평건설 2" xfId="2021" xr:uid="{00000000-0005-0000-0000-0000E5070000}"/>
    <cellStyle name="_신태백(가실행)_안산부대(투찰)⑤_합덕-신례원(2공구)투찰_봉무지방산업단지도로(투찰)②+0.250%" xfId="622" xr:uid="{00000000-0005-0000-0000-00006E020000}"/>
    <cellStyle name="_신태백(가실행)_안산부대(투찰)⑤_합덕-신례원(2공구)투찰_봉무지방산업단지도로(투찰)②+0.250% 2" xfId="2022" xr:uid="{00000000-0005-0000-0000-0000E6070000}"/>
    <cellStyle name="_신태백(가실행)_안산부대(투찰)⑤_합덕-신례원(2공구)투찰_봉무지방산업단지도로(투찰)②+0.250%_마현생창(동양고속)" xfId="623" xr:uid="{00000000-0005-0000-0000-00006F020000}"/>
    <cellStyle name="_신태백(가실행)_안산부대(투찰)⑤_합덕-신례원(2공구)투찰_봉무지방산업단지도로(투찰)②+0.250%_마현생창(동양고속) 2" xfId="2023" xr:uid="{00000000-0005-0000-0000-0000E7070000}"/>
    <cellStyle name="_신태백(가실행)_안산부대(투찰)⑤_합덕-신례원(2공구)투찰_봉무지방산업단지도로(투찰)②+0.250%_마현생창(동양고속)_왜관-태평건설" xfId="624" xr:uid="{00000000-0005-0000-0000-000070020000}"/>
    <cellStyle name="_신태백(가실행)_안산부대(투찰)⑤_합덕-신례원(2공구)투찰_봉무지방산업단지도로(투찰)②+0.250%_마현생창(동양고속)_왜관-태평건설 2" xfId="2024" xr:uid="{00000000-0005-0000-0000-0000E8070000}"/>
    <cellStyle name="_신태백(가실행)_안산부대(투찰)⑤_합덕-신례원(2공구)투찰_봉무지방산업단지도로(투찰)②+0.250%_왜관-태평건설" xfId="625" xr:uid="{00000000-0005-0000-0000-000071020000}"/>
    <cellStyle name="_신태백(가실행)_안산부대(투찰)⑤_합덕-신례원(2공구)투찰_봉무지방산업단지도로(투찰)②+0.250%_왜관-태평건설 2" xfId="2025" xr:uid="{00000000-0005-0000-0000-0000E9070000}"/>
    <cellStyle name="_신태백(가실행)_안산부대(투찰)⑤_합덕-신례원(2공구)투찰_왜관-태평건설" xfId="626" xr:uid="{00000000-0005-0000-0000-000072020000}"/>
    <cellStyle name="_신태백(가실행)_안산부대(투찰)⑤_합덕-신례원(2공구)투찰_왜관-태평건설 2" xfId="2026" xr:uid="{00000000-0005-0000-0000-0000EA070000}"/>
    <cellStyle name="_신태백(가실행)_안산부대(투찰)⑤_합덕-신례원(2공구)투찰_합덕-신례원(2공구)투찰" xfId="627" xr:uid="{00000000-0005-0000-0000-000073020000}"/>
    <cellStyle name="_신태백(가실행)_안산부대(투찰)⑤_합덕-신례원(2공구)투찰_합덕-신례원(2공구)투찰 2" xfId="2027" xr:uid="{00000000-0005-0000-0000-0000EB070000}"/>
    <cellStyle name="_신태백(가실행)_안산부대(투찰)⑤_합덕-신례원(2공구)투찰_합덕-신례원(2공구)투찰_경찰서-터미널간도로(투찰)②" xfId="628" xr:uid="{00000000-0005-0000-0000-000074020000}"/>
    <cellStyle name="_신태백(가실행)_안산부대(투찰)⑤_합덕-신례원(2공구)투찰_합덕-신례원(2공구)투찰_경찰서-터미널간도로(투찰)② 2" xfId="2028" xr:uid="{00000000-0005-0000-0000-0000EC070000}"/>
    <cellStyle name="_신태백(가실행)_안산부대(투찰)⑤_합덕-신례원(2공구)투찰_합덕-신례원(2공구)투찰_경찰서-터미널간도로(투찰)②_마현생창(동양고속)" xfId="629" xr:uid="{00000000-0005-0000-0000-000075020000}"/>
    <cellStyle name="_신태백(가실행)_안산부대(투찰)⑤_합덕-신례원(2공구)투찰_합덕-신례원(2공구)투찰_경찰서-터미널간도로(투찰)②_마현생창(동양고속) 2" xfId="2029" xr:uid="{00000000-0005-0000-0000-0000ED070000}"/>
    <cellStyle name="_신태백(가실행)_안산부대(투찰)⑤_합덕-신례원(2공구)투찰_합덕-신례원(2공구)투찰_경찰서-터미널간도로(투찰)②_마현생창(동양고속)_왜관-태평건설" xfId="630" xr:uid="{00000000-0005-0000-0000-000076020000}"/>
    <cellStyle name="_신태백(가실행)_안산부대(투찰)⑤_합덕-신례원(2공구)투찰_합덕-신례원(2공구)투찰_경찰서-터미널간도로(투찰)②_마현생창(동양고속)_왜관-태평건설 2" xfId="2030" xr:uid="{00000000-0005-0000-0000-0000EE070000}"/>
    <cellStyle name="_신태백(가실행)_안산부대(투찰)⑤_합덕-신례원(2공구)투찰_합덕-신례원(2공구)투찰_경찰서-터미널간도로(투찰)②_왜관-태평건설" xfId="631" xr:uid="{00000000-0005-0000-0000-000077020000}"/>
    <cellStyle name="_신태백(가실행)_안산부대(투찰)⑤_합덕-신례원(2공구)투찰_합덕-신례원(2공구)투찰_경찰서-터미널간도로(투찰)②_왜관-태평건설 2" xfId="2031" xr:uid="{00000000-0005-0000-0000-0000EF070000}"/>
    <cellStyle name="_신태백(가실행)_안산부대(투찰)⑤_합덕-신례원(2공구)투찰_합덕-신례원(2공구)투찰_마현생창(동양고속)" xfId="632" xr:uid="{00000000-0005-0000-0000-000078020000}"/>
    <cellStyle name="_신태백(가실행)_안산부대(투찰)⑤_합덕-신례원(2공구)투찰_합덕-신례원(2공구)투찰_마현생창(동양고속) 2" xfId="2032" xr:uid="{00000000-0005-0000-0000-0000F0070000}"/>
    <cellStyle name="_신태백(가실행)_안산부대(투찰)⑤_합덕-신례원(2공구)투찰_합덕-신례원(2공구)투찰_마현생창(동양고속)_왜관-태평건설" xfId="633" xr:uid="{00000000-0005-0000-0000-000079020000}"/>
    <cellStyle name="_신태백(가실행)_안산부대(투찰)⑤_합덕-신례원(2공구)투찰_합덕-신례원(2공구)투찰_마현생창(동양고속)_왜관-태평건설 2" xfId="2033" xr:uid="{00000000-0005-0000-0000-0000F1070000}"/>
    <cellStyle name="_신태백(가실행)_안산부대(투찰)⑤_합덕-신례원(2공구)투찰_합덕-신례원(2공구)투찰_봉무지방산업단지도로(투찰)②" xfId="634" xr:uid="{00000000-0005-0000-0000-00007A020000}"/>
    <cellStyle name="_신태백(가실행)_안산부대(투찰)⑤_합덕-신례원(2공구)투찰_합덕-신례원(2공구)투찰_봉무지방산업단지도로(투찰)② 2" xfId="2034" xr:uid="{00000000-0005-0000-0000-0000F2070000}"/>
    <cellStyle name="_신태백(가실행)_안산부대(투찰)⑤_합덕-신례원(2공구)투찰_합덕-신례원(2공구)투찰_봉무지방산업단지도로(투찰)②_마현생창(동양고속)" xfId="635" xr:uid="{00000000-0005-0000-0000-00007B020000}"/>
    <cellStyle name="_신태백(가실행)_안산부대(투찰)⑤_합덕-신례원(2공구)투찰_합덕-신례원(2공구)투찰_봉무지방산업단지도로(투찰)②_마현생창(동양고속) 2" xfId="2035" xr:uid="{00000000-0005-0000-0000-0000F3070000}"/>
    <cellStyle name="_신태백(가실행)_안산부대(투찰)⑤_합덕-신례원(2공구)투찰_합덕-신례원(2공구)투찰_봉무지방산업단지도로(투찰)②_마현생창(동양고속)_왜관-태평건설" xfId="636" xr:uid="{00000000-0005-0000-0000-00007C020000}"/>
    <cellStyle name="_신태백(가실행)_안산부대(투찰)⑤_합덕-신례원(2공구)투찰_합덕-신례원(2공구)투찰_봉무지방산업단지도로(투찰)②_마현생창(동양고속)_왜관-태평건설 2" xfId="2036" xr:uid="{00000000-0005-0000-0000-0000F4070000}"/>
    <cellStyle name="_신태백(가실행)_안산부대(투찰)⑤_합덕-신례원(2공구)투찰_합덕-신례원(2공구)투찰_봉무지방산업단지도로(투찰)②_왜관-태평건설" xfId="637" xr:uid="{00000000-0005-0000-0000-00007D020000}"/>
    <cellStyle name="_신태백(가실행)_안산부대(투찰)⑤_합덕-신례원(2공구)투찰_합덕-신례원(2공구)투찰_봉무지방산업단지도로(투찰)②_왜관-태평건설 2" xfId="2037" xr:uid="{00000000-0005-0000-0000-0000F5070000}"/>
    <cellStyle name="_신태백(가실행)_안산부대(투찰)⑤_합덕-신례원(2공구)투찰_합덕-신례원(2공구)투찰_봉무지방산업단지도로(투찰)②+0.250%" xfId="638" xr:uid="{00000000-0005-0000-0000-00007E020000}"/>
    <cellStyle name="_신태백(가실행)_안산부대(투찰)⑤_합덕-신례원(2공구)투찰_합덕-신례원(2공구)투찰_봉무지방산업단지도로(투찰)②+0.250% 2" xfId="2038" xr:uid="{00000000-0005-0000-0000-0000F6070000}"/>
    <cellStyle name="_신태백(가실행)_안산부대(투찰)⑤_합덕-신례원(2공구)투찰_합덕-신례원(2공구)투찰_봉무지방산업단지도로(투찰)②+0.250%_마현생창(동양고속)" xfId="639" xr:uid="{00000000-0005-0000-0000-00007F020000}"/>
    <cellStyle name="_신태백(가실행)_안산부대(투찰)⑤_합덕-신례원(2공구)투찰_합덕-신례원(2공구)투찰_봉무지방산업단지도로(투찰)②+0.250%_마현생창(동양고속) 2" xfId="2039" xr:uid="{00000000-0005-0000-0000-0000F7070000}"/>
    <cellStyle name="_신태백(가실행)_안산부대(투찰)⑤_합덕-신례원(2공구)투찰_합덕-신례원(2공구)투찰_봉무지방산업단지도로(투찰)②+0.250%_마현생창(동양고속)_왜관-태평건설" xfId="640" xr:uid="{00000000-0005-0000-0000-000080020000}"/>
    <cellStyle name="_신태백(가실행)_안산부대(투찰)⑤_합덕-신례원(2공구)투찰_합덕-신례원(2공구)투찰_봉무지방산업단지도로(투찰)②+0.250%_마현생창(동양고속)_왜관-태평건설 2" xfId="2040" xr:uid="{00000000-0005-0000-0000-0000F8070000}"/>
    <cellStyle name="_신태백(가실행)_안산부대(투찰)⑤_합덕-신례원(2공구)투찰_합덕-신례원(2공구)투찰_봉무지방산업단지도로(투찰)②+0.250%_왜관-태평건설" xfId="641" xr:uid="{00000000-0005-0000-0000-000081020000}"/>
    <cellStyle name="_신태백(가실행)_안산부대(투찰)⑤_합덕-신례원(2공구)투찰_합덕-신례원(2공구)투찰_봉무지방산업단지도로(투찰)②+0.250%_왜관-태평건설 2" xfId="2041" xr:uid="{00000000-0005-0000-0000-0000F9070000}"/>
    <cellStyle name="_신태백(가실행)_안산부대(투찰)⑤_합덕-신례원(2공구)투찰_합덕-신례원(2공구)투찰_왜관-태평건설" xfId="642" xr:uid="{00000000-0005-0000-0000-000082020000}"/>
    <cellStyle name="_신태백(가실행)_안산부대(투찰)⑤_합덕-신례원(2공구)투찰_합덕-신례원(2공구)투찰_왜관-태평건설 2" xfId="2042" xr:uid="{00000000-0005-0000-0000-0000FA070000}"/>
    <cellStyle name="_신태백(가실행)_양곡부두(투찰)-0.31%" xfId="643" xr:uid="{00000000-0005-0000-0000-000083020000}"/>
    <cellStyle name="_신태백(가실행)_양곡부두(투찰)-0.31% 2" xfId="2043" xr:uid="{00000000-0005-0000-0000-0000FB070000}"/>
    <cellStyle name="_신태백(가실행)_양곡부두(투찰)-0.31%_경찰서-터미널간도로(투찰)②" xfId="644" xr:uid="{00000000-0005-0000-0000-000084020000}"/>
    <cellStyle name="_신태백(가실행)_양곡부두(투찰)-0.31%_경찰서-터미널간도로(투찰)② 2" xfId="2044" xr:uid="{00000000-0005-0000-0000-0000FC070000}"/>
    <cellStyle name="_신태백(가실행)_양곡부두(투찰)-0.31%_경찰서-터미널간도로(투찰)②_마현생창(동양고속)" xfId="645" xr:uid="{00000000-0005-0000-0000-000085020000}"/>
    <cellStyle name="_신태백(가실행)_양곡부두(투찰)-0.31%_경찰서-터미널간도로(투찰)②_마현생창(동양고속) 2" xfId="2045" xr:uid="{00000000-0005-0000-0000-0000FD070000}"/>
    <cellStyle name="_신태백(가실행)_양곡부두(투찰)-0.31%_경찰서-터미널간도로(투찰)②_마현생창(동양고속)_왜관-태평건설" xfId="646" xr:uid="{00000000-0005-0000-0000-000086020000}"/>
    <cellStyle name="_신태백(가실행)_양곡부두(투찰)-0.31%_경찰서-터미널간도로(투찰)②_마현생창(동양고속)_왜관-태평건설 2" xfId="2046" xr:uid="{00000000-0005-0000-0000-0000FE070000}"/>
    <cellStyle name="_신태백(가실행)_양곡부두(투찰)-0.31%_경찰서-터미널간도로(투찰)②_왜관-태평건설" xfId="647" xr:uid="{00000000-0005-0000-0000-000087020000}"/>
    <cellStyle name="_신태백(가실행)_양곡부두(투찰)-0.31%_경찰서-터미널간도로(투찰)②_왜관-태평건설 2" xfId="2047" xr:uid="{00000000-0005-0000-0000-0000FF070000}"/>
    <cellStyle name="_신태백(가실행)_양곡부두(투찰)-0.31%_마현생창(동양고속)" xfId="648" xr:uid="{00000000-0005-0000-0000-000088020000}"/>
    <cellStyle name="_신태백(가실행)_양곡부두(투찰)-0.31%_마현생창(동양고속) 2" xfId="2048" xr:uid="{00000000-0005-0000-0000-000000080000}"/>
    <cellStyle name="_신태백(가실행)_양곡부두(투찰)-0.31%_마현생창(동양고속)_왜관-태평건설" xfId="649" xr:uid="{00000000-0005-0000-0000-000089020000}"/>
    <cellStyle name="_신태백(가실행)_양곡부두(투찰)-0.31%_마현생창(동양고속)_왜관-태평건설 2" xfId="2049" xr:uid="{00000000-0005-0000-0000-000001080000}"/>
    <cellStyle name="_신태백(가실행)_양곡부두(투찰)-0.31%_봉무지방산업단지도로(투찰)②" xfId="650" xr:uid="{00000000-0005-0000-0000-00008A020000}"/>
    <cellStyle name="_신태백(가실행)_양곡부두(투찰)-0.31%_봉무지방산업단지도로(투찰)② 2" xfId="2050" xr:uid="{00000000-0005-0000-0000-000002080000}"/>
    <cellStyle name="_신태백(가실행)_양곡부두(투찰)-0.31%_봉무지방산업단지도로(투찰)②_마현생창(동양고속)" xfId="651" xr:uid="{00000000-0005-0000-0000-00008B020000}"/>
    <cellStyle name="_신태백(가실행)_양곡부두(투찰)-0.31%_봉무지방산업단지도로(투찰)②_마현생창(동양고속) 2" xfId="2051" xr:uid="{00000000-0005-0000-0000-000003080000}"/>
    <cellStyle name="_신태백(가실행)_양곡부두(투찰)-0.31%_봉무지방산업단지도로(투찰)②_마현생창(동양고속)_왜관-태평건설" xfId="652" xr:uid="{00000000-0005-0000-0000-00008C020000}"/>
    <cellStyle name="_신태백(가실행)_양곡부두(투찰)-0.31%_봉무지방산업단지도로(투찰)②_마현생창(동양고속)_왜관-태평건설 2" xfId="2052" xr:uid="{00000000-0005-0000-0000-000004080000}"/>
    <cellStyle name="_신태백(가실행)_양곡부두(투찰)-0.31%_봉무지방산업단지도로(투찰)②_왜관-태평건설" xfId="653" xr:uid="{00000000-0005-0000-0000-00008D020000}"/>
    <cellStyle name="_신태백(가실행)_양곡부두(투찰)-0.31%_봉무지방산업단지도로(투찰)②_왜관-태평건설 2" xfId="2053" xr:uid="{00000000-0005-0000-0000-000005080000}"/>
    <cellStyle name="_신태백(가실행)_양곡부두(투찰)-0.31%_봉무지방산업단지도로(투찰)②+0.250%" xfId="654" xr:uid="{00000000-0005-0000-0000-00008E020000}"/>
    <cellStyle name="_신태백(가실행)_양곡부두(투찰)-0.31%_봉무지방산업단지도로(투찰)②+0.250% 2" xfId="2054" xr:uid="{00000000-0005-0000-0000-000006080000}"/>
    <cellStyle name="_신태백(가실행)_양곡부두(투찰)-0.31%_봉무지방산업단지도로(투찰)②+0.250%_마현생창(동양고속)" xfId="655" xr:uid="{00000000-0005-0000-0000-00008F020000}"/>
    <cellStyle name="_신태백(가실행)_양곡부두(투찰)-0.31%_봉무지방산업단지도로(투찰)②+0.250%_마현생창(동양고속) 2" xfId="2055" xr:uid="{00000000-0005-0000-0000-000007080000}"/>
    <cellStyle name="_신태백(가실행)_양곡부두(투찰)-0.31%_봉무지방산업단지도로(투찰)②+0.250%_마현생창(동양고속)_왜관-태평건설" xfId="656" xr:uid="{00000000-0005-0000-0000-000090020000}"/>
    <cellStyle name="_신태백(가실행)_양곡부두(투찰)-0.31%_봉무지방산업단지도로(투찰)②+0.250%_마현생창(동양고속)_왜관-태평건설 2" xfId="2056" xr:uid="{00000000-0005-0000-0000-000008080000}"/>
    <cellStyle name="_신태백(가실행)_양곡부두(투찰)-0.31%_봉무지방산업단지도로(투찰)②+0.250%_왜관-태평건설" xfId="657" xr:uid="{00000000-0005-0000-0000-000091020000}"/>
    <cellStyle name="_신태백(가실행)_양곡부두(투찰)-0.31%_봉무지방산업단지도로(투찰)②+0.250%_왜관-태평건설 2" xfId="2057" xr:uid="{00000000-0005-0000-0000-000009080000}"/>
    <cellStyle name="_신태백(가실행)_양곡부두(투찰)-0.31%_왜관-태평건설" xfId="658" xr:uid="{00000000-0005-0000-0000-000092020000}"/>
    <cellStyle name="_신태백(가실행)_양곡부두(투찰)-0.31%_왜관-태평건설 2" xfId="2058" xr:uid="{00000000-0005-0000-0000-00000A080000}"/>
    <cellStyle name="_신태백(가실행)_양곡부두(투찰)-0.31%_합덕-신례원(2공구)투찰" xfId="659" xr:uid="{00000000-0005-0000-0000-000093020000}"/>
    <cellStyle name="_신태백(가실행)_양곡부두(투찰)-0.31%_합덕-신례원(2공구)투찰 2" xfId="2059" xr:uid="{00000000-0005-0000-0000-00000B080000}"/>
    <cellStyle name="_신태백(가실행)_양곡부두(투찰)-0.31%_합덕-신례원(2공구)투찰_경찰서-터미널간도로(투찰)②" xfId="660" xr:uid="{00000000-0005-0000-0000-000094020000}"/>
    <cellStyle name="_신태백(가실행)_양곡부두(투찰)-0.31%_합덕-신례원(2공구)투찰_경찰서-터미널간도로(투찰)② 2" xfId="2060" xr:uid="{00000000-0005-0000-0000-00000C080000}"/>
    <cellStyle name="_신태백(가실행)_양곡부두(투찰)-0.31%_합덕-신례원(2공구)투찰_경찰서-터미널간도로(투찰)②_마현생창(동양고속)" xfId="661" xr:uid="{00000000-0005-0000-0000-000095020000}"/>
    <cellStyle name="_신태백(가실행)_양곡부두(투찰)-0.31%_합덕-신례원(2공구)투찰_경찰서-터미널간도로(투찰)②_마현생창(동양고속) 2" xfId="2061" xr:uid="{00000000-0005-0000-0000-00000D080000}"/>
    <cellStyle name="_신태백(가실행)_양곡부두(투찰)-0.31%_합덕-신례원(2공구)투찰_경찰서-터미널간도로(투찰)②_마현생창(동양고속)_왜관-태평건설" xfId="662" xr:uid="{00000000-0005-0000-0000-000096020000}"/>
    <cellStyle name="_신태백(가실행)_양곡부두(투찰)-0.31%_합덕-신례원(2공구)투찰_경찰서-터미널간도로(투찰)②_마현생창(동양고속)_왜관-태평건설 2" xfId="2062" xr:uid="{00000000-0005-0000-0000-00000E080000}"/>
    <cellStyle name="_신태백(가실행)_양곡부두(투찰)-0.31%_합덕-신례원(2공구)투찰_경찰서-터미널간도로(투찰)②_왜관-태평건설" xfId="663" xr:uid="{00000000-0005-0000-0000-000097020000}"/>
    <cellStyle name="_신태백(가실행)_양곡부두(투찰)-0.31%_합덕-신례원(2공구)투찰_경찰서-터미널간도로(투찰)②_왜관-태평건설 2" xfId="2063" xr:uid="{00000000-0005-0000-0000-00000F080000}"/>
    <cellStyle name="_신태백(가실행)_양곡부두(투찰)-0.31%_합덕-신례원(2공구)투찰_마현생창(동양고속)" xfId="664" xr:uid="{00000000-0005-0000-0000-000098020000}"/>
    <cellStyle name="_신태백(가실행)_양곡부두(투찰)-0.31%_합덕-신례원(2공구)투찰_마현생창(동양고속) 2" xfId="2064" xr:uid="{00000000-0005-0000-0000-000010080000}"/>
    <cellStyle name="_신태백(가실행)_양곡부두(투찰)-0.31%_합덕-신례원(2공구)투찰_마현생창(동양고속)_왜관-태평건설" xfId="665" xr:uid="{00000000-0005-0000-0000-000099020000}"/>
    <cellStyle name="_신태백(가실행)_양곡부두(투찰)-0.31%_합덕-신례원(2공구)투찰_마현생창(동양고속)_왜관-태평건설 2" xfId="2065" xr:uid="{00000000-0005-0000-0000-000011080000}"/>
    <cellStyle name="_신태백(가실행)_양곡부두(투찰)-0.31%_합덕-신례원(2공구)투찰_봉무지방산업단지도로(투찰)②" xfId="666" xr:uid="{00000000-0005-0000-0000-00009A020000}"/>
    <cellStyle name="_신태백(가실행)_양곡부두(투찰)-0.31%_합덕-신례원(2공구)투찰_봉무지방산업단지도로(투찰)② 2" xfId="2066" xr:uid="{00000000-0005-0000-0000-000012080000}"/>
    <cellStyle name="_신태백(가실행)_양곡부두(투찰)-0.31%_합덕-신례원(2공구)투찰_봉무지방산업단지도로(투찰)②_마현생창(동양고속)" xfId="667" xr:uid="{00000000-0005-0000-0000-00009B020000}"/>
    <cellStyle name="_신태백(가실행)_양곡부두(투찰)-0.31%_합덕-신례원(2공구)투찰_봉무지방산업단지도로(투찰)②_마현생창(동양고속) 2" xfId="2067" xr:uid="{00000000-0005-0000-0000-000013080000}"/>
    <cellStyle name="_신태백(가실행)_양곡부두(투찰)-0.31%_합덕-신례원(2공구)투찰_봉무지방산업단지도로(투찰)②_마현생창(동양고속)_왜관-태평건설" xfId="668" xr:uid="{00000000-0005-0000-0000-00009C020000}"/>
    <cellStyle name="_신태백(가실행)_양곡부두(투찰)-0.31%_합덕-신례원(2공구)투찰_봉무지방산업단지도로(투찰)②_마현생창(동양고속)_왜관-태평건설 2" xfId="2068" xr:uid="{00000000-0005-0000-0000-000014080000}"/>
    <cellStyle name="_신태백(가실행)_양곡부두(투찰)-0.31%_합덕-신례원(2공구)투찰_봉무지방산업단지도로(투찰)②_왜관-태평건설" xfId="669" xr:uid="{00000000-0005-0000-0000-00009D020000}"/>
    <cellStyle name="_신태백(가실행)_양곡부두(투찰)-0.31%_합덕-신례원(2공구)투찰_봉무지방산업단지도로(투찰)②_왜관-태평건설 2" xfId="2069" xr:uid="{00000000-0005-0000-0000-000015080000}"/>
    <cellStyle name="_신태백(가실행)_양곡부두(투찰)-0.31%_합덕-신례원(2공구)투찰_봉무지방산업단지도로(투찰)②+0.250%" xfId="670" xr:uid="{00000000-0005-0000-0000-00009E020000}"/>
    <cellStyle name="_신태백(가실행)_양곡부두(투찰)-0.31%_합덕-신례원(2공구)투찰_봉무지방산업단지도로(투찰)②+0.250% 2" xfId="2070" xr:uid="{00000000-0005-0000-0000-000016080000}"/>
    <cellStyle name="_신태백(가실행)_양곡부두(투찰)-0.31%_합덕-신례원(2공구)투찰_봉무지방산업단지도로(투찰)②+0.250%_마현생창(동양고속)" xfId="671" xr:uid="{00000000-0005-0000-0000-00009F020000}"/>
    <cellStyle name="_신태백(가실행)_양곡부두(투찰)-0.31%_합덕-신례원(2공구)투찰_봉무지방산업단지도로(투찰)②+0.250%_마현생창(동양고속) 2" xfId="2071" xr:uid="{00000000-0005-0000-0000-000017080000}"/>
    <cellStyle name="_신태백(가실행)_양곡부두(투찰)-0.31%_합덕-신례원(2공구)투찰_봉무지방산업단지도로(투찰)②+0.250%_마현생창(동양고속)_왜관-태평건설" xfId="672" xr:uid="{00000000-0005-0000-0000-0000A0020000}"/>
    <cellStyle name="_신태백(가실행)_양곡부두(투찰)-0.31%_합덕-신례원(2공구)투찰_봉무지방산업단지도로(투찰)②+0.250%_마현생창(동양고속)_왜관-태평건설 2" xfId="2072" xr:uid="{00000000-0005-0000-0000-000018080000}"/>
    <cellStyle name="_신태백(가실행)_양곡부두(투찰)-0.31%_합덕-신례원(2공구)투찰_봉무지방산업단지도로(투찰)②+0.250%_왜관-태평건설" xfId="673" xr:uid="{00000000-0005-0000-0000-0000A1020000}"/>
    <cellStyle name="_신태백(가실행)_양곡부두(투찰)-0.31%_합덕-신례원(2공구)투찰_봉무지방산업단지도로(투찰)②+0.250%_왜관-태평건설 2" xfId="2073" xr:uid="{00000000-0005-0000-0000-000019080000}"/>
    <cellStyle name="_신태백(가실행)_양곡부두(투찰)-0.31%_합덕-신례원(2공구)투찰_왜관-태평건설" xfId="674" xr:uid="{00000000-0005-0000-0000-0000A2020000}"/>
    <cellStyle name="_신태백(가실행)_양곡부두(투찰)-0.31%_합덕-신례원(2공구)투찰_왜관-태평건설 2" xfId="2074" xr:uid="{00000000-0005-0000-0000-00001A080000}"/>
    <cellStyle name="_신태백(가실행)_양곡부두(투찰)-0.31%_합덕-신례원(2공구)투찰_합덕-신례원(2공구)투찰" xfId="675" xr:uid="{00000000-0005-0000-0000-0000A3020000}"/>
    <cellStyle name="_신태백(가실행)_양곡부두(투찰)-0.31%_합덕-신례원(2공구)투찰_합덕-신례원(2공구)투찰 2" xfId="2075" xr:uid="{00000000-0005-0000-0000-00001B080000}"/>
    <cellStyle name="_신태백(가실행)_양곡부두(투찰)-0.31%_합덕-신례원(2공구)투찰_합덕-신례원(2공구)투찰_경찰서-터미널간도로(투찰)②" xfId="676" xr:uid="{00000000-0005-0000-0000-0000A4020000}"/>
    <cellStyle name="_신태백(가실행)_양곡부두(투찰)-0.31%_합덕-신례원(2공구)투찰_합덕-신례원(2공구)투찰_경찰서-터미널간도로(투찰)② 2" xfId="2076" xr:uid="{00000000-0005-0000-0000-00001C080000}"/>
    <cellStyle name="_신태백(가실행)_양곡부두(투찰)-0.31%_합덕-신례원(2공구)투찰_합덕-신례원(2공구)투찰_경찰서-터미널간도로(투찰)②_마현생창(동양고속)" xfId="677" xr:uid="{00000000-0005-0000-0000-0000A5020000}"/>
    <cellStyle name="_신태백(가실행)_양곡부두(투찰)-0.31%_합덕-신례원(2공구)투찰_합덕-신례원(2공구)투찰_경찰서-터미널간도로(투찰)②_마현생창(동양고속) 2" xfId="2077" xr:uid="{00000000-0005-0000-0000-00001D080000}"/>
    <cellStyle name="_신태백(가실행)_양곡부두(투찰)-0.31%_합덕-신례원(2공구)투찰_합덕-신례원(2공구)투찰_경찰서-터미널간도로(투찰)②_마현생창(동양고속)_왜관-태평건설" xfId="678" xr:uid="{00000000-0005-0000-0000-0000A6020000}"/>
    <cellStyle name="_신태백(가실행)_양곡부두(투찰)-0.31%_합덕-신례원(2공구)투찰_합덕-신례원(2공구)투찰_경찰서-터미널간도로(투찰)②_마현생창(동양고속)_왜관-태평건설 2" xfId="2078" xr:uid="{00000000-0005-0000-0000-00001E080000}"/>
    <cellStyle name="_신태백(가실행)_양곡부두(투찰)-0.31%_합덕-신례원(2공구)투찰_합덕-신례원(2공구)투찰_경찰서-터미널간도로(투찰)②_왜관-태평건설" xfId="679" xr:uid="{00000000-0005-0000-0000-0000A7020000}"/>
    <cellStyle name="_신태백(가실행)_양곡부두(투찰)-0.31%_합덕-신례원(2공구)투찰_합덕-신례원(2공구)투찰_경찰서-터미널간도로(투찰)②_왜관-태평건설 2" xfId="2079" xr:uid="{00000000-0005-0000-0000-00001F080000}"/>
    <cellStyle name="_신태백(가실행)_양곡부두(투찰)-0.31%_합덕-신례원(2공구)투찰_합덕-신례원(2공구)투찰_마현생창(동양고속)" xfId="680" xr:uid="{00000000-0005-0000-0000-0000A8020000}"/>
    <cellStyle name="_신태백(가실행)_양곡부두(투찰)-0.31%_합덕-신례원(2공구)투찰_합덕-신례원(2공구)투찰_마현생창(동양고속) 2" xfId="2080" xr:uid="{00000000-0005-0000-0000-000020080000}"/>
    <cellStyle name="_신태백(가실행)_양곡부두(투찰)-0.31%_합덕-신례원(2공구)투찰_합덕-신례원(2공구)투찰_마현생창(동양고속)_왜관-태평건설" xfId="681" xr:uid="{00000000-0005-0000-0000-0000A9020000}"/>
    <cellStyle name="_신태백(가실행)_양곡부두(투찰)-0.31%_합덕-신례원(2공구)투찰_합덕-신례원(2공구)투찰_마현생창(동양고속)_왜관-태평건설 2" xfId="2081" xr:uid="{00000000-0005-0000-0000-000021080000}"/>
    <cellStyle name="_신태백(가실행)_양곡부두(투찰)-0.31%_합덕-신례원(2공구)투찰_합덕-신례원(2공구)투찰_봉무지방산업단지도로(투찰)②" xfId="682" xr:uid="{00000000-0005-0000-0000-0000AA020000}"/>
    <cellStyle name="_신태백(가실행)_양곡부두(투찰)-0.31%_합덕-신례원(2공구)투찰_합덕-신례원(2공구)투찰_봉무지방산업단지도로(투찰)② 2" xfId="2082" xr:uid="{00000000-0005-0000-0000-000022080000}"/>
    <cellStyle name="_신태백(가실행)_양곡부두(투찰)-0.31%_합덕-신례원(2공구)투찰_합덕-신례원(2공구)투찰_봉무지방산업단지도로(투찰)②_마현생창(동양고속)" xfId="683" xr:uid="{00000000-0005-0000-0000-0000AB020000}"/>
    <cellStyle name="_신태백(가실행)_양곡부두(투찰)-0.31%_합덕-신례원(2공구)투찰_합덕-신례원(2공구)투찰_봉무지방산업단지도로(투찰)②_마현생창(동양고속) 2" xfId="2083" xr:uid="{00000000-0005-0000-0000-000023080000}"/>
    <cellStyle name="_신태백(가실행)_양곡부두(투찰)-0.31%_합덕-신례원(2공구)투찰_합덕-신례원(2공구)투찰_봉무지방산업단지도로(투찰)②_마현생창(동양고속)_왜관-태평건설" xfId="684" xr:uid="{00000000-0005-0000-0000-0000AC020000}"/>
    <cellStyle name="_신태백(가실행)_양곡부두(투찰)-0.31%_합덕-신례원(2공구)투찰_합덕-신례원(2공구)투찰_봉무지방산업단지도로(투찰)②_마현생창(동양고속)_왜관-태평건설 2" xfId="2084" xr:uid="{00000000-0005-0000-0000-000024080000}"/>
    <cellStyle name="_신태백(가실행)_양곡부두(투찰)-0.31%_합덕-신례원(2공구)투찰_합덕-신례원(2공구)투찰_봉무지방산업단지도로(투찰)②_왜관-태평건설" xfId="685" xr:uid="{00000000-0005-0000-0000-0000AD020000}"/>
    <cellStyle name="_신태백(가실행)_양곡부두(투찰)-0.31%_합덕-신례원(2공구)투찰_합덕-신례원(2공구)투찰_봉무지방산업단지도로(투찰)②_왜관-태평건설 2" xfId="2085" xr:uid="{00000000-0005-0000-0000-000025080000}"/>
    <cellStyle name="_신태백(가실행)_양곡부두(투찰)-0.31%_합덕-신례원(2공구)투찰_합덕-신례원(2공구)투찰_봉무지방산업단지도로(투찰)②+0.250%" xfId="686" xr:uid="{00000000-0005-0000-0000-0000AE020000}"/>
    <cellStyle name="_신태백(가실행)_양곡부두(투찰)-0.31%_합덕-신례원(2공구)투찰_합덕-신례원(2공구)투찰_봉무지방산업단지도로(투찰)②+0.250% 2" xfId="2086" xr:uid="{00000000-0005-0000-0000-000026080000}"/>
    <cellStyle name="_신태백(가실행)_양곡부두(투찰)-0.31%_합덕-신례원(2공구)투찰_합덕-신례원(2공구)투찰_봉무지방산업단지도로(투찰)②+0.250%_마현생창(동양고속)" xfId="687" xr:uid="{00000000-0005-0000-0000-0000AF020000}"/>
    <cellStyle name="_신태백(가실행)_양곡부두(투찰)-0.31%_합덕-신례원(2공구)투찰_합덕-신례원(2공구)투찰_봉무지방산업단지도로(투찰)②+0.250%_마현생창(동양고속) 2" xfId="2087" xr:uid="{00000000-0005-0000-0000-000027080000}"/>
    <cellStyle name="_신태백(가실행)_양곡부두(투찰)-0.31%_합덕-신례원(2공구)투찰_합덕-신례원(2공구)투찰_봉무지방산업단지도로(투찰)②+0.250%_마현생창(동양고속)_왜관-태평건설" xfId="688" xr:uid="{00000000-0005-0000-0000-0000B0020000}"/>
    <cellStyle name="_신태백(가실행)_양곡부두(투찰)-0.31%_합덕-신례원(2공구)투찰_합덕-신례원(2공구)투찰_봉무지방산업단지도로(투찰)②+0.250%_마현생창(동양고속)_왜관-태평건설 2" xfId="2088" xr:uid="{00000000-0005-0000-0000-000028080000}"/>
    <cellStyle name="_신태백(가실행)_양곡부두(투찰)-0.31%_합덕-신례원(2공구)투찰_합덕-신례원(2공구)투찰_봉무지방산업단지도로(투찰)②+0.250%_왜관-태평건설" xfId="689" xr:uid="{00000000-0005-0000-0000-0000B1020000}"/>
    <cellStyle name="_신태백(가실행)_양곡부두(투찰)-0.31%_합덕-신례원(2공구)투찰_합덕-신례원(2공구)투찰_봉무지방산업단지도로(투찰)②+0.250%_왜관-태평건설 2" xfId="2089" xr:uid="{00000000-0005-0000-0000-000029080000}"/>
    <cellStyle name="_신태백(가실행)_양곡부두(투찰)-0.31%_합덕-신례원(2공구)투찰_합덕-신례원(2공구)투찰_왜관-태평건설" xfId="690" xr:uid="{00000000-0005-0000-0000-0000B2020000}"/>
    <cellStyle name="_신태백(가실행)_양곡부두(투찰)-0.31%_합덕-신례원(2공구)투찰_합덕-신례원(2공구)투찰_왜관-태평건설 2" xfId="2090" xr:uid="{00000000-0005-0000-0000-00002A080000}"/>
    <cellStyle name="_신태백(가실행)_왜관-태평건설" xfId="691" xr:uid="{00000000-0005-0000-0000-0000B3020000}"/>
    <cellStyle name="_신태백(가실행)_왜관-태평건설 2" xfId="2091" xr:uid="{00000000-0005-0000-0000-00002B080000}"/>
    <cellStyle name="_신태백(가실행)_창원상수도(토목)투찰" xfId="692" xr:uid="{00000000-0005-0000-0000-0000B4020000}"/>
    <cellStyle name="_신태백(가실행)_창원상수도(토목)투찰 2" xfId="2092" xr:uid="{00000000-0005-0000-0000-00002C080000}"/>
    <cellStyle name="_신태백(가실행)_창원상수도(토목)투찰_경찰서-터미널간도로(투찰)②" xfId="693" xr:uid="{00000000-0005-0000-0000-0000B5020000}"/>
    <cellStyle name="_신태백(가실행)_창원상수도(토목)투찰_경찰서-터미널간도로(투찰)② 2" xfId="2093" xr:uid="{00000000-0005-0000-0000-00002D080000}"/>
    <cellStyle name="_신태백(가실행)_창원상수도(토목)투찰_경찰서-터미널간도로(투찰)②_마현생창(동양고속)" xfId="694" xr:uid="{00000000-0005-0000-0000-0000B6020000}"/>
    <cellStyle name="_신태백(가실행)_창원상수도(토목)투찰_경찰서-터미널간도로(투찰)②_마현생창(동양고속) 2" xfId="2094" xr:uid="{00000000-0005-0000-0000-00002E080000}"/>
    <cellStyle name="_신태백(가실행)_창원상수도(토목)투찰_경찰서-터미널간도로(투찰)②_마현생창(동양고속)_왜관-태평건설" xfId="695" xr:uid="{00000000-0005-0000-0000-0000B7020000}"/>
    <cellStyle name="_신태백(가실행)_창원상수도(토목)투찰_경찰서-터미널간도로(투찰)②_마현생창(동양고속)_왜관-태평건설 2" xfId="2095" xr:uid="{00000000-0005-0000-0000-00002F080000}"/>
    <cellStyle name="_신태백(가실행)_창원상수도(토목)투찰_경찰서-터미널간도로(투찰)②_왜관-태평건설" xfId="696" xr:uid="{00000000-0005-0000-0000-0000B8020000}"/>
    <cellStyle name="_신태백(가실행)_창원상수도(토목)투찰_경찰서-터미널간도로(투찰)②_왜관-태평건설 2" xfId="2096" xr:uid="{00000000-0005-0000-0000-000030080000}"/>
    <cellStyle name="_신태백(가실행)_창원상수도(토목)투찰_마현생창(동양고속)" xfId="697" xr:uid="{00000000-0005-0000-0000-0000B9020000}"/>
    <cellStyle name="_신태백(가실행)_창원상수도(토목)투찰_마현생창(동양고속) 2" xfId="2097" xr:uid="{00000000-0005-0000-0000-000031080000}"/>
    <cellStyle name="_신태백(가실행)_창원상수도(토목)투찰_마현생창(동양고속)_왜관-태평건설" xfId="698" xr:uid="{00000000-0005-0000-0000-0000BA020000}"/>
    <cellStyle name="_신태백(가실행)_창원상수도(토목)투찰_마현생창(동양고속)_왜관-태평건설 2" xfId="2098" xr:uid="{00000000-0005-0000-0000-000032080000}"/>
    <cellStyle name="_신태백(가실행)_창원상수도(토목)투찰_봉무지방산업단지도로(투찰)②" xfId="699" xr:uid="{00000000-0005-0000-0000-0000BB020000}"/>
    <cellStyle name="_신태백(가실행)_창원상수도(토목)투찰_봉무지방산업단지도로(투찰)② 2" xfId="2099" xr:uid="{00000000-0005-0000-0000-000033080000}"/>
    <cellStyle name="_신태백(가실행)_창원상수도(토목)투찰_봉무지방산업단지도로(투찰)②_마현생창(동양고속)" xfId="700" xr:uid="{00000000-0005-0000-0000-0000BC020000}"/>
    <cellStyle name="_신태백(가실행)_창원상수도(토목)투찰_봉무지방산업단지도로(투찰)②_마현생창(동양고속) 2" xfId="2100" xr:uid="{00000000-0005-0000-0000-000034080000}"/>
    <cellStyle name="_신태백(가실행)_창원상수도(토목)투찰_봉무지방산업단지도로(투찰)②_마현생창(동양고속)_왜관-태평건설" xfId="701" xr:uid="{00000000-0005-0000-0000-0000BD020000}"/>
    <cellStyle name="_신태백(가실행)_창원상수도(토목)투찰_봉무지방산업단지도로(투찰)②_마현생창(동양고속)_왜관-태평건설 2" xfId="2101" xr:uid="{00000000-0005-0000-0000-000035080000}"/>
    <cellStyle name="_신태백(가실행)_창원상수도(토목)투찰_봉무지방산업단지도로(투찰)②_왜관-태평건설" xfId="702" xr:uid="{00000000-0005-0000-0000-0000BE020000}"/>
    <cellStyle name="_신태백(가실행)_창원상수도(토목)투찰_봉무지방산업단지도로(투찰)②_왜관-태평건설 2" xfId="2102" xr:uid="{00000000-0005-0000-0000-000036080000}"/>
    <cellStyle name="_신태백(가실행)_창원상수도(토목)투찰_봉무지방산업단지도로(투찰)②+0.250%" xfId="703" xr:uid="{00000000-0005-0000-0000-0000BF020000}"/>
    <cellStyle name="_신태백(가실행)_창원상수도(토목)투찰_봉무지방산업단지도로(투찰)②+0.250% 2" xfId="2103" xr:uid="{00000000-0005-0000-0000-000037080000}"/>
    <cellStyle name="_신태백(가실행)_창원상수도(토목)투찰_봉무지방산업단지도로(투찰)②+0.250%_마현생창(동양고속)" xfId="704" xr:uid="{00000000-0005-0000-0000-0000C0020000}"/>
    <cellStyle name="_신태백(가실행)_창원상수도(토목)투찰_봉무지방산업단지도로(투찰)②+0.250%_마현생창(동양고속) 2" xfId="2104" xr:uid="{00000000-0005-0000-0000-000038080000}"/>
    <cellStyle name="_신태백(가실행)_창원상수도(토목)투찰_봉무지방산업단지도로(투찰)②+0.250%_마현생창(동양고속)_왜관-태평건설" xfId="705" xr:uid="{00000000-0005-0000-0000-0000C1020000}"/>
    <cellStyle name="_신태백(가실행)_창원상수도(토목)투찰_봉무지방산업단지도로(투찰)②+0.250%_마현생창(동양고속)_왜관-태평건설 2" xfId="2105" xr:uid="{00000000-0005-0000-0000-000039080000}"/>
    <cellStyle name="_신태백(가실행)_창원상수도(토목)투찰_봉무지방산업단지도로(투찰)②+0.250%_왜관-태평건설" xfId="706" xr:uid="{00000000-0005-0000-0000-0000C2020000}"/>
    <cellStyle name="_신태백(가실행)_창원상수도(토목)투찰_봉무지방산업단지도로(투찰)②+0.250%_왜관-태평건설 2" xfId="2106" xr:uid="{00000000-0005-0000-0000-00003A080000}"/>
    <cellStyle name="_신태백(가실행)_창원상수도(토목)투찰_왜관-태평건설" xfId="707" xr:uid="{00000000-0005-0000-0000-0000C3020000}"/>
    <cellStyle name="_신태백(가실행)_창원상수도(토목)투찰_왜관-태평건설 2" xfId="2107" xr:uid="{00000000-0005-0000-0000-00003B080000}"/>
    <cellStyle name="_신태백(가실행)_창원상수도(토목)투찰_합덕-신례원(2공구)투찰" xfId="708" xr:uid="{00000000-0005-0000-0000-0000C4020000}"/>
    <cellStyle name="_신태백(가실행)_창원상수도(토목)투찰_합덕-신례원(2공구)투찰 2" xfId="2108" xr:uid="{00000000-0005-0000-0000-00003C080000}"/>
    <cellStyle name="_신태백(가실행)_창원상수도(토목)투찰_합덕-신례원(2공구)투찰_경찰서-터미널간도로(투찰)②" xfId="709" xr:uid="{00000000-0005-0000-0000-0000C5020000}"/>
    <cellStyle name="_신태백(가실행)_창원상수도(토목)투찰_합덕-신례원(2공구)투찰_경찰서-터미널간도로(투찰)② 2" xfId="2109" xr:uid="{00000000-0005-0000-0000-00003D080000}"/>
    <cellStyle name="_신태백(가실행)_창원상수도(토목)투찰_합덕-신례원(2공구)투찰_경찰서-터미널간도로(투찰)②_마현생창(동양고속)" xfId="710" xr:uid="{00000000-0005-0000-0000-0000C6020000}"/>
    <cellStyle name="_신태백(가실행)_창원상수도(토목)투찰_합덕-신례원(2공구)투찰_경찰서-터미널간도로(투찰)②_마현생창(동양고속) 2" xfId="2110" xr:uid="{00000000-0005-0000-0000-00003E080000}"/>
    <cellStyle name="_신태백(가실행)_창원상수도(토목)투찰_합덕-신례원(2공구)투찰_경찰서-터미널간도로(투찰)②_마현생창(동양고속)_왜관-태평건설" xfId="711" xr:uid="{00000000-0005-0000-0000-0000C7020000}"/>
    <cellStyle name="_신태백(가실행)_창원상수도(토목)투찰_합덕-신례원(2공구)투찰_경찰서-터미널간도로(투찰)②_마현생창(동양고속)_왜관-태평건설 2" xfId="2111" xr:uid="{00000000-0005-0000-0000-00003F080000}"/>
    <cellStyle name="_신태백(가실행)_창원상수도(토목)투찰_합덕-신례원(2공구)투찰_경찰서-터미널간도로(투찰)②_왜관-태평건설" xfId="712" xr:uid="{00000000-0005-0000-0000-0000C8020000}"/>
    <cellStyle name="_신태백(가실행)_창원상수도(토목)투찰_합덕-신례원(2공구)투찰_경찰서-터미널간도로(투찰)②_왜관-태평건설 2" xfId="2112" xr:uid="{00000000-0005-0000-0000-000040080000}"/>
    <cellStyle name="_신태백(가실행)_창원상수도(토목)투찰_합덕-신례원(2공구)투찰_마현생창(동양고속)" xfId="713" xr:uid="{00000000-0005-0000-0000-0000C9020000}"/>
    <cellStyle name="_신태백(가실행)_창원상수도(토목)투찰_합덕-신례원(2공구)투찰_마현생창(동양고속) 2" xfId="2113" xr:uid="{00000000-0005-0000-0000-000041080000}"/>
    <cellStyle name="_신태백(가실행)_창원상수도(토목)투찰_합덕-신례원(2공구)투찰_마현생창(동양고속)_왜관-태평건설" xfId="714" xr:uid="{00000000-0005-0000-0000-0000CA020000}"/>
    <cellStyle name="_신태백(가실행)_창원상수도(토목)투찰_합덕-신례원(2공구)투찰_마현생창(동양고속)_왜관-태평건설 2" xfId="2114" xr:uid="{00000000-0005-0000-0000-000042080000}"/>
    <cellStyle name="_신태백(가실행)_창원상수도(토목)투찰_합덕-신례원(2공구)투찰_봉무지방산업단지도로(투찰)②" xfId="715" xr:uid="{00000000-0005-0000-0000-0000CB020000}"/>
    <cellStyle name="_신태백(가실행)_창원상수도(토목)투찰_합덕-신례원(2공구)투찰_봉무지방산업단지도로(투찰)② 2" xfId="2115" xr:uid="{00000000-0005-0000-0000-000043080000}"/>
    <cellStyle name="_신태백(가실행)_창원상수도(토목)투찰_합덕-신례원(2공구)투찰_봉무지방산업단지도로(투찰)②_마현생창(동양고속)" xfId="716" xr:uid="{00000000-0005-0000-0000-0000CC020000}"/>
    <cellStyle name="_신태백(가실행)_창원상수도(토목)투찰_합덕-신례원(2공구)투찰_봉무지방산업단지도로(투찰)②_마현생창(동양고속) 2" xfId="2116" xr:uid="{00000000-0005-0000-0000-000044080000}"/>
    <cellStyle name="_신태백(가실행)_창원상수도(토목)투찰_합덕-신례원(2공구)투찰_봉무지방산업단지도로(투찰)②_마현생창(동양고속)_왜관-태평건설" xfId="717" xr:uid="{00000000-0005-0000-0000-0000CD020000}"/>
    <cellStyle name="_신태백(가실행)_창원상수도(토목)투찰_합덕-신례원(2공구)투찰_봉무지방산업단지도로(투찰)②_마현생창(동양고속)_왜관-태평건설 2" xfId="2117" xr:uid="{00000000-0005-0000-0000-000045080000}"/>
    <cellStyle name="_신태백(가실행)_창원상수도(토목)투찰_합덕-신례원(2공구)투찰_봉무지방산업단지도로(투찰)②_왜관-태평건설" xfId="718" xr:uid="{00000000-0005-0000-0000-0000CE020000}"/>
    <cellStyle name="_신태백(가실행)_창원상수도(토목)투찰_합덕-신례원(2공구)투찰_봉무지방산업단지도로(투찰)②_왜관-태평건설 2" xfId="2118" xr:uid="{00000000-0005-0000-0000-000046080000}"/>
    <cellStyle name="_신태백(가실행)_창원상수도(토목)투찰_합덕-신례원(2공구)투찰_봉무지방산업단지도로(투찰)②+0.250%" xfId="719" xr:uid="{00000000-0005-0000-0000-0000CF020000}"/>
    <cellStyle name="_신태백(가실행)_창원상수도(토목)투찰_합덕-신례원(2공구)투찰_봉무지방산업단지도로(투찰)②+0.250% 2" xfId="2119" xr:uid="{00000000-0005-0000-0000-000047080000}"/>
    <cellStyle name="_신태백(가실행)_창원상수도(토목)투찰_합덕-신례원(2공구)투찰_봉무지방산업단지도로(투찰)②+0.250%_마현생창(동양고속)" xfId="720" xr:uid="{00000000-0005-0000-0000-0000D0020000}"/>
    <cellStyle name="_신태백(가실행)_창원상수도(토목)투찰_합덕-신례원(2공구)투찰_봉무지방산업단지도로(투찰)②+0.250%_마현생창(동양고속) 2" xfId="2120" xr:uid="{00000000-0005-0000-0000-000048080000}"/>
    <cellStyle name="_신태백(가실행)_창원상수도(토목)투찰_합덕-신례원(2공구)투찰_봉무지방산업단지도로(투찰)②+0.250%_마현생창(동양고속)_왜관-태평건설" xfId="721" xr:uid="{00000000-0005-0000-0000-0000D1020000}"/>
    <cellStyle name="_신태백(가실행)_창원상수도(토목)투찰_합덕-신례원(2공구)투찰_봉무지방산업단지도로(투찰)②+0.250%_마현생창(동양고속)_왜관-태평건설 2" xfId="2121" xr:uid="{00000000-0005-0000-0000-000049080000}"/>
    <cellStyle name="_신태백(가실행)_창원상수도(토목)투찰_합덕-신례원(2공구)투찰_봉무지방산업단지도로(투찰)②+0.250%_왜관-태평건설" xfId="722" xr:uid="{00000000-0005-0000-0000-0000D2020000}"/>
    <cellStyle name="_신태백(가실행)_창원상수도(토목)투찰_합덕-신례원(2공구)투찰_봉무지방산업단지도로(투찰)②+0.250%_왜관-태평건설 2" xfId="2122" xr:uid="{00000000-0005-0000-0000-00004A080000}"/>
    <cellStyle name="_신태백(가실행)_창원상수도(토목)투찰_합덕-신례원(2공구)투찰_왜관-태평건설" xfId="723" xr:uid="{00000000-0005-0000-0000-0000D3020000}"/>
    <cellStyle name="_신태백(가실행)_창원상수도(토목)투찰_합덕-신례원(2공구)투찰_왜관-태평건설 2" xfId="2123" xr:uid="{00000000-0005-0000-0000-00004B080000}"/>
    <cellStyle name="_신태백(가실행)_창원상수도(토목)투찰_합덕-신례원(2공구)투찰_합덕-신례원(2공구)투찰" xfId="724" xr:uid="{00000000-0005-0000-0000-0000D4020000}"/>
    <cellStyle name="_신태백(가실행)_창원상수도(토목)투찰_합덕-신례원(2공구)투찰_합덕-신례원(2공구)투찰 2" xfId="2124" xr:uid="{00000000-0005-0000-0000-00004C080000}"/>
    <cellStyle name="_신태백(가실행)_창원상수도(토목)투찰_합덕-신례원(2공구)투찰_합덕-신례원(2공구)투찰_경찰서-터미널간도로(투찰)②" xfId="725" xr:uid="{00000000-0005-0000-0000-0000D5020000}"/>
    <cellStyle name="_신태백(가실행)_창원상수도(토목)투찰_합덕-신례원(2공구)투찰_합덕-신례원(2공구)투찰_경찰서-터미널간도로(투찰)② 2" xfId="2125" xr:uid="{00000000-0005-0000-0000-00004D080000}"/>
    <cellStyle name="_신태백(가실행)_창원상수도(토목)투찰_합덕-신례원(2공구)투찰_합덕-신례원(2공구)투찰_경찰서-터미널간도로(투찰)②_마현생창(동양고속)" xfId="726" xr:uid="{00000000-0005-0000-0000-0000D6020000}"/>
    <cellStyle name="_신태백(가실행)_창원상수도(토목)투찰_합덕-신례원(2공구)투찰_합덕-신례원(2공구)투찰_경찰서-터미널간도로(투찰)②_마현생창(동양고속) 2" xfId="2126" xr:uid="{00000000-0005-0000-0000-00004E080000}"/>
    <cellStyle name="_신태백(가실행)_창원상수도(토목)투찰_합덕-신례원(2공구)투찰_합덕-신례원(2공구)투찰_경찰서-터미널간도로(투찰)②_마현생창(동양고속)_왜관-태평건설" xfId="727" xr:uid="{00000000-0005-0000-0000-0000D7020000}"/>
    <cellStyle name="_신태백(가실행)_창원상수도(토목)투찰_합덕-신례원(2공구)투찰_합덕-신례원(2공구)투찰_경찰서-터미널간도로(투찰)②_마현생창(동양고속)_왜관-태평건설 2" xfId="2127" xr:uid="{00000000-0005-0000-0000-00004F080000}"/>
    <cellStyle name="_신태백(가실행)_창원상수도(토목)투찰_합덕-신례원(2공구)투찰_합덕-신례원(2공구)투찰_경찰서-터미널간도로(투찰)②_왜관-태평건설" xfId="728" xr:uid="{00000000-0005-0000-0000-0000D8020000}"/>
    <cellStyle name="_신태백(가실행)_창원상수도(토목)투찰_합덕-신례원(2공구)투찰_합덕-신례원(2공구)투찰_경찰서-터미널간도로(투찰)②_왜관-태평건설 2" xfId="2128" xr:uid="{00000000-0005-0000-0000-000050080000}"/>
    <cellStyle name="_신태백(가실행)_창원상수도(토목)투찰_합덕-신례원(2공구)투찰_합덕-신례원(2공구)투찰_마현생창(동양고속)" xfId="729" xr:uid="{00000000-0005-0000-0000-0000D9020000}"/>
    <cellStyle name="_신태백(가실행)_창원상수도(토목)투찰_합덕-신례원(2공구)투찰_합덕-신례원(2공구)투찰_마현생창(동양고속) 2" xfId="2129" xr:uid="{00000000-0005-0000-0000-000051080000}"/>
    <cellStyle name="_신태백(가실행)_창원상수도(토목)투찰_합덕-신례원(2공구)투찰_합덕-신례원(2공구)투찰_마현생창(동양고속)_왜관-태평건설" xfId="730" xr:uid="{00000000-0005-0000-0000-0000DA020000}"/>
    <cellStyle name="_신태백(가실행)_창원상수도(토목)투찰_합덕-신례원(2공구)투찰_합덕-신례원(2공구)투찰_마현생창(동양고속)_왜관-태평건설 2" xfId="2130" xr:uid="{00000000-0005-0000-0000-000052080000}"/>
    <cellStyle name="_신태백(가실행)_창원상수도(토목)투찰_합덕-신례원(2공구)투찰_합덕-신례원(2공구)투찰_봉무지방산업단지도로(투찰)②" xfId="731" xr:uid="{00000000-0005-0000-0000-0000DB020000}"/>
    <cellStyle name="_신태백(가실행)_창원상수도(토목)투찰_합덕-신례원(2공구)투찰_합덕-신례원(2공구)투찰_봉무지방산업단지도로(투찰)② 2" xfId="2131" xr:uid="{00000000-0005-0000-0000-000053080000}"/>
    <cellStyle name="_신태백(가실행)_창원상수도(토목)투찰_합덕-신례원(2공구)투찰_합덕-신례원(2공구)투찰_봉무지방산업단지도로(투찰)②_마현생창(동양고속)" xfId="732" xr:uid="{00000000-0005-0000-0000-0000DC020000}"/>
    <cellStyle name="_신태백(가실행)_창원상수도(토목)투찰_합덕-신례원(2공구)투찰_합덕-신례원(2공구)투찰_봉무지방산업단지도로(투찰)②_마현생창(동양고속) 2" xfId="2132" xr:uid="{00000000-0005-0000-0000-000054080000}"/>
    <cellStyle name="_신태백(가실행)_창원상수도(토목)투찰_합덕-신례원(2공구)투찰_합덕-신례원(2공구)투찰_봉무지방산업단지도로(투찰)②_마현생창(동양고속)_왜관-태평건설" xfId="733" xr:uid="{00000000-0005-0000-0000-0000DD020000}"/>
    <cellStyle name="_신태백(가실행)_창원상수도(토목)투찰_합덕-신례원(2공구)투찰_합덕-신례원(2공구)투찰_봉무지방산업단지도로(투찰)②_마현생창(동양고속)_왜관-태평건설 2" xfId="2133" xr:uid="{00000000-0005-0000-0000-000055080000}"/>
    <cellStyle name="_신태백(가실행)_창원상수도(토목)투찰_합덕-신례원(2공구)투찰_합덕-신례원(2공구)투찰_봉무지방산업단지도로(투찰)②_왜관-태평건설" xfId="734" xr:uid="{00000000-0005-0000-0000-0000DE020000}"/>
    <cellStyle name="_신태백(가실행)_창원상수도(토목)투찰_합덕-신례원(2공구)투찰_합덕-신례원(2공구)투찰_봉무지방산업단지도로(투찰)②_왜관-태평건설 2" xfId="2134" xr:uid="{00000000-0005-0000-0000-000056080000}"/>
    <cellStyle name="_신태백(가실행)_창원상수도(토목)투찰_합덕-신례원(2공구)투찰_합덕-신례원(2공구)투찰_봉무지방산업단지도로(투찰)②+0.250%" xfId="735" xr:uid="{00000000-0005-0000-0000-0000DF020000}"/>
    <cellStyle name="_신태백(가실행)_창원상수도(토목)투찰_합덕-신례원(2공구)투찰_합덕-신례원(2공구)투찰_봉무지방산업단지도로(투찰)②+0.250% 2" xfId="2135" xr:uid="{00000000-0005-0000-0000-000057080000}"/>
    <cellStyle name="_신태백(가실행)_창원상수도(토목)투찰_합덕-신례원(2공구)투찰_합덕-신례원(2공구)투찰_봉무지방산업단지도로(투찰)②+0.250%_마현생창(동양고속)" xfId="736" xr:uid="{00000000-0005-0000-0000-0000E0020000}"/>
    <cellStyle name="_신태백(가실행)_창원상수도(토목)투찰_합덕-신례원(2공구)투찰_합덕-신례원(2공구)투찰_봉무지방산업단지도로(투찰)②+0.250%_마현생창(동양고속) 2" xfId="2136" xr:uid="{00000000-0005-0000-0000-000058080000}"/>
    <cellStyle name="_신태백(가실행)_창원상수도(토목)투찰_합덕-신례원(2공구)투찰_합덕-신례원(2공구)투찰_봉무지방산업단지도로(투찰)②+0.250%_마현생창(동양고속)_왜관-태평건설" xfId="737" xr:uid="{00000000-0005-0000-0000-0000E1020000}"/>
    <cellStyle name="_신태백(가실행)_창원상수도(토목)투찰_합덕-신례원(2공구)투찰_합덕-신례원(2공구)투찰_봉무지방산업단지도로(투찰)②+0.250%_마현생창(동양고속)_왜관-태평건설 2" xfId="2137" xr:uid="{00000000-0005-0000-0000-000059080000}"/>
    <cellStyle name="_신태백(가실행)_창원상수도(토목)투찰_합덕-신례원(2공구)투찰_합덕-신례원(2공구)투찰_봉무지방산업단지도로(투찰)②+0.250%_왜관-태평건설" xfId="738" xr:uid="{00000000-0005-0000-0000-0000E2020000}"/>
    <cellStyle name="_신태백(가실행)_창원상수도(토목)투찰_합덕-신례원(2공구)투찰_합덕-신례원(2공구)투찰_봉무지방산업단지도로(투찰)②+0.250%_왜관-태평건설 2" xfId="2138" xr:uid="{00000000-0005-0000-0000-00005A080000}"/>
    <cellStyle name="_신태백(가실행)_창원상수도(토목)투찰_합덕-신례원(2공구)투찰_합덕-신례원(2공구)투찰_왜관-태평건설" xfId="739" xr:uid="{00000000-0005-0000-0000-0000E3020000}"/>
    <cellStyle name="_신태백(가실행)_창원상수도(토목)투찰_합덕-신례원(2공구)투찰_합덕-신례원(2공구)투찰_왜관-태평건설 2" xfId="2139" xr:uid="{00000000-0005-0000-0000-00005B080000}"/>
    <cellStyle name="_신태백(가실행)_합덕-신례원(2공구)투찰" xfId="740" xr:uid="{00000000-0005-0000-0000-0000E4020000}"/>
    <cellStyle name="_신태백(가실행)_합덕-신례원(2공구)투찰 2" xfId="2140" xr:uid="{00000000-0005-0000-0000-00005C080000}"/>
    <cellStyle name="_신태백(가실행)_합덕-신례원(2공구)투찰_경찰서-터미널간도로(투찰)②" xfId="741" xr:uid="{00000000-0005-0000-0000-0000E5020000}"/>
    <cellStyle name="_신태백(가실행)_합덕-신례원(2공구)투찰_경찰서-터미널간도로(투찰)② 2" xfId="2141" xr:uid="{00000000-0005-0000-0000-00005D080000}"/>
    <cellStyle name="_신태백(가실행)_합덕-신례원(2공구)투찰_경찰서-터미널간도로(투찰)②_마현생창(동양고속)" xfId="742" xr:uid="{00000000-0005-0000-0000-0000E6020000}"/>
    <cellStyle name="_신태백(가실행)_합덕-신례원(2공구)투찰_경찰서-터미널간도로(투찰)②_마현생창(동양고속) 2" xfId="2142" xr:uid="{00000000-0005-0000-0000-00005E080000}"/>
    <cellStyle name="_신태백(가실행)_합덕-신례원(2공구)투찰_경찰서-터미널간도로(투찰)②_마현생창(동양고속)_왜관-태평건설" xfId="743" xr:uid="{00000000-0005-0000-0000-0000E7020000}"/>
    <cellStyle name="_신태백(가실행)_합덕-신례원(2공구)투찰_경찰서-터미널간도로(투찰)②_마현생창(동양고속)_왜관-태평건설 2" xfId="2143" xr:uid="{00000000-0005-0000-0000-00005F080000}"/>
    <cellStyle name="_신태백(가실행)_합덕-신례원(2공구)투찰_경찰서-터미널간도로(투찰)②_왜관-태평건설" xfId="744" xr:uid="{00000000-0005-0000-0000-0000E8020000}"/>
    <cellStyle name="_신태백(가실행)_합덕-신례원(2공구)투찰_경찰서-터미널간도로(투찰)②_왜관-태평건설 2" xfId="2144" xr:uid="{00000000-0005-0000-0000-000060080000}"/>
    <cellStyle name="_신태백(가실행)_합덕-신례원(2공구)투찰_마현생창(동양고속)" xfId="745" xr:uid="{00000000-0005-0000-0000-0000E9020000}"/>
    <cellStyle name="_신태백(가실행)_합덕-신례원(2공구)투찰_마현생창(동양고속) 2" xfId="2145" xr:uid="{00000000-0005-0000-0000-000061080000}"/>
    <cellStyle name="_신태백(가실행)_합덕-신례원(2공구)투찰_마현생창(동양고속)_왜관-태평건설" xfId="746" xr:uid="{00000000-0005-0000-0000-0000EA020000}"/>
    <cellStyle name="_신태백(가실행)_합덕-신례원(2공구)투찰_마현생창(동양고속)_왜관-태평건설 2" xfId="2146" xr:uid="{00000000-0005-0000-0000-000062080000}"/>
    <cellStyle name="_신태백(가실행)_합덕-신례원(2공구)투찰_봉무지방산업단지도로(투찰)②" xfId="747" xr:uid="{00000000-0005-0000-0000-0000EB020000}"/>
    <cellStyle name="_신태백(가실행)_합덕-신례원(2공구)투찰_봉무지방산업단지도로(투찰)② 2" xfId="2147" xr:uid="{00000000-0005-0000-0000-000063080000}"/>
    <cellStyle name="_신태백(가실행)_합덕-신례원(2공구)투찰_봉무지방산업단지도로(투찰)②_마현생창(동양고속)" xfId="748" xr:uid="{00000000-0005-0000-0000-0000EC020000}"/>
    <cellStyle name="_신태백(가실행)_합덕-신례원(2공구)투찰_봉무지방산업단지도로(투찰)②_마현생창(동양고속) 2" xfId="2148" xr:uid="{00000000-0005-0000-0000-000064080000}"/>
    <cellStyle name="_신태백(가실행)_합덕-신례원(2공구)투찰_봉무지방산업단지도로(투찰)②_마현생창(동양고속)_왜관-태평건설" xfId="749" xr:uid="{00000000-0005-0000-0000-0000ED020000}"/>
    <cellStyle name="_신태백(가실행)_합덕-신례원(2공구)투찰_봉무지방산업단지도로(투찰)②_마현생창(동양고속)_왜관-태평건설 2" xfId="2149" xr:uid="{00000000-0005-0000-0000-000065080000}"/>
    <cellStyle name="_신태백(가실행)_합덕-신례원(2공구)투찰_봉무지방산업단지도로(투찰)②_왜관-태평건설" xfId="750" xr:uid="{00000000-0005-0000-0000-0000EE020000}"/>
    <cellStyle name="_신태백(가실행)_합덕-신례원(2공구)투찰_봉무지방산업단지도로(투찰)②_왜관-태평건설 2" xfId="2150" xr:uid="{00000000-0005-0000-0000-000066080000}"/>
    <cellStyle name="_신태백(가실행)_합덕-신례원(2공구)투찰_봉무지방산업단지도로(투찰)②+0.250%" xfId="751" xr:uid="{00000000-0005-0000-0000-0000EF020000}"/>
    <cellStyle name="_신태백(가실행)_합덕-신례원(2공구)투찰_봉무지방산업단지도로(투찰)②+0.250% 2" xfId="2151" xr:uid="{00000000-0005-0000-0000-000067080000}"/>
    <cellStyle name="_신태백(가실행)_합덕-신례원(2공구)투찰_봉무지방산업단지도로(투찰)②+0.250%_마현생창(동양고속)" xfId="752" xr:uid="{00000000-0005-0000-0000-0000F0020000}"/>
    <cellStyle name="_신태백(가실행)_합덕-신례원(2공구)투찰_봉무지방산업단지도로(투찰)②+0.250%_마현생창(동양고속) 2" xfId="2152" xr:uid="{00000000-0005-0000-0000-000068080000}"/>
    <cellStyle name="_신태백(가실행)_합덕-신례원(2공구)투찰_봉무지방산업단지도로(투찰)②+0.250%_마현생창(동양고속)_왜관-태평건설" xfId="753" xr:uid="{00000000-0005-0000-0000-0000F1020000}"/>
    <cellStyle name="_신태백(가실행)_합덕-신례원(2공구)투찰_봉무지방산업단지도로(투찰)②+0.250%_마현생창(동양고속)_왜관-태평건설 2" xfId="2153" xr:uid="{00000000-0005-0000-0000-000069080000}"/>
    <cellStyle name="_신태백(가실행)_합덕-신례원(2공구)투찰_봉무지방산업단지도로(투찰)②+0.250%_왜관-태평건설" xfId="754" xr:uid="{00000000-0005-0000-0000-0000F2020000}"/>
    <cellStyle name="_신태백(가실행)_합덕-신례원(2공구)투찰_봉무지방산업단지도로(투찰)②+0.250%_왜관-태평건설 2" xfId="2154" xr:uid="{00000000-0005-0000-0000-00006A080000}"/>
    <cellStyle name="_신태백(가실행)_합덕-신례원(2공구)투찰_왜관-태평건설" xfId="755" xr:uid="{00000000-0005-0000-0000-0000F3020000}"/>
    <cellStyle name="_신태백(가실행)_합덕-신례원(2공구)투찰_왜관-태평건설 2" xfId="2155" xr:uid="{00000000-0005-0000-0000-00006B080000}"/>
    <cellStyle name="_신태백(가실행)_합덕-신례원(2공구)투찰_합덕-신례원(2공구)투찰" xfId="756" xr:uid="{00000000-0005-0000-0000-0000F4020000}"/>
    <cellStyle name="_신태백(가실행)_합덕-신례원(2공구)투찰_합덕-신례원(2공구)투찰 2" xfId="2156" xr:uid="{00000000-0005-0000-0000-00006C080000}"/>
    <cellStyle name="_신태백(가실행)_합덕-신례원(2공구)투찰_합덕-신례원(2공구)투찰_경찰서-터미널간도로(투찰)②" xfId="757" xr:uid="{00000000-0005-0000-0000-0000F5020000}"/>
    <cellStyle name="_신태백(가실행)_합덕-신례원(2공구)투찰_합덕-신례원(2공구)투찰_경찰서-터미널간도로(투찰)② 2" xfId="2157" xr:uid="{00000000-0005-0000-0000-00006D080000}"/>
    <cellStyle name="_신태백(가실행)_합덕-신례원(2공구)투찰_합덕-신례원(2공구)투찰_경찰서-터미널간도로(투찰)②_마현생창(동양고속)" xfId="758" xr:uid="{00000000-0005-0000-0000-0000F6020000}"/>
    <cellStyle name="_신태백(가실행)_합덕-신례원(2공구)투찰_합덕-신례원(2공구)투찰_경찰서-터미널간도로(투찰)②_마현생창(동양고속) 2" xfId="2158" xr:uid="{00000000-0005-0000-0000-00006E080000}"/>
    <cellStyle name="_신태백(가실행)_합덕-신례원(2공구)투찰_합덕-신례원(2공구)투찰_경찰서-터미널간도로(투찰)②_마현생창(동양고속)_왜관-태평건설" xfId="759" xr:uid="{00000000-0005-0000-0000-0000F7020000}"/>
    <cellStyle name="_신태백(가실행)_합덕-신례원(2공구)투찰_합덕-신례원(2공구)투찰_경찰서-터미널간도로(투찰)②_마현생창(동양고속)_왜관-태평건설 2" xfId="2159" xr:uid="{00000000-0005-0000-0000-00006F080000}"/>
    <cellStyle name="_신태백(가실행)_합덕-신례원(2공구)투찰_합덕-신례원(2공구)투찰_경찰서-터미널간도로(투찰)②_왜관-태평건설" xfId="760" xr:uid="{00000000-0005-0000-0000-0000F8020000}"/>
    <cellStyle name="_신태백(가실행)_합덕-신례원(2공구)투찰_합덕-신례원(2공구)투찰_경찰서-터미널간도로(투찰)②_왜관-태평건설 2" xfId="2160" xr:uid="{00000000-0005-0000-0000-000070080000}"/>
    <cellStyle name="_신태백(가실행)_합덕-신례원(2공구)투찰_합덕-신례원(2공구)투찰_마현생창(동양고속)" xfId="761" xr:uid="{00000000-0005-0000-0000-0000F9020000}"/>
    <cellStyle name="_신태백(가실행)_합덕-신례원(2공구)투찰_합덕-신례원(2공구)투찰_마현생창(동양고속) 2" xfId="2161" xr:uid="{00000000-0005-0000-0000-000071080000}"/>
    <cellStyle name="_신태백(가실행)_합덕-신례원(2공구)투찰_합덕-신례원(2공구)투찰_마현생창(동양고속)_왜관-태평건설" xfId="762" xr:uid="{00000000-0005-0000-0000-0000FA020000}"/>
    <cellStyle name="_신태백(가실행)_합덕-신례원(2공구)투찰_합덕-신례원(2공구)투찰_마현생창(동양고속)_왜관-태평건설 2" xfId="2162" xr:uid="{00000000-0005-0000-0000-000072080000}"/>
    <cellStyle name="_신태백(가실행)_합덕-신례원(2공구)투찰_합덕-신례원(2공구)투찰_봉무지방산업단지도로(투찰)②" xfId="763" xr:uid="{00000000-0005-0000-0000-0000FB020000}"/>
    <cellStyle name="_신태백(가실행)_합덕-신례원(2공구)투찰_합덕-신례원(2공구)투찰_봉무지방산업단지도로(투찰)② 2" xfId="2163" xr:uid="{00000000-0005-0000-0000-000073080000}"/>
    <cellStyle name="_신태백(가실행)_합덕-신례원(2공구)투찰_합덕-신례원(2공구)투찰_봉무지방산업단지도로(투찰)②_마현생창(동양고속)" xfId="764" xr:uid="{00000000-0005-0000-0000-0000FC020000}"/>
    <cellStyle name="_신태백(가실행)_합덕-신례원(2공구)투찰_합덕-신례원(2공구)투찰_봉무지방산업단지도로(투찰)②_마현생창(동양고속) 2" xfId="2164" xr:uid="{00000000-0005-0000-0000-000074080000}"/>
    <cellStyle name="_신태백(가실행)_합덕-신례원(2공구)투찰_합덕-신례원(2공구)투찰_봉무지방산업단지도로(투찰)②_마현생창(동양고속)_왜관-태평건설" xfId="765" xr:uid="{00000000-0005-0000-0000-0000FD020000}"/>
    <cellStyle name="_신태백(가실행)_합덕-신례원(2공구)투찰_합덕-신례원(2공구)투찰_봉무지방산업단지도로(투찰)②_마현생창(동양고속)_왜관-태평건설 2" xfId="2165" xr:uid="{00000000-0005-0000-0000-000075080000}"/>
    <cellStyle name="_신태백(가실행)_합덕-신례원(2공구)투찰_합덕-신례원(2공구)투찰_봉무지방산업단지도로(투찰)②_왜관-태평건설" xfId="766" xr:uid="{00000000-0005-0000-0000-0000FE020000}"/>
    <cellStyle name="_신태백(가실행)_합덕-신례원(2공구)투찰_합덕-신례원(2공구)투찰_봉무지방산업단지도로(투찰)②_왜관-태평건설 2" xfId="2166" xr:uid="{00000000-0005-0000-0000-000076080000}"/>
    <cellStyle name="_신태백(가실행)_합덕-신례원(2공구)투찰_합덕-신례원(2공구)투찰_봉무지방산업단지도로(투찰)②+0.250%" xfId="767" xr:uid="{00000000-0005-0000-0000-0000FF020000}"/>
    <cellStyle name="_신태백(가실행)_합덕-신례원(2공구)투찰_합덕-신례원(2공구)투찰_봉무지방산업단지도로(투찰)②+0.250% 2" xfId="2167" xr:uid="{00000000-0005-0000-0000-000077080000}"/>
    <cellStyle name="_신태백(가실행)_합덕-신례원(2공구)투찰_합덕-신례원(2공구)투찰_봉무지방산업단지도로(투찰)②+0.250%_마현생창(동양고속)" xfId="768" xr:uid="{00000000-0005-0000-0000-000000030000}"/>
    <cellStyle name="_신태백(가실행)_합덕-신례원(2공구)투찰_합덕-신례원(2공구)투찰_봉무지방산업단지도로(투찰)②+0.250%_마현생창(동양고속) 2" xfId="2168" xr:uid="{00000000-0005-0000-0000-000078080000}"/>
    <cellStyle name="_신태백(가실행)_합덕-신례원(2공구)투찰_합덕-신례원(2공구)투찰_봉무지방산업단지도로(투찰)②+0.250%_마현생창(동양고속)_왜관-태평건설" xfId="769" xr:uid="{00000000-0005-0000-0000-000001030000}"/>
    <cellStyle name="_신태백(가실행)_합덕-신례원(2공구)투찰_합덕-신례원(2공구)투찰_봉무지방산업단지도로(투찰)②+0.250%_마현생창(동양고속)_왜관-태평건설 2" xfId="2169" xr:uid="{00000000-0005-0000-0000-000079080000}"/>
    <cellStyle name="_신태백(가실행)_합덕-신례원(2공구)투찰_합덕-신례원(2공구)투찰_봉무지방산업단지도로(투찰)②+0.250%_왜관-태평건설" xfId="770" xr:uid="{00000000-0005-0000-0000-000002030000}"/>
    <cellStyle name="_신태백(가실행)_합덕-신례원(2공구)투찰_합덕-신례원(2공구)투찰_봉무지방산업단지도로(투찰)②+0.250%_왜관-태평건설 2" xfId="2170" xr:uid="{00000000-0005-0000-0000-00007A080000}"/>
    <cellStyle name="_신태백(가실행)_합덕-신례원(2공구)투찰_합덕-신례원(2공구)투찰_왜관-태평건설" xfId="771" xr:uid="{00000000-0005-0000-0000-000003030000}"/>
    <cellStyle name="_신태백(가실행)_합덕-신례원(2공구)투찰_합덕-신례원(2공구)투찰_왜관-태평건설 2" xfId="2171" xr:uid="{00000000-0005-0000-0000-00007B080000}"/>
    <cellStyle name="_신태백(투찰내역)2" xfId="772" xr:uid="{00000000-0005-0000-0000-000004030000}"/>
    <cellStyle name="_실행예산" xfId="773" xr:uid="{00000000-0005-0000-0000-000005030000}"/>
    <cellStyle name="_안산부대(투찰)⑤" xfId="774" xr:uid="{00000000-0005-0000-0000-000006030000}"/>
    <cellStyle name="_안산부대(투찰)⑤ 2" xfId="2172" xr:uid="{00000000-0005-0000-0000-00007C080000}"/>
    <cellStyle name="_안산부대(투찰)⑤_경찰서-터미널간도로(투찰)②" xfId="775" xr:uid="{00000000-0005-0000-0000-000007030000}"/>
    <cellStyle name="_안산부대(투찰)⑤_경찰서-터미널간도로(투찰)② 2" xfId="2173" xr:uid="{00000000-0005-0000-0000-00007D080000}"/>
    <cellStyle name="_안산부대(투찰)⑤_경찰서-터미널간도로(투찰)②_마현생창(동양고속)" xfId="776" xr:uid="{00000000-0005-0000-0000-000008030000}"/>
    <cellStyle name="_안산부대(투찰)⑤_경찰서-터미널간도로(투찰)②_마현생창(동양고속) 2" xfId="2174" xr:uid="{00000000-0005-0000-0000-00007E080000}"/>
    <cellStyle name="_안산부대(투찰)⑤_경찰서-터미널간도로(투찰)②_마현생창(동양고속)_왜관-태평건설" xfId="777" xr:uid="{00000000-0005-0000-0000-000009030000}"/>
    <cellStyle name="_안산부대(투찰)⑤_경찰서-터미널간도로(투찰)②_마현생창(동양고속)_왜관-태평건설 2" xfId="2175" xr:uid="{00000000-0005-0000-0000-00007F080000}"/>
    <cellStyle name="_안산부대(투찰)⑤_경찰서-터미널간도로(투찰)②_왜관-태평건설" xfId="778" xr:uid="{00000000-0005-0000-0000-00000A030000}"/>
    <cellStyle name="_안산부대(투찰)⑤_경찰서-터미널간도로(투찰)②_왜관-태평건설 2" xfId="2176" xr:uid="{00000000-0005-0000-0000-000080080000}"/>
    <cellStyle name="_안산부대(투찰)⑤_마현생창(동양고속)" xfId="779" xr:uid="{00000000-0005-0000-0000-00000B030000}"/>
    <cellStyle name="_안산부대(투찰)⑤_마현생창(동양고속) 2" xfId="2177" xr:uid="{00000000-0005-0000-0000-000081080000}"/>
    <cellStyle name="_안산부대(투찰)⑤_마현생창(동양고속)_왜관-태평건설" xfId="780" xr:uid="{00000000-0005-0000-0000-00000C030000}"/>
    <cellStyle name="_안산부대(투찰)⑤_마현생창(동양고속)_왜관-태평건설 2" xfId="2178" xr:uid="{00000000-0005-0000-0000-000082080000}"/>
    <cellStyle name="_안산부대(투찰)⑤_봉무지방산업단지도로(투찰)②" xfId="781" xr:uid="{00000000-0005-0000-0000-00000D030000}"/>
    <cellStyle name="_안산부대(투찰)⑤_봉무지방산업단지도로(투찰)② 2" xfId="2179" xr:uid="{00000000-0005-0000-0000-000083080000}"/>
    <cellStyle name="_안산부대(투찰)⑤_봉무지방산업단지도로(투찰)②_마현생창(동양고속)" xfId="782" xr:uid="{00000000-0005-0000-0000-00000E030000}"/>
    <cellStyle name="_안산부대(투찰)⑤_봉무지방산업단지도로(투찰)②_마현생창(동양고속) 2" xfId="2180" xr:uid="{00000000-0005-0000-0000-000084080000}"/>
    <cellStyle name="_안산부대(투찰)⑤_봉무지방산업단지도로(투찰)②_마현생창(동양고속)_왜관-태평건설" xfId="783" xr:uid="{00000000-0005-0000-0000-00000F030000}"/>
    <cellStyle name="_안산부대(투찰)⑤_봉무지방산업단지도로(투찰)②_마현생창(동양고속)_왜관-태평건설 2" xfId="2181" xr:uid="{00000000-0005-0000-0000-000085080000}"/>
    <cellStyle name="_안산부대(투찰)⑤_봉무지방산업단지도로(투찰)②_왜관-태평건설" xfId="784" xr:uid="{00000000-0005-0000-0000-000010030000}"/>
    <cellStyle name="_안산부대(투찰)⑤_봉무지방산업단지도로(투찰)②_왜관-태평건설 2" xfId="2182" xr:uid="{00000000-0005-0000-0000-000086080000}"/>
    <cellStyle name="_안산부대(투찰)⑤_봉무지방산업단지도로(투찰)②+0.250%" xfId="785" xr:uid="{00000000-0005-0000-0000-000011030000}"/>
    <cellStyle name="_안산부대(투찰)⑤_봉무지방산업단지도로(투찰)②+0.250% 2" xfId="2183" xr:uid="{00000000-0005-0000-0000-000087080000}"/>
    <cellStyle name="_안산부대(투찰)⑤_봉무지방산업단지도로(투찰)②+0.250%_마현생창(동양고속)" xfId="786" xr:uid="{00000000-0005-0000-0000-000012030000}"/>
    <cellStyle name="_안산부대(투찰)⑤_봉무지방산업단지도로(투찰)②+0.250%_마현생창(동양고속) 2" xfId="2184" xr:uid="{00000000-0005-0000-0000-000088080000}"/>
    <cellStyle name="_안산부대(투찰)⑤_봉무지방산업단지도로(투찰)②+0.250%_마현생창(동양고속)_왜관-태평건설" xfId="787" xr:uid="{00000000-0005-0000-0000-000013030000}"/>
    <cellStyle name="_안산부대(투찰)⑤_봉무지방산업단지도로(투찰)②+0.250%_마현생창(동양고속)_왜관-태평건설 2" xfId="2185" xr:uid="{00000000-0005-0000-0000-000089080000}"/>
    <cellStyle name="_안산부대(투찰)⑤_봉무지방산업단지도로(투찰)②+0.250%_왜관-태평건설" xfId="788" xr:uid="{00000000-0005-0000-0000-000014030000}"/>
    <cellStyle name="_안산부대(투찰)⑤_봉무지방산업단지도로(투찰)②+0.250%_왜관-태평건설 2" xfId="2186" xr:uid="{00000000-0005-0000-0000-00008A080000}"/>
    <cellStyle name="_안산부대(투찰)⑤_왜관-태평건설" xfId="789" xr:uid="{00000000-0005-0000-0000-000015030000}"/>
    <cellStyle name="_안산부대(투찰)⑤_왜관-태평건설 2" xfId="2187" xr:uid="{00000000-0005-0000-0000-00008B080000}"/>
    <cellStyle name="_안산부대(투찰)⑤_합덕-신례원(2공구)투찰" xfId="790" xr:uid="{00000000-0005-0000-0000-000016030000}"/>
    <cellStyle name="_안산부대(투찰)⑤_합덕-신례원(2공구)투찰 2" xfId="2188" xr:uid="{00000000-0005-0000-0000-00008C080000}"/>
    <cellStyle name="_안산부대(투찰)⑤_합덕-신례원(2공구)투찰_경찰서-터미널간도로(투찰)②" xfId="791" xr:uid="{00000000-0005-0000-0000-000017030000}"/>
    <cellStyle name="_안산부대(투찰)⑤_합덕-신례원(2공구)투찰_경찰서-터미널간도로(투찰)② 2" xfId="2189" xr:uid="{00000000-0005-0000-0000-00008D080000}"/>
    <cellStyle name="_안산부대(투찰)⑤_합덕-신례원(2공구)투찰_경찰서-터미널간도로(투찰)②_마현생창(동양고속)" xfId="792" xr:uid="{00000000-0005-0000-0000-000018030000}"/>
    <cellStyle name="_안산부대(투찰)⑤_합덕-신례원(2공구)투찰_경찰서-터미널간도로(투찰)②_마현생창(동양고속) 2" xfId="2190" xr:uid="{00000000-0005-0000-0000-00008E080000}"/>
    <cellStyle name="_안산부대(투찰)⑤_합덕-신례원(2공구)투찰_경찰서-터미널간도로(투찰)②_마현생창(동양고속)_왜관-태평건설" xfId="793" xr:uid="{00000000-0005-0000-0000-000019030000}"/>
    <cellStyle name="_안산부대(투찰)⑤_합덕-신례원(2공구)투찰_경찰서-터미널간도로(투찰)②_마현생창(동양고속)_왜관-태평건설 2" xfId="2191" xr:uid="{00000000-0005-0000-0000-00008F080000}"/>
    <cellStyle name="_안산부대(투찰)⑤_합덕-신례원(2공구)투찰_경찰서-터미널간도로(투찰)②_왜관-태평건설" xfId="794" xr:uid="{00000000-0005-0000-0000-00001A030000}"/>
    <cellStyle name="_안산부대(투찰)⑤_합덕-신례원(2공구)투찰_경찰서-터미널간도로(투찰)②_왜관-태평건설 2" xfId="2192" xr:uid="{00000000-0005-0000-0000-000090080000}"/>
    <cellStyle name="_안산부대(투찰)⑤_합덕-신례원(2공구)투찰_마현생창(동양고속)" xfId="795" xr:uid="{00000000-0005-0000-0000-00001B030000}"/>
    <cellStyle name="_안산부대(투찰)⑤_합덕-신례원(2공구)투찰_마현생창(동양고속) 2" xfId="2193" xr:uid="{00000000-0005-0000-0000-000091080000}"/>
    <cellStyle name="_안산부대(투찰)⑤_합덕-신례원(2공구)투찰_마현생창(동양고속)_왜관-태평건설" xfId="796" xr:uid="{00000000-0005-0000-0000-00001C030000}"/>
    <cellStyle name="_안산부대(투찰)⑤_합덕-신례원(2공구)투찰_마현생창(동양고속)_왜관-태평건설 2" xfId="2194" xr:uid="{00000000-0005-0000-0000-000092080000}"/>
    <cellStyle name="_안산부대(투찰)⑤_합덕-신례원(2공구)투찰_봉무지방산업단지도로(투찰)②" xfId="797" xr:uid="{00000000-0005-0000-0000-00001D030000}"/>
    <cellStyle name="_안산부대(투찰)⑤_합덕-신례원(2공구)투찰_봉무지방산업단지도로(투찰)② 2" xfId="2195" xr:uid="{00000000-0005-0000-0000-000093080000}"/>
    <cellStyle name="_안산부대(투찰)⑤_합덕-신례원(2공구)투찰_봉무지방산업단지도로(투찰)②_마현생창(동양고속)" xfId="798" xr:uid="{00000000-0005-0000-0000-00001E030000}"/>
    <cellStyle name="_안산부대(투찰)⑤_합덕-신례원(2공구)투찰_봉무지방산업단지도로(투찰)②_마현생창(동양고속) 2" xfId="2196" xr:uid="{00000000-0005-0000-0000-000094080000}"/>
    <cellStyle name="_안산부대(투찰)⑤_합덕-신례원(2공구)투찰_봉무지방산업단지도로(투찰)②_마현생창(동양고속)_왜관-태평건설" xfId="799" xr:uid="{00000000-0005-0000-0000-00001F030000}"/>
    <cellStyle name="_안산부대(투찰)⑤_합덕-신례원(2공구)투찰_봉무지방산업단지도로(투찰)②_마현생창(동양고속)_왜관-태평건설 2" xfId="2197" xr:uid="{00000000-0005-0000-0000-000095080000}"/>
    <cellStyle name="_안산부대(투찰)⑤_합덕-신례원(2공구)투찰_봉무지방산업단지도로(투찰)②_왜관-태평건설" xfId="800" xr:uid="{00000000-0005-0000-0000-000020030000}"/>
    <cellStyle name="_안산부대(투찰)⑤_합덕-신례원(2공구)투찰_봉무지방산업단지도로(투찰)②_왜관-태평건설 2" xfId="2198" xr:uid="{00000000-0005-0000-0000-000096080000}"/>
    <cellStyle name="_안산부대(투찰)⑤_합덕-신례원(2공구)투찰_봉무지방산업단지도로(투찰)②+0.250%" xfId="801" xr:uid="{00000000-0005-0000-0000-000021030000}"/>
    <cellStyle name="_안산부대(투찰)⑤_합덕-신례원(2공구)투찰_봉무지방산업단지도로(투찰)②+0.250% 2" xfId="2199" xr:uid="{00000000-0005-0000-0000-000097080000}"/>
    <cellStyle name="_안산부대(투찰)⑤_합덕-신례원(2공구)투찰_봉무지방산업단지도로(투찰)②+0.250%_마현생창(동양고속)" xfId="802" xr:uid="{00000000-0005-0000-0000-000022030000}"/>
    <cellStyle name="_안산부대(투찰)⑤_합덕-신례원(2공구)투찰_봉무지방산업단지도로(투찰)②+0.250%_마현생창(동양고속) 2" xfId="2200" xr:uid="{00000000-0005-0000-0000-000098080000}"/>
    <cellStyle name="_안산부대(투찰)⑤_합덕-신례원(2공구)투찰_봉무지방산업단지도로(투찰)②+0.250%_마현생창(동양고속)_왜관-태평건설" xfId="803" xr:uid="{00000000-0005-0000-0000-000023030000}"/>
    <cellStyle name="_안산부대(투찰)⑤_합덕-신례원(2공구)투찰_봉무지방산업단지도로(투찰)②+0.250%_마현생창(동양고속)_왜관-태평건설 2" xfId="2201" xr:uid="{00000000-0005-0000-0000-000099080000}"/>
    <cellStyle name="_안산부대(투찰)⑤_합덕-신례원(2공구)투찰_봉무지방산업단지도로(투찰)②+0.250%_왜관-태평건설" xfId="804" xr:uid="{00000000-0005-0000-0000-000024030000}"/>
    <cellStyle name="_안산부대(투찰)⑤_합덕-신례원(2공구)투찰_봉무지방산업단지도로(투찰)②+0.250%_왜관-태평건설 2" xfId="2202" xr:uid="{00000000-0005-0000-0000-00009A080000}"/>
    <cellStyle name="_안산부대(투찰)⑤_합덕-신례원(2공구)투찰_왜관-태평건설" xfId="805" xr:uid="{00000000-0005-0000-0000-000025030000}"/>
    <cellStyle name="_안산부대(투찰)⑤_합덕-신례원(2공구)투찰_왜관-태평건설 2" xfId="2203" xr:uid="{00000000-0005-0000-0000-00009B080000}"/>
    <cellStyle name="_안산부대(투찰)⑤_합덕-신례원(2공구)투찰_합덕-신례원(2공구)투찰" xfId="806" xr:uid="{00000000-0005-0000-0000-000026030000}"/>
    <cellStyle name="_안산부대(투찰)⑤_합덕-신례원(2공구)투찰_합덕-신례원(2공구)투찰 2" xfId="2204" xr:uid="{00000000-0005-0000-0000-00009C080000}"/>
    <cellStyle name="_안산부대(투찰)⑤_합덕-신례원(2공구)투찰_합덕-신례원(2공구)투찰_경찰서-터미널간도로(투찰)②" xfId="807" xr:uid="{00000000-0005-0000-0000-000027030000}"/>
    <cellStyle name="_안산부대(투찰)⑤_합덕-신례원(2공구)투찰_합덕-신례원(2공구)투찰_경찰서-터미널간도로(투찰)② 2" xfId="2205" xr:uid="{00000000-0005-0000-0000-00009D080000}"/>
    <cellStyle name="_안산부대(투찰)⑤_합덕-신례원(2공구)투찰_합덕-신례원(2공구)투찰_경찰서-터미널간도로(투찰)②_마현생창(동양고속)" xfId="808" xr:uid="{00000000-0005-0000-0000-000028030000}"/>
    <cellStyle name="_안산부대(투찰)⑤_합덕-신례원(2공구)투찰_합덕-신례원(2공구)투찰_경찰서-터미널간도로(투찰)②_마현생창(동양고속) 2" xfId="2206" xr:uid="{00000000-0005-0000-0000-00009E080000}"/>
    <cellStyle name="_안산부대(투찰)⑤_합덕-신례원(2공구)투찰_합덕-신례원(2공구)투찰_경찰서-터미널간도로(투찰)②_마현생창(동양고속)_왜관-태평건설" xfId="809" xr:uid="{00000000-0005-0000-0000-000029030000}"/>
    <cellStyle name="_안산부대(투찰)⑤_합덕-신례원(2공구)투찰_합덕-신례원(2공구)투찰_경찰서-터미널간도로(투찰)②_마현생창(동양고속)_왜관-태평건설 2" xfId="2207" xr:uid="{00000000-0005-0000-0000-00009F080000}"/>
    <cellStyle name="_안산부대(투찰)⑤_합덕-신례원(2공구)투찰_합덕-신례원(2공구)투찰_경찰서-터미널간도로(투찰)②_왜관-태평건설" xfId="810" xr:uid="{00000000-0005-0000-0000-00002A030000}"/>
    <cellStyle name="_안산부대(투찰)⑤_합덕-신례원(2공구)투찰_합덕-신례원(2공구)투찰_경찰서-터미널간도로(투찰)②_왜관-태평건설 2" xfId="2208" xr:uid="{00000000-0005-0000-0000-0000A0080000}"/>
    <cellStyle name="_안산부대(투찰)⑤_합덕-신례원(2공구)투찰_합덕-신례원(2공구)투찰_마현생창(동양고속)" xfId="811" xr:uid="{00000000-0005-0000-0000-00002B030000}"/>
    <cellStyle name="_안산부대(투찰)⑤_합덕-신례원(2공구)투찰_합덕-신례원(2공구)투찰_마현생창(동양고속) 2" xfId="2209" xr:uid="{00000000-0005-0000-0000-0000A1080000}"/>
    <cellStyle name="_안산부대(투찰)⑤_합덕-신례원(2공구)투찰_합덕-신례원(2공구)투찰_마현생창(동양고속)_왜관-태평건설" xfId="812" xr:uid="{00000000-0005-0000-0000-00002C030000}"/>
    <cellStyle name="_안산부대(투찰)⑤_합덕-신례원(2공구)투찰_합덕-신례원(2공구)투찰_마현생창(동양고속)_왜관-태평건설 2" xfId="2210" xr:uid="{00000000-0005-0000-0000-0000A2080000}"/>
    <cellStyle name="_안산부대(투찰)⑤_합덕-신례원(2공구)투찰_합덕-신례원(2공구)투찰_봉무지방산업단지도로(투찰)②" xfId="813" xr:uid="{00000000-0005-0000-0000-00002D030000}"/>
    <cellStyle name="_안산부대(투찰)⑤_합덕-신례원(2공구)투찰_합덕-신례원(2공구)투찰_봉무지방산업단지도로(투찰)② 2" xfId="2211" xr:uid="{00000000-0005-0000-0000-0000A3080000}"/>
    <cellStyle name="_안산부대(투찰)⑤_합덕-신례원(2공구)투찰_합덕-신례원(2공구)투찰_봉무지방산업단지도로(투찰)②_마현생창(동양고속)" xfId="814" xr:uid="{00000000-0005-0000-0000-00002E030000}"/>
    <cellStyle name="_안산부대(투찰)⑤_합덕-신례원(2공구)투찰_합덕-신례원(2공구)투찰_봉무지방산업단지도로(투찰)②_마현생창(동양고속) 2" xfId="2212" xr:uid="{00000000-0005-0000-0000-0000A4080000}"/>
    <cellStyle name="_안산부대(투찰)⑤_합덕-신례원(2공구)투찰_합덕-신례원(2공구)투찰_봉무지방산업단지도로(투찰)②_마현생창(동양고속)_왜관-태평건설" xfId="815" xr:uid="{00000000-0005-0000-0000-00002F030000}"/>
    <cellStyle name="_안산부대(투찰)⑤_합덕-신례원(2공구)투찰_합덕-신례원(2공구)투찰_봉무지방산업단지도로(투찰)②_마현생창(동양고속)_왜관-태평건설 2" xfId="2213" xr:uid="{00000000-0005-0000-0000-0000A5080000}"/>
    <cellStyle name="_안산부대(투찰)⑤_합덕-신례원(2공구)투찰_합덕-신례원(2공구)투찰_봉무지방산업단지도로(투찰)②_왜관-태평건설" xfId="816" xr:uid="{00000000-0005-0000-0000-000030030000}"/>
    <cellStyle name="_안산부대(투찰)⑤_합덕-신례원(2공구)투찰_합덕-신례원(2공구)투찰_봉무지방산업단지도로(투찰)②_왜관-태평건설 2" xfId="2214" xr:uid="{00000000-0005-0000-0000-0000A6080000}"/>
    <cellStyle name="_안산부대(투찰)⑤_합덕-신례원(2공구)투찰_합덕-신례원(2공구)투찰_봉무지방산업단지도로(투찰)②+0.250%" xfId="817" xr:uid="{00000000-0005-0000-0000-000031030000}"/>
    <cellStyle name="_안산부대(투찰)⑤_합덕-신례원(2공구)투찰_합덕-신례원(2공구)투찰_봉무지방산업단지도로(투찰)②+0.250% 2" xfId="2215" xr:uid="{00000000-0005-0000-0000-0000A7080000}"/>
    <cellStyle name="_안산부대(투찰)⑤_합덕-신례원(2공구)투찰_합덕-신례원(2공구)투찰_봉무지방산업단지도로(투찰)②+0.250%_마현생창(동양고속)" xfId="818" xr:uid="{00000000-0005-0000-0000-000032030000}"/>
    <cellStyle name="_안산부대(투찰)⑤_합덕-신례원(2공구)투찰_합덕-신례원(2공구)투찰_봉무지방산업단지도로(투찰)②+0.250%_마현생창(동양고속) 2" xfId="2216" xr:uid="{00000000-0005-0000-0000-0000A8080000}"/>
    <cellStyle name="_안산부대(투찰)⑤_합덕-신례원(2공구)투찰_합덕-신례원(2공구)투찰_봉무지방산업단지도로(투찰)②+0.250%_마현생창(동양고속)_왜관-태평건설" xfId="819" xr:uid="{00000000-0005-0000-0000-000033030000}"/>
    <cellStyle name="_안산부대(투찰)⑤_합덕-신례원(2공구)투찰_합덕-신례원(2공구)투찰_봉무지방산업단지도로(투찰)②+0.250%_마현생창(동양고속)_왜관-태평건설 2" xfId="2217" xr:uid="{00000000-0005-0000-0000-0000A9080000}"/>
    <cellStyle name="_안산부대(투찰)⑤_합덕-신례원(2공구)투찰_합덕-신례원(2공구)투찰_봉무지방산업단지도로(투찰)②+0.250%_왜관-태평건설" xfId="820" xr:uid="{00000000-0005-0000-0000-000034030000}"/>
    <cellStyle name="_안산부대(투찰)⑤_합덕-신례원(2공구)투찰_합덕-신례원(2공구)투찰_봉무지방산업단지도로(투찰)②+0.250%_왜관-태평건설 2" xfId="2218" xr:uid="{00000000-0005-0000-0000-0000AA080000}"/>
    <cellStyle name="_안산부대(투찰)⑤_합덕-신례원(2공구)투찰_합덕-신례원(2공구)투찰_왜관-태평건설" xfId="821" xr:uid="{00000000-0005-0000-0000-000035030000}"/>
    <cellStyle name="_안산부대(투찰)⑤_합덕-신례원(2공구)투찰_합덕-신례원(2공구)투찰_왜관-태평건설 2" xfId="2219" xr:uid="{00000000-0005-0000-0000-0000AB080000}"/>
    <cellStyle name="_양곡부두(투찰)+0.30%" xfId="822" xr:uid="{00000000-0005-0000-0000-000036030000}"/>
    <cellStyle name="_양양상수도공내역서" xfId="823" xr:uid="{00000000-0005-0000-0000-000037030000}"/>
    <cellStyle name="_우" xfId="824" xr:uid="{00000000-0005-0000-0000-000038030000}"/>
    <cellStyle name="_우 2" xfId="2220" xr:uid="{00000000-0005-0000-0000-0000AC080000}"/>
    <cellStyle name="_우_광주평동투찰" xfId="825" xr:uid="{00000000-0005-0000-0000-000039030000}"/>
    <cellStyle name="_우_광주평동투찰 2" xfId="2221" xr:uid="{00000000-0005-0000-0000-0000AD080000}"/>
    <cellStyle name="_우_광주평동품의1" xfId="826" xr:uid="{00000000-0005-0000-0000-00003A030000}"/>
    <cellStyle name="_우_광주평동품의1 2" xfId="2222" xr:uid="{00000000-0005-0000-0000-0000AE080000}"/>
    <cellStyle name="_우_송학하수품의(설계넣고)" xfId="827" xr:uid="{00000000-0005-0000-0000-00003B030000}"/>
    <cellStyle name="_우_송학하수품의(설계넣고) 2" xfId="2223" xr:uid="{00000000-0005-0000-0000-0000AF080000}"/>
    <cellStyle name="_우_우주센터투찰" xfId="828" xr:uid="{00000000-0005-0000-0000-00003C030000}"/>
    <cellStyle name="_우_우주센터투찰 2" xfId="2224" xr:uid="{00000000-0005-0000-0000-0000B0080000}"/>
    <cellStyle name="_우_우주센터투찰_광주평동투찰" xfId="829" xr:uid="{00000000-0005-0000-0000-00003D030000}"/>
    <cellStyle name="_우_우주센터투찰_광주평동투찰 2" xfId="2225" xr:uid="{00000000-0005-0000-0000-0000B1080000}"/>
    <cellStyle name="_우_우주센터투찰_광주평동품의1" xfId="830" xr:uid="{00000000-0005-0000-0000-00003E030000}"/>
    <cellStyle name="_우_우주센터투찰_광주평동품의1 2" xfId="2226" xr:uid="{00000000-0005-0000-0000-0000B2080000}"/>
    <cellStyle name="_우_우주센터투찰_송학하수품의(설계넣고)" xfId="831" xr:uid="{00000000-0005-0000-0000-00003F030000}"/>
    <cellStyle name="_우_우주센터투찰_송학하수품의(설계넣고) 2" xfId="2227" xr:uid="{00000000-0005-0000-0000-0000B3080000}"/>
    <cellStyle name="_우주센" xfId="832" xr:uid="{00000000-0005-0000-0000-000040030000}"/>
    <cellStyle name="_우주센 2" xfId="2228" xr:uid="{00000000-0005-0000-0000-0000B4080000}"/>
    <cellStyle name="_우주센_광주평동투찰" xfId="833" xr:uid="{00000000-0005-0000-0000-000041030000}"/>
    <cellStyle name="_우주센_광주평동투찰 2" xfId="2229" xr:uid="{00000000-0005-0000-0000-0000B5080000}"/>
    <cellStyle name="_우주센_광주평동품의1" xfId="834" xr:uid="{00000000-0005-0000-0000-000042030000}"/>
    <cellStyle name="_우주센_광주평동품의1 2" xfId="2230" xr:uid="{00000000-0005-0000-0000-0000B6080000}"/>
    <cellStyle name="_우주센_송학하수품의(설계넣고)" xfId="835" xr:uid="{00000000-0005-0000-0000-000043030000}"/>
    <cellStyle name="_우주센_송학하수품의(설계넣고) 2" xfId="2231" xr:uid="{00000000-0005-0000-0000-0000B7080000}"/>
    <cellStyle name="_우주센_우주센터투찰" xfId="836" xr:uid="{00000000-0005-0000-0000-000044030000}"/>
    <cellStyle name="_우주센_우주센터투찰 2" xfId="2232" xr:uid="{00000000-0005-0000-0000-0000B8080000}"/>
    <cellStyle name="_우주센_우주센터투찰_광주평동투찰" xfId="837" xr:uid="{00000000-0005-0000-0000-000045030000}"/>
    <cellStyle name="_우주센_우주센터투찰_광주평동투찰 2" xfId="2233" xr:uid="{00000000-0005-0000-0000-0000B9080000}"/>
    <cellStyle name="_우주센_우주센터투찰_광주평동품의1" xfId="838" xr:uid="{00000000-0005-0000-0000-000046030000}"/>
    <cellStyle name="_우주센_우주센터투찰_광주평동품의1 2" xfId="2234" xr:uid="{00000000-0005-0000-0000-0000BA080000}"/>
    <cellStyle name="_우주센_우주센터투찰_송학하수품의(설계넣고)" xfId="839" xr:uid="{00000000-0005-0000-0000-000047030000}"/>
    <cellStyle name="_우주센_우주센터투찰_송학하수품의(설계넣고) 2" xfId="2235" xr:uid="{00000000-0005-0000-0000-0000BB080000}"/>
    <cellStyle name="_유치투찰" xfId="840" xr:uid="{00000000-0005-0000-0000-000048030000}"/>
    <cellStyle name="_유치투찰 2" xfId="2236" xr:uid="{00000000-0005-0000-0000-0000BC080000}"/>
    <cellStyle name="_유치투찰_왜관-태평건설" xfId="841" xr:uid="{00000000-0005-0000-0000-000049030000}"/>
    <cellStyle name="_유치투찰_왜관-태평건설 2" xfId="2237" xr:uid="{00000000-0005-0000-0000-0000BD080000}"/>
    <cellStyle name="_이양능주(2공구)bid전기" xfId="842" xr:uid="{00000000-0005-0000-0000-00004A030000}"/>
    <cellStyle name="_이양능주(2공구)bid전기 2" xfId="2238" xr:uid="{00000000-0005-0000-0000-0000BE080000}"/>
    <cellStyle name="_인원계획표 " xfId="843" xr:uid="{00000000-0005-0000-0000-00004B030000}"/>
    <cellStyle name="_인원계획표  2" xfId="2239" xr:uid="{00000000-0005-0000-0000-0000BF080000}"/>
    <cellStyle name="_인원계획표 _광주평동투찰" xfId="844" xr:uid="{00000000-0005-0000-0000-00004C030000}"/>
    <cellStyle name="_인원계획표 _광주평동투찰 2" xfId="2240" xr:uid="{00000000-0005-0000-0000-0000C0080000}"/>
    <cellStyle name="_인원계획표 _광주평동품의1" xfId="845" xr:uid="{00000000-0005-0000-0000-00004D030000}"/>
    <cellStyle name="_인원계획표 _광주평동품의1 2" xfId="2241" xr:uid="{00000000-0005-0000-0000-0000C1080000}"/>
    <cellStyle name="_인원계획표 _송학하수품의(설계넣고)" xfId="846" xr:uid="{00000000-0005-0000-0000-00004E030000}"/>
    <cellStyle name="_인원계획표 _송학하수품의(설계넣고) 2" xfId="2242" xr:uid="{00000000-0005-0000-0000-0000C2080000}"/>
    <cellStyle name="_인원계획표 _적격 " xfId="847" xr:uid="{00000000-0005-0000-0000-00004F030000}"/>
    <cellStyle name="_인원계획표 _적격  2" xfId="2243" xr:uid="{00000000-0005-0000-0000-0000C3080000}"/>
    <cellStyle name="_인원계획표 _적격 _광주평동투찰" xfId="848" xr:uid="{00000000-0005-0000-0000-000050030000}"/>
    <cellStyle name="_인원계획표 _적격 _광주평동투찰 2" xfId="2244" xr:uid="{00000000-0005-0000-0000-0000C4080000}"/>
    <cellStyle name="_인원계획표 _적격 _광주평동품의1" xfId="849" xr:uid="{00000000-0005-0000-0000-000051030000}"/>
    <cellStyle name="_인원계획표 _적격 _광주평동품의1 2" xfId="2245" xr:uid="{00000000-0005-0000-0000-0000C5080000}"/>
    <cellStyle name="_인원계획표 _적격 _송학하수품의(설계넣고)" xfId="850" xr:uid="{00000000-0005-0000-0000-000052030000}"/>
    <cellStyle name="_인원계획표 _적격 _송학하수품의(설계넣고) 2" xfId="2246" xr:uid="{00000000-0005-0000-0000-0000C6080000}"/>
    <cellStyle name="_입찰표지 " xfId="851" xr:uid="{00000000-0005-0000-0000-000053030000}"/>
    <cellStyle name="_입찰표지  2" xfId="2247" xr:uid="{00000000-0005-0000-0000-0000C7080000}"/>
    <cellStyle name="_입찰표지 _광주평동투찰" xfId="852" xr:uid="{00000000-0005-0000-0000-000054030000}"/>
    <cellStyle name="_입찰표지 _광주평동투찰 2" xfId="2248" xr:uid="{00000000-0005-0000-0000-0000C8080000}"/>
    <cellStyle name="_입찰표지 _광주평동품의1" xfId="853" xr:uid="{00000000-0005-0000-0000-000055030000}"/>
    <cellStyle name="_입찰표지 _광주평동품의1 2" xfId="2249" xr:uid="{00000000-0005-0000-0000-0000C9080000}"/>
    <cellStyle name="_입찰표지 _송학하수품의(설계넣고)" xfId="854" xr:uid="{00000000-0005-0000-0000-000056030000}"/>
    <cellStyle name="_입찰표지 _송학하수품의(설계넣고) 2" xfId="2250" xr:uid="{00000000-0005-0000-0000-0000CA080000}"/>
    <cellStyle name="_장성IC투찰" xfId="855" xr:uid="{00000000-0005-0000-0000-000057030000}"/>
    <cellStyle name="_장성IC투찰 2" xfId="2251" xr:uid="{00000000-0005-0000-0000-0000CB080000}"/>
    <cellStyle name="_장성IC투찰_경찰서-터미널간도로(투찰)②" xfId="856" xr:uid="{00000000-0005-0000-0000-000058030000}"/>
    <cellStyle name="_장성IC투찰_경찰서-터미널간도로(투찰)② 2" xfId="2252" xr:uid="{00000000-0005-0000-0000-0000CC080000}"/>
    <cellStyle name="_장성IC투찰_경찰서-터미널간도로(투찰)②_마현생창(동양고속)" xfId="857" xr:uid="{00000000-0005-0000-0000-000059030000}"/>
    <cellStyle name="_장성IC투찰_경찰서-터미널간도로(투찰)②_마현생창(동양고속) 2" xfId="2253" xr:uid="{00000000-0005-0000-0000-0000CD080000}"/>
    <cellStyle name="_장성IC투찰_경찰서-터미널간도로(투찰)②_마현생창(동양고속)_왜관-태평건설" xfId="858" xr:uid="{00000000-0005-0000-0000-00005A030000}"/>
    <cellStyle name="_장성IC투찰_경찰서-터미널간도로(투찰)②_마현생창(동양고속)_왜관-태평건설 2" xfId="2254" xr:uid="{00000000-0005-0000-0000-0000CE080000}"/>
    <cellStyle name="_장성IC투찰_경찰서-터미널간도로(투찰)②_왜관-태평건설" xfId="859" xr:uid="{00000000-0005-0000-0000-00005B030000}"/>
    <cellStyle name="_장성IC투찰_경찰서-터미널간도로(투찰)②_왜관-태평건설 2" xfId="2255" xr:uid="{00000000-0005-0000-0000-0000CF080000}"/>
    <cellStyle name="_장성IC투찰_마현생창(동양고속)" xfId="860" xr:uid="{00000000-0005-0000-0000-00005C030000}"/>
    <cellStyle name="_장성IC투찰_마현생창(동양고속) 2" xfId="2256" xr:uid="{00000000-0005-0000-0000-0000D0080000}"/>
    <cellStyle name="_장성IC투찰_마현생창(동양고속)_왜관-태평건설" xfId="861" xr:uid="{00000000-0005-0000-0000-00005D030000}"/>
    <cellStyle name="_장성IC투찰_마현생창(동양고속)_왜관-태평건설 2" xfId="2257" xr:uid="{00000000-0005-0000-0000-0000D1080000}"/>
    <cellStyle name="_장성IC투찰_봉무지방산업단지도로(투찰)②" xfId="862" xr:uid="{00000000-0005-0000-0000-00005E030000}"/>
    <cellStyle name="_장성IC투찰_봉무지방산업단지도로(투찰)② 2" xfId="2258" xr:uid="{00000000-0005-0000-0000-0000D2080000}"/>
    <cellStyle name="_장성IC투찰_봉무지방산업단지도로(투찰)②_마현생창(동양고속)" xfId="863" xr:uid="{00000000-0005-0000-0000-00005F030000}"/>
    <cellStyle name="_장성IC투찰_봉무지방산업단지도로(투찰)②_마현생창(동양고속) 2" xfId="2259" xr:uid="{00000000-0005-0000-0000-0000D3080000}"/>
    <cellStyle name="_장성IC투찰_봉무지방산업단지도로(투찰)②_마현생창(동양고속)_왜관-태평건설" xfId="864" xr:uid="{00000000-0005-0000-0000-000060030000}"/>
    <cellStyle name="_장성IC투찰_봉무지방산업단지도로(투찰)②_마현생창(동양고속)_왜관-태평건설 2" xfId="2260" xr:uid="{00000000-0005-0000-0000-0000D4080000}"/>
    <cellStyle name="_장성IC투찰_봉무지방산업단지도로(투찰)②_왜관-태평건설" xfId="865" xr:uid="{00000000-0005-0000-0000-000061030000}"/>
    <cellStyle name="_장성IC투찰_봉무지방산업단지도로(투찰)②_왜관-태평건설 2" xfId="2261" xr:uid="{00000000-0005-0000-0000-0000D5080000}"/>
    <cellStyle name="_장성IC투찰_봉무지방산업단지도로(투찰)②+0.250%" xfId="866" xr:uid="{00000000-0005-0000-0000-000062030000}"/>
    <cellStyle name="_장성IC투찰_봉무지방산업단지도로(투찰)②+0.250% 2" xfId="2262" xr:uid="{00000000-0005-0000-0000-0000D6080000}"/>
    <cellStyle name="_장성IC투찰_봉무지방산업단지도로(투찰)②+0.250%_마현생창(동양고속)" xfId="867" xr:uid="{00000000-0005-0000-0000-000063030000}"/>
    <cellStyle name="_장성IC투찰_봉무지방산업단지도로(투찰)②+0.250%_마현생창(동양고속) 2" xfId="2263" xr:uid="{00000000-0005-0000-0000-0000D7080000}"/>
    <cellStyle name="_장성IC투찰_봉무지방산업단지도로(투찰)②+0.250%_마현생창(동양고속)_왜관-태평건설" xfId="868" xr:uid="{00000000-0005-0000-0000-000064030000}"/>
    <cellStyle name="_장성IC투찰_봉무지방산업단지도로(투찰)②+0.250%_마현생창(동양고속)_왜관-태평건설 2" xfId="2264" xr:uid="{00000000-0005-0000-0000-0000D8080000}"/>
    <cellStyle name="_장성IC투찰_봉무지방산업단지도로(투찰)②+0.250%_왜관-태평건설" xfId="869" xr:uid="{00000000-0005-0000-0000-000065030000}"/>
    <cellStyle name="_장성IC투찰_봉무지방산업단지도로(투찰)②+0.250%_왜관-태평건설 2" xfId="2265" xr:uid="{00000000-0005-0000-0000-0000D9080000}"/>
    <cellStyle name="_장성IC투찰_왜관-태평건설" xfId="870" xr:uid="{00000000-0005-0000-0000-000066030000}"/>
    <cellStyle name="_장성IC투찰_왜관-태평건설 2" xfId="2266" xr:uid="{00000000-0005-0000-0000-0000DA080000}"/>
    <cellStyle name="_장성IC투찰_합덕-신례원(2공구)투찰" xfId="871" xr:uid="{00000000-0005-0000-0000-000067030000}"/>
    <cellStyle name="_장성IC투찰_합덕-신례원(2공구)투찰 2" xfId="2267" xr:uid="{00000000-0005-0000-0000-0000DB080000}"/>
    <cellStyle name="_장성IC투찰_합덕-신례원(2공구)투찰_경찰서-터미널간도로(투찰)②" xfId="872" xr:uid="{00000000-0005-0000-0000-000068030000}"/>
    <cellStyle name="_장성IC투찰_합덕-신례원(2공구)투찰_경찰서-터미널간도로(투찰)② 2" xfId="2268" xr:uid="{00000000-0005-0000-0000-0000DC080000}"/>
    <cellStyle name="_장성IC투찰_합덕-신례원(2공구)투찰_경찰서-터미널간도로(투찰)②_마현생창(동양고속)" xfId="873" xr:uid="{00000000-0005-0000-0000-000069030000}"/>
    <cellStyle name="_장성IC투찰_합덕-신례원(2공구)투찰_경찰서-터미널간도로(투찰)②_마현생창(동양고속) 2" xfId="2269" xr:uid="{00000000-0005-0000-0000-0000DD080000}"/>
    <cellStyle name="_장성IC투찰_합덕-신례원(2공구)투찰_경찰서-터미널간도로(투찰)②_마현생창(동양고속)_왜관-태평건설" xfId="874" xr:uid="{00000000-0005-0000-0000-00006A030000}"/>
    <cellStyle name="_장성IC투찰_합덕-신례원(2공구)투찰_경찰서-터미널간도로(투찰)②_마현생창(동양고속)_왜관-태평건설 2" xfId="2270" xr:uid="{00000000-0005-0000-0000-0000DE080000}"/>
    <cellStyle name="_장성IC투찰_합덕-신례원(2공구)투찰_경찰서-터미널간도로(투찰)②_왜관-태평건설" xfId="875" xr:uid="{00000000-0005-0000-0000-00006B030000}"/>
    <cellStyle name="_장성IC투찰_합덕-신례원(2공구)투찰_경찰서-터미널간도로(투찰)②_왜관-태평건설 2" xfId="2271" xr:uid="{00000000-0005-0000-0000-0000DF080000}"/>
    <cellStyle name="_장성IC투찰_합덕-신례원(2공구)투찰_마현생창(동양고속)" xfId="876" xr:uid="{00000000-0005-0000-0000-00006C030000}"/>
    <cellStyle name="_장성IC투찰_합덕-신례원(2공구)투찰_마현생창(동양고속) 2" xfId="2272" xr:uid="{00000000-0005-0000-0000-0000E0080000}"/>
    <cellStyle name="_장성IC투찰_합덕-신례원(2공구)투찰_마현생창(동양고속)_왜관-태평건설" xfId="877" xr:uid="{00000000-0005-0000-0000-00006D030000}"/>
    <cellStyle name="_장성IC투찰_합덕-신례원(2공구)투찰_마현생창(동양고속)_왜관-태평건설 2" xfId="2273" xr:uid="{00000000-0005-0000-0000-0000E1080000}"/>
    <cellStyle name="_장성IC투찰_합덕-신례원(2공구)투찰_봉무지방산업단지도로(투찰)②" xfId="878" xr:uid="{00000000-0005-0000-0000-00006E030000}"/>
    <cellStyle name="_장성IC투찰_합덕-신례원(2공구)투찰_봉무지방산업단지도로(투찰)② 2" xfId="2274" xr:uid="{00000000-0005-0000-0000-0000E2080000}"/>
    <cellStyle name="_장성IC투찰_합덕-신례원(2공구)투찰_봉무지방산업단지도로(투찰)②_마현생창(동양고속)" xfId="879" xr:uid="{00000000-0005-0000-0000-00006F030000}"/>
    <cellStyle name="_장성IC투찰_합덕-신례원(2공구)투찰_봉무지방산업단지도로(투찰)②_마현생창(동양고속) 2" xfId="2275" xr:uid="{00000000-0005-0000-0000-0000E3080000}"/>
    <cellStyle name="_장성IC투찰_합덕-신례원(2공구)투찰_봉무지방산업단지도로(투찰)②_마현생창(동양고속)_왜관-태평건설" xfId="880" xr:uid="{00000000-0005-0000-0000-000070030000}"/>
    <cellStyle name="_장성IC투찰_합덕-신례원(2공구)투찰_봉무지방산업단지도로(투찰)②_마현생창(동양고속)_왜관-태평건설 2" xfId="2276" xr:uid="{00000000-0005-0000-0000-0000E4080000}"/>
    <cellStyle name="_장성IC투찰_합덕-신례원(2공구)투찰_봉무지방산업단지도로(투찰)②_왜관-태평건설" xfId="881" xr:uid="{00000000-0005-0000-0000-000071030000}"/>
    <cellStyle name="_장성IC투찰_합덕-신례원(2공구)투찰_봉무지방산업단지도로(투찰)②_왜관-태평건설 2" xfId="2277" xr:uid="{00000000-0005-0000-0000-0000E5080000}"/>
    <cellStyle name="_장성IC투찰_합덕-신례원(2공구)투찰_봉무지방산업단지도로(투찰)②+0.250%" xfId="882" xr:uid="{00000000-0005-0000-0000-000072030000}"/>
    <cellStyle name="_장성IC투찰_합덕-신례원(2공구)투찰_봉무지방산업단지도로(투찰)②+0.250% 2" xfId="2278" xr:uid="{00000000-0005-0000-0000-0000E6080000}"/>
    <cellStyle name="_장성IC투찰_합덕-신례원(2공구)투찰_봉무지방산업단지도로(투찰)②+0.250%_마현생창(동양고속)" xfId="883" xr:uid="{00000000-0005-0000-0000-000073030000}"/>
    <cellStyle name="_장성IC투찰_합덕-신례원(2공구)투찰_봉무지방산업단지도로(투찰)②+0.250%_마현생창(동양고속) 2" xfId="2279" xr:uid="{00000000-0005-0000-0000-0000E7080000}"/>
    <cellStyle name="_장성IC투찰_합덕-신례원(2공구)투찰_봉무지방산업단지도로(투찰)②+0.250%_마현생창(동양고속)_왜관-태평건설" xfId="884" xr:uid="{00000000-0005-0000-0000-000074030000}"/>
    <cellStyle name="_장성IC투찰_합덕-신례원(2공구)투찰_봉무지방산업단지도로(투찰)②+0.250%_마현생창(동양고속)_왜관-태평건설 2" xfId="2280" xr:uid="{00000000-0005-0000-0000-0000E8080000}"/>
    <cellStyle name="_장성IC투찰_합덕-신례원(2공구)투찰_봉무지방산업단지도로(투찰)②+0.250%_왜관-태평건설" xfId="885" xr:uid="{00000000-0005-0000-0000-000075030000}"/>
    <cellStyle name="_장성IC투찰_합덕-신례원(2공구)투찰_봉무지방산업단지도로(투찰)②+0.250%_왜관-태평건설 2" xfId="2281" xr:uid="{00000000-0005-0000-0000-0000E9080000}"/>
    <cellStyle name="_장성IC투찰_합덕-신례원(2공구)투찰_왜관-태평건설" xfId="886" xr:uid="{00000000-0005-0000-0000-000076030000}"/>
    <cellStyle name="_장성IC투찰_합덕-신례원(2공구)투찰_왜관-태평건설 2" xfId="2282" xr:uid="{00000000-0005-0000-0000-0000EA080000}"/>
    <cellStyle name="_장성IC투찰_합덕-신례원(2공구)투찰_합덕-신례원(2공구)투찰" xfId="887" xr:uid="{00000000-0005-0000-0000-000077030000}"/>
    <cellStyle name="_장성IC투찰_합덕-신례원(2공구)투찰_합덕-신례원(2공구)투찰 2" xfId="2283" xr:uid="{00000000-0005-0000-0000-0000EB080000}"/>
    <cellStyle name="_장성IC투찰_합덕-신례원(2공구)투찰_합덕-신례원(2공구)투찰_경찰서-터미널간도로(투찰)②" xfId="888" xr:uid="{00000000-0005-0000-0000-000078030000}"/>
    <cellStyle name="_장성IC투찰_합덕-신례원(2공구)투찰_합덕-신례원(2공구)투찰_경찰서-터미널간도로(투찰)② 2" xfId="2284" xr:uid="{00000000-0005-0000-0000-0000EC080000}"/>
    <cellStyle name="_장성IC투찰_합덕-신례원(2공구)투찰_합덕-신례원(2공구)투찰_경찰서-터미널간도로(투찰)②_마현생창(동양고속)" xfId="889" xr:uid="{00000000-0005-0000-0000-000079030000}"/>
    <cellStyle name="_장성IC투찰_합덕-신례원(2공구)투찰_합덕-신례원(2공구)투찰_경찰서-터미널간도로(투찰)②_마현생창(동양고속) 2" xfId="2285" xr:uid="{00000000-0005-0000-0000-0000ED080000}"/>
    <cellStyle name="_장성IC투찰_합덕-신례원(2공구)투찰_합덕-신례원(2공구)투찰_경찰서-터미널간도로(투찰)②_마현생창(동양고속)_왜관-태평건설" xfId="890" xr:uid="{00000000-0005-0000-0000-00007A030000}"/>
    <cellStyle name="_장성IC투찰_합덕-신례원(2공구)투찰_합덕-신례원(2공구)투찰_경찰서-터미널간도로(투찰)②_마현생창(동양고속)_왜관-태평건설 2" xfId="2286" xr:uid="{00000000-0005-0000-0000-0000EE080000}"/>
    <cellStyle name="_장성IC투찰_합덕-신례원(2공구)투찰_합덕-신례원(2공구)투찰_경찰서-터미널간도로(투찰)②_왜관-태평건설" xfId="891" xr:uid="{00000000-0005-0000-0000-00007B030000}"/>
    <cellStyle name="_장성IC투찰_합덕-신례원(2공구)투찰_합덕-신례원(2공구)투찰_경찰서-터미널간도로(투찰)②_왜관-태평건설 2" xfId="2287" xr:uid="{00000000-0005-0000-0000-0000EF080000}"/>
    <cellStyle name="_장성IC투찰_합덕-신례원(2공구)투찰_합덕-신례원(2공구)투찰_마현생창(동양고속)" xfId="892" xr:uid="{00000000-0005-0000-0000-00007C030000}"/>
    <cellStyle name="_장성IC투찰_합덕-신례원(2공구)투찰_합덕-신례원(2공구)투찰_마현생창(동양고속) 2" xfId="2288" xr:uid="{00000000-0005-0000-0000-0000F0080000}"/>
    <cellStyle name="_장성IC투찰_합덕-신례원(2공구)투찰_합덕-신례원(2공구)투찰_마현생창(동양고속)_왜관-태평건설" xfId="893" xr:uid="{00000000-0005-0000-0000-00007D030000}"/>
    <cellStyle name="_장성IC투찰_합덕-신례원(2공구)투찰_합덕-신례원(2공구)투찰_마현생창(동양고속)_왜관-태평건설 2" xfId="2289" xr:uid="{00000000-0005-0000-0000-0000F1080000}"/>
    <cellStyle name="_장성IC투찰_합덕-신례원(2공구)투찰_합덕-신례원(2공구)투찰_봉무지방산업단지도로(투찰)②" xfId="894" xr:uid="{00000000-0005-0000-0000-00007E030000}"/>
    <cellStyle name="_장성IC투찰_합덕-신례원(2공구)투찰_합덕-신례원(2공구)투찰_봉무지방산업단지도로(투찰)② 2" xfId="2290" xr:uid="{00000000-0005-0000-0000-0000F2080000}"/>
    <cellStyle name="_장성IC투찰_합덕-신례원(2공구)투찰_합덕-신례원(2공구)투찰_봉무지방산업단지도로(투찰)②_마현생창(동양고속)" xfId="895" xr:uid="{00000000-0005-0000-0000-00007F030000}"/>
    <cellStyle name="_장성IC투찰_합덕-신례원(2공구)투찰_합덕-신례원(2공구)투찰_봉무지방산업단지도로(투찰)②_마현생창(동양고속) 2" xfId="2291" xr:uid="{00000000-0005-0000-0000-0000F3080000}"/>
    <cellStyle name="_장성IC투찰_합덕-신례원(2공구)투찰_합덕-신례원(2공구)투찰_봉무지방산업단지도로(투찰)②_마현생창(동양고속)_왜관-태평건설" xfId="896" xr:uid="{00000000-0005-0000-0000-000080030000}"/>
    <cellStyle name="_장성IC투찰_합덕-신례원(2공구)투찰_합덕-신례원(2공구)투찰_봉무지방산업단지도로(투찰)②_마현생창(동양고속)_왜관-태평건설 2" xfId="2292" xr:uid="{00000000-0005-0000-0000-0000F4080000}"/>
    <cellStyle name="_장성IC투찰_합덕-신례원(2공구)투찰_합덕-신례원(2공구)투찰_봉무지방산업단지도로(투찰)②_왜관-태평건설" xfId="897" xr:uid="{00000000-0005-0000-0000-000081030000}"/>
    <cellStyle name="_장성IC투찰_합덕-신례원(2공구)투찰_합덕-신례원(2공구)투찰_봉무지방산업단지도로(투찰)②_왜관-태평건설 2" xfId="2293" xr:uid="{00000000-0005-0000-0000-0000F5080000}"/>
    <cellStyle name="_장성IC투찰_합덕-신례원(2공구)투찰_합덕-신례원(2공구)투찰_봉무지방산업단지도로(투찰)②+0.250%" xfId="898" xr:uid="{00000000-0005-0000-0000-000082030000}"/>
    <cellStyle name="_장성IC투찰_합덕-신례원(2공구)투찰_합덕-신례원(2공구)투찰_봉무지방산업단지도로(투찰)②+0.250% 2" xfId="2294" xr:uid="{00000000-0005-0000-0000-0000F6080000}"/>
    <cellStyle name="_장성IC투찰_합덕-신례원(2공구)투찰_합덕-신례원(2공구)투찰_봉무지방산업단지도로(투찰)②+0.250%_마현생창(동양고속)" xfId="899" xr:uid="{00000000-0005-0000-0000-000083030000}"/>
    <cellStyle name="_장성IC투찰_합덕-신례원(2공구)투찰_합덕-신례원(2공구)투찰_봉무지방산업단지도로(투찰)②+0.250%_마현생창(동양고속) 2" xfId="2295" xr:uid="{00000000-0005-0000-0000-0000F7080000}"/>
    <cellStyle name="_장성IC투찰_합덕-신례원(2공구)투찰_합덕-신례원(2공구)투찰_봉무지방산업단지도로(투찰)②+0.250%_마현생창(동양고속)_왜관-태평건설" xfId="900" xr:uid="{00000000-0005-0000-0000-000084030000}"/>
    <cellStyle name="_장성IC투찰_합덕-신례원(2공구)투찰_합덕-신례원(2공구)투찰_봉무지방산업단지도로(투찰)②+0.250%_마현생창(동양고속)_왜관-태평건설 2" xfId="2296" xr:uid="{00000000-0005-0000-0000-0000F8080000}"/>
    <cellStyle name="_장성IC투찰_합덕-신례원(2공구)투찰_합덕-신례원(2공구)투찰_봉무지방산업단지도로(투찰)②+0.250%_왜관-태평건설" xfId="901" xr:uid="{00000000-0005-0000-0000-000085030000}"/>
    <cellStyle name="_장성IC투찰_합덕-신례원(2공구)투찰_합덕-신례원(2공구)투찰_봉무지방산업단지도로(투찰)②+0.250%_왜관-태평건설 2" xfId="2297" xr:uid="{00000000-0005-0000-0000-0000F9080000}"/>
    <cellStyle name="_장성IC투찰_합덕-신례원(2공구)투찰_합덕-신례원(2공구)투찰_왜관-태평건설" xfId="902" xr:uid="{00000000-0005-0000-0000-000086030000}"/>
    <cellStyle name="_장성IC투찰_합덕-신례원(2공구)투찰_합덕-신례원(2공구)투찰_왜관-태평건설 2" xfId="2298" xr:uid="{00000000-0005-0000-0000-0000FA080000}"/>
    <cellStyle name="_적격 " xfId="903" xr:uid="{00000000-0005-0000-0000-000087030000}"/>
    <cellStyle name="_적격  2" xfId="2299" xr:uid="{00000000-0005-0000-0000-0000FB080000}"/>
    <cellStyle name="_적격 _광주평동투찰" xfId="904" xr:uid="{00000000-0005-0000-0000-000088030000}"/>
    <cellStyle name="_적격 _광주평동투찰 2" xfId="2300" xr:uid="{00000000-0005-0000-0000-0000FC080000}"/>
    <cellStyle name="_적격 _광주평동품의1" xfId="905" xr:uid="{00000000-0005-0000-0000-000089030000}"/>
    <cellStyle name="_적격 _광주평동품의1 2" xfId="2301" xr:uid="{00000000-0005-0000-0000-0000FD080000}"/>
    <cellStyle name="_적격 _송학하수품의(설계넣고)" xfId="906" xr:uid="{00000000-0005-0000-0000-00008A030000}"/>
    <cellStyle name="_적격 _송학하수품의(설계넣고) 2" xfId="2302" xr:uid="{00000000-0005-0000-0000-0000FE080000}"/>
    <cellStyle name="_적격 _집행갑지 " xfId="907" xr:uid="{00000000-0005-0000-0000-00008B030000}"/>
    <cellStyle name="_적격 _집행갑지  2" xfId="2303" xr:uid="{00000000-0005-0000-0000-0000FF080000}"/>
    <cellStyle name="_적격 _집행갑지 _광주평동투찰" xfId="908" xr:uid="{00000000-0005-0000-0000-00008C030000}"/>
    <cellStyle name="_적격 _집행갑지 _광주평동투찰 2" xfId="2304" xr:uid="{00000000-0005-0000-0000-000000090000}"/>
    <cellStyle name="_적격 _집행갑지 _광주평동품의1" xfId="909" xr:uid="{00000000-0005-0000-0000-00008D030000}"/>
    <cellStyle name="_적격 _집행갑지 _광주평동품의1 2" xfId="2305" xr:uid="{00000000-0005-0000-0000-000001090000}"/>
    <cellStyle name="_적격 _집행갑지 _송학하수품의(설계넣고)" xfId="910" xr:uid="{00000000-0005-0000-0000-00008E030000}"/>
    <cellStyle name="_적격 _집행갑지 _송학하수품의(설계넣고) 2" xfId="2306" xr:uid="{00000000-0005-0000-0000-000002090000}"/>
    <cellStyle name="_적격(화산) " xfId="911" xr:uid="{00000000-0005-0000-0000-00008F030000}"/>
    <cellStyle name="_적격(화산)  2" xfId="2307" xr:uid="{00000000-0005-0000-0000-000003090000}"/>
    <cellStyle name="_적격(화산) _광주평동투찰" xfId="912" xr:uid="{00000000-0005-0000-0000-000090030000}"/>
    <cellStyle name="_적격(화산) _광주평동투찰 2" xfId="2308" xr:uid="{00000000-0005-0000-0000-000004090000}"/>
    <cellStyle name="_적격(화산) _광주평동품의1" xfId="913" xr:uid="{00000000-0005-0000-0000-000091030000}"/>
    <cellStyle name="_적격(화산) _광주평동품의1 2" xfId="2309" xr:uid="{00000000-0005-0000-0000-000005090000}"/>
    <cellStyle name="_적격(화산) _송학하수품의(설계넣고)" xfId="914" xr:uid="{00000000-0005-0000-0000-000092030000}"/>
    <cellStyle name="_적격(화산) _송학하수품의(설계넣고) 2" xfId="2310" xr:uid="{00000000-0005-0000-0000-000006090000}"/>
    <cellStyle name="_점검사진양식" xfId="915" xr:uid="{00000000-0005-0000-0000-000093030000}"/>
    <cellStyle name="_제출용병천하수(지역관로1)" xfId="916" xr:uid="{00000000-0005-0000-0000-000094030000}"/>
    <cellStyle name="_제출용병천하수(지역관로1) 2" xfId="2311" xr:uid="{00000000-0005-0000-0000-000007090000}"/>
    <cellStyle name="_제출용병천하수(지역관로1)_광주평동투찰" xfId="917" xr:uid="{00000000-0005-0000-0000-000095030000}"/>
    <cellStyle name="_제출용병천하수(지역관로1)_광주평동투찰 2" xfId="2312" xr:uid="{00000000-0005-0000-0000-000008090000}"/>
    <cellStyle name="_제출용병천하수(지역관로1)_광주평동품의1" xfId="918" xr:uid="{00000000-0005-0000-0000-000096030000}"/>
    <cellStyle name="_제출용병천하수(지역관로1)_광주평동품의1 2" xfId="2313" xr:uid="{00000000-0005-0000-0000-000009090000}"/>
    <cellStyle name="_제출용병천하수(지역관로1)_송학하수품의(설계넣고)" xfId="919" xr:uid="{00000000-0005-0000-0000-000097030000}"/>
    <cellStyle name="_제출용병천하수(지역관로1)_송학하수품의(설계넣고) 2" xfId="2314" xr:uid="{00000000-0005-0000-0000-00000A090000}"/>
    <cellStyle name="_집행갑지 " xfId="920" xr:uid="{00000000-0005-0000-0000-000098030000}"/>
    <cellStyle name="_집행갑지  2" xfId="2315" xr:uid="{00000000-0005-0000-0000-00000B090000}"/>
    <cellStyle name="_집행갑지 _광주평동투찰" xfId="921" xr:uid="{00000000-0005-0000-0000-000099030000}"/>
    <cellStyle name="_집행갑지 _광주평동투찰 2" xfId="2316" xr:uid="{00000000-0005-0000-0000-00000C090000}"/>
    <cellStyle name="_집행갑지 _광주평동품의1" xfId="922" xr:uid="{00000000-0005-0000-0000-00009A030000}"/>
    <cellStyle name="_집행갑지 _광주평동품의1 2" xfId="2317" xr:uid="{00000000-0005-0000-0000-00000D090000}"/>
    <cellStyle name="_집행갑지 _송학하수품의(설계넣고)" xfId="923" xr:uid="{00000000-0005-0000-0000-00009B030000}"/>
    <cellStyle name="_집행갑지 _송학하수품의(설계넣고) 2" xfId="2318" xr:uid="{00000000-0005-0000-0000-00000E090000}"/>
    <cellStyle name="_창원상수도(투찰)-0.815%" xfId="924" xr:uid="{00000000-0005-0000-0000-00009C030000}"/>
    <cellStyle name="_호남선두계역외2개소연결통로" xfId="925" xr:uid="{00000000-0005-0000-0000-00009D030000}"/>
    <cellStyle name="_호남선전철화송정리역사111" xfId="926" xr:uid="{00000000-0005-0000-0000-00009E030000}"/>
    <cellStyle name="’E‰Y [0.00]_laroux" xfId="927" xr:uid="{00000000-0005-0000-0000-00009F030000}"/>
    <cellStyle name="’E‰Y_laroux" xfId="928" xr:uid="{00000000-0005-0000-0000-0000A0030000}"/>
    <cellStyle name="¤@?e_TEST-1 " xfId="929" xr:uid="{00000000-0005-0000-0000-0000A1030000}"/>
    <cellStyle name="æØè [0.00]_NT Server " xfId="930" xr:uid="{00000000-0005-0000-0000-0000A2030000}"/>
    <cellStyle name="æØè_NT Server " xfId="931" xr:uid="{00000000-0005-0000-0000-0000A3030000}"/>
    <cellStyle name="὜ĀȀက" xfId="932" xr:uid="{00000000-0005-0000-0000-0000A4030000}"/>
    <cellStyle name="὜ĀȀက 2" xfId="2319" xr:uid="{00000000-0005-0000-0000-00000F090000}"/>
    <cellStyle name="ÊÝ [0.00]_NT Server " xfId="933" xr:uid="{00000000-0005-0000-0000-0000A5030000}"/>
    <cellStyle name="ÊÝ_NT Server " xfId="934" xr:uid="{00000000-0005-0000-0000-0000A6030000}"/>
    <cellStyle name="W?_½RmF¼° " xfId="935" xr:uid="{00000000-0005-0000-0000-0000A7030000}"/>
    <cellStyle name="0.0" xfId="936" xr:uid="{00000000-0005-0000-0000-0000A8030000}"/>
    <cellStyle name="0.00" xfId="937" xr:uid="{00000000-0005-0000-0000-0000A9030000}"/>
    <cellStyle name="1" xfId="938" xr:uid="{00000000-0005-0000-0000-0000AA030000}"/>
    <cellStyle name="1_book1" xfId="939" xr:uid="{00000000-0005-0000-0000-0000AB030000}"/>
    <cellStyle name="1_EXCEL내역변환(재-노)" xfId="940" xr:uid="{00000000-0005-0000-0000-0000AC030000}"/>
    <cellStyle name="1_가월리배수펌프(04.23)" xfId="941" xr:uid="{00000000-0005-0000-0000-0000AD030000}"/>
    <cellStyle name="1_거성토건도급계약내역(신일중고)" xfId="942" xr:uid="{00000000-0005-0000-0000-0000AE030000}"/>
    <cellStyle name="1_계수대로" xfId="943" xr:uid="{00000000-0005-0000-0000-0000AF030000}"/>
    <cellStyle name="1_단가조사표" xfId="944" xr:uid="{00000000-0005-0000-0000-0000B0030000}"/>
    <cellStyle name="1_단가집" xfId="945" xr:uid="{00000000-0005-0000-0000-0000B1030000}"/>
    <cellStyle name="1_도암강진(흥산건설)" xfId="946" xr:uid="{00000000-0005-0000-0000-0000B2030000}"/>
    <cellStyle name="1_백제큰길내역서" xfId="947" xr:uid="{00000000-0005-0000-0000-0000B3030000}"/>
    <cellStyle name="1_부안-태인1산출" xfId="948" xr:uid="{00000000-0005-0000-0000-0000B4030000}"/>
    <cellStyle name="1_삼융건설(백제큰길)" xfId="949" xr:uid="{00000000-0005-0000-0000-0000B5030000}"/>
    <cellStyle name="1_송정리역사(토목완료林)" xfId="950" xr:uid="{00000000-0005-0000-0000-0000B6030000}"/>
    <cellStyle name="1_시민계략공사" xfId="951" xr:uid="{00000000-0005-0000-0000-0000B7030000}"/>
    <cellStyle name="1_시민계략공사 2" xfId="2320" xr:uid="{00000000-0005-0000-0000-000010090000}"/>
    <cellStyle name="1_시민계략공사_도암강진(흥산건설)" xfId="952" xr:uid="{00000000-0005-0000-0000-0000B8030000}"/>
    <cellStyle name="1_시민계략공사_도암강진(흥산건설) 2" xfId="2321" xr:uid="{00000000-0005-0000-0000-000011090000}"/>
    <cellStyle name="1_시민계략공사_도암강진(흥산건설)_해남내역서" xfId="953" xr:uid="{00000000-0005-0000-0000-0000B9030000}"/>
    <cellStyle name="1_시민계략공사_도암강진(흥산건설)_해남내역서 2" xfId="2322" xr:uid="{00000000-0005-0000-0000-000012090000}"/>
    <cellStyle name="1_시민계략공사_부안-태인1산출" xfId="954" xr:uid="{00000000-0005-0000-0000-0000BA030000}"/>
    <cellStyle name="1_시민계략공사_부안-태인1산출 2" xfId="2323" xr:uid="{00000000-0005-0000-0000-000013090000}"/>
    <cellStyle name="1_시민계략공사_전기-한남" xfId="955" xr:uid="{00000000-0005-0000-0000-0000BB030000}"/>
    <cellStyle name="1_시민계략공사_주문진신리교(동일건설)" xfId="956" xr:uid="{00000000-0005-0000-0000-0000BC030000}"/>
    <cellStyle name="1_시민계략공사_주문진신리교(동일건설) 2" xfId="2324" xr:uid="{00000000-0005-0000-0000-000014090000}"/>
    <cellStyle name="1_시민계략공사_흥한건설(이양능주2공구)" xfId="957" xr:uid="{00000000-0005-0000-0000-0000BD030000}"/>
    <cellStyle name="1_시민계략공사_흥한건설(이양능주2공구) 2" xfId="2325" xr:uid="{00000000-0005-0000-0000-000015090000}"/>
    <cellStyle name="1_신일중고식당리모델링(설계변경070420)" xfId="958" xr:uid="{00000000-0005-0000-0000-0000BE030000}"/>
    <cellStyle name="1_입찰내역서갑지양식" xfId="959" xr:uid="{00000000-0005-0000-0000-0000BF030000}"/>
    <cellStyle name="1_전자입찰원가양식" xfId="960" xr:uid="{00000000-0005-0000-0000-0000C0030000}"/>
    <cellStyle name="1_주문진신리교(동일건설)" xfId="961" xr:uid="{00000000-0005-0000-0000-0000C1030000}"/>
    <cellStyle name="1_화곡5동주민자치센터신축공사" xfId="962" xr:uid="{00000000-0005-0000-0000-0000C2030000}"/>
    <cellStyle name="1_흥한건설(주)_두창산업폐기물(하도급)" xfId="963" xr:uid="{00000000-0005-0000-0000-0000C3030000}"/>
    <cellStyle name="19990216" xfId="964" xr:uid="{00000000-0005-0000-0000-0000C4030000}"/>
    <cellStyle name="¹e" xfId="965" xr:uid="{00000000-0005-0000-0000-0000C5030000}"/>
    <cellStyle name="¹e 2" xfId="2326" xr:uid="{00000000-0005-0000-0000-000016090000}"/>
    <cellStyle name="2" xfId="966" xr:uid="{00000000-0005-0000-0000-0000C6030000}"/>
    <cellStyle name="2_단가조사표" xfId="967" xr:uid="{00000000-0005-0000-0000-0000C7030000}"/>
    <cellStyle name="20% - 강조색1 2" xfId="968" xr:uid="{00000000-0005-0000-0000-0000C8030000}"/>
    <cellStyle name="20% - 강조색2 2" xfId="969" xr:uid="{00000000-0005-0000-0000-0000C9030000}"/>
    <cellStyle name="20% - 강조색3 2" xfId="970" xr:uid="{00000000-0005-0000-0000-0000CA030000}"/>
    <cellStyle name="20% - 강조색4 2" xfId="971" xr:uid="{00000000-0005-0000-0000-0000CB030000}"/>
    <cellStyle name="20% - 강조색5 2" xfId="972" xr:uid="{00000000-0005-0000-0000-0000CC030000}"/>
    <cellStyle name="20% - 강조색6 2" xfId="973" xr:uid="{00000000-0005-0000-0000-0000CD030000}"/>
    <cellStyle name="40% - 강조색1 2" xfId="974" xr:uid="{00000000-0005-0000-0000-0000CE030000}"/>
    <cellStyle name="40% - 강조색2 2" xfId="975" xr:uid="{00000000-0005-0000-0000-0000CF030000}"/>
    <cellStyle name="40% - 강조색3 2" xfId="976" xr:uid="{00000000-0005-0000-0000-0000D0030000}"/>
    <cellStyle name="40% - 강조색4 2" xfId="977" xr:uid="{00000000-0005-0000-0000-0000D1030000}"/>
    <cellStyle name="40% - 강조색5 2" xfId="978" xr:uid="{00000000-0005-0000-0000-0000D2030000}"/>
    <cellStyle name="40% - 강조색6 2" xfId="979" xr:uid="{00000000-0005-0000-0000-0000D3030000}"/>
    <cellStyle name="60" xfId="980" xr:uid="{00000000-0005-0000-0000-0000D4030000}"/>
    <cellStyle name="60% - 강조색1 2" xfId="981" xr:uid="{00000000-0005-0000-0000-0000D5030000}"/>
    <cellStyle name="60% - 강조색2 2" xfId="982" xr:uid="{00000000-0005-0000-0000-0000D6030000}"/>
    <cellStyle name="60% - 강조색3 2" xfId="983" xr:uid="{00000000-0005-0000-0000-0000D7030000}"/>
    <cellStyle name="60% - 강조색4 2" xfId="984" xr:uid="{00000000-0005-0000-0000-0000D8030000}"/>
    <cellStyle name="60% - 강조색5 2" xfId="985" xr:uid="{00000000-0005-0000-0000-0000D9030000}"/>
    <cellStyle name="60% - 강조색6 2" xfId="986" xr:uid="{00000000-0005-0000-0000-0000DA030000}"/>
    <cellStyle name="A" xfId="987" xr:uid="{00000000-0005-0000-0000-0000DB030000}"/>
    <cellStyle name="A 2" xfId="2327" xr:uid="{00000000-0005-0000-0000-000017090000}"/>
    <cellStyle name="Ā _x0010_က랐_xdc01_땯_x0001_" xfId="988" xr:uid="{00000000-0005-0000-0000-0000DC030000}"/>
    <cellStyle name="A_거성토건도급계약내역(신일중고)" xfId="989" xr:uid="{00000000-0005-0000-0000-0000DD030000}"/>
    <cellStyle name="A_거성토건도급계약내역(신일중고) 2" xfId="2328" xr:uid="{00000000-0005-0000-0000-000018090000}"/>
    <cellStyle name="A_도로" xfId="990" xr:uid="{00000000-0005-0000-0000-0000DE030000}"/>
    <cellStyle name="A_부대초안" xfId="991" xr:uid="{00000000-0005-0000-0000-0000DF030000}"/>
    <cellStyle name="A_부대초안 2" xfId="2329" xr:uid="{00000000-0005-0000-0000-000019090000}"/>
    <cellStyle name="A_부대초안_견적의뢰" xfId="992" xr:uid="{00000000-0005-0000-0000-0000E0030000}"/>
    <cellStyle name="A_부대초안_견적의뢰 2" xfId="2330" xr:uid="{00000000-0005-0000-0000-00001A090000}"/>
    <cellStyle name="A_부대초안_김포투찰" xfId="993" xr:uid="{00000000-0005-0000-0000-0000E1030000}"/>
    <cellStyle name="A_부대초안_김포투찰_견적의뢰" xfId="994" xr:uid="{00000000-0005-0000-0000-0000E2030000}"/>
    <cellStyle name="A_부대초안_김포투찰_견적의뢰 2" xfId="2331" xr:uid="{00000000-0005-0000-0000-00001B090000}"/>
    <cellStyle name="A_토목내역서" xfId="995" xr:uid="{00000000-0005-0000-0000-0000E3030000}"/>
    <cellStyle name="A_토목내역서 2" xfId="2332" xr:uid="{00000000-0005-0000-0000-00001C090000}"/>
    <cellStyle name="A_토목내역서_도로" xfId="996" xr:uid="{00000000-0005-0000-0000-0000E4030000}"/>
    <cellStyle name="A_토목내역서_부대초안" xfId="997" xr:uid="{00000000-0005-0000-0000-0000E5030000}"/>
    <cellStyle name="A_토목내역서_부대초안 2" xfId="2333" xr:uid="{00000000-0005-0000-0000-00001D090000}"/>
    <cellStyle name="A_토목내역서_부대초안_견적의뢰" xfId="998" xr:uid="{00000000-0005-0000-0000-0000E6030000}"/>
    <cellStyle name="A_토목내역서_부대초안_견적의뢰 2" xfId="2334" xr:uid="{00000000-0005-0000-0000-00001E090000}"/>
    <cellStyle name="A_토목내역서_부대초안_김포투찰" xfId="999" xr:uid="{00000000-0005-0000-0000-0000E7030000}"/>
    <cellStyle name="A_토목내역서_부대초안_김포투찰_견적의뢰" xfId="1000" xr:uid="{00000000-0005-0000-0000-0000E8030000}"/>
    <cellStyle name="A_토목내역서_부대초안_김포투찰_견적의뢰 2" xfId="2335" xr:uid="{00000000-0005-0000-0000-00001F090000}"/>
    <cellStyle name="A¨­¢¬¢Ò [0]_¡Æ¨ÏAo" xfId="1001" xr:uid="{00000000-0005-0000-0000-0000E9030000}"/>
    <cellStyle name="A¨­￠￢￠O [0]_¨oCAuCoEⓒ÷ " xfId="1002" xr:uid="{00000000-0005-0000-0000-0000EA030000}"/>
    <cellStyle name="A¨­¢¬¢Ò_¡Æ¨ÏAo" xfId="1003" xr:uid="{00000000-0005-0000-0000-0000EB030000}"/>
    <cellStyle name="A¨­￠￢￠O_¨oCAuCoEⓒ÷ " xfId="1004" xr:uid="{00000000-0005-0000-0000-0000EC030000}"/>
    <cellStyle name="Aⓒ­" xfId="1005" xr:uid="{00000000-0005-0000-0000-0000ED030000}"/>
    <cellStyle name="Aⓒ­ 2" xfId="2336" xr:uid="{00000000-0005-0000-0000-000020090000}"/>
    <cellStyle name="Ae" xfId="1006" xr:uid="{00000000-0005-0000-0000-0000EE030000}"/>
    <cellStyle name="Ae 2" xfId="2337" xr:uid="{00000000-0005-0000-0000-000021090000}"/>
    <cellStyle name="Aee­ " xfId="1007" xr:uid="{00000000-0005-0000-0000-0000EF030000}"/>
    <cellStyle name="Aee­  2" xfId="2338" xr:uid="{00000000-0005-0000-0000-000022090000}"/>
    <cellStyle name="AeE­ [0]_¸ðCu¸·" xfId="1008" xr:uid="{00000000-0005-0000-0000-0000F0030000}"/>
    <cellStyle name="ÅëÈ­ [0]_¸ðÇü¸·" xfId="1009" xr:uid="{00000000-0005-0000-0000-0000F1030000}"/>
    <cellStyle name="AeE­ [0]_¸ðCu¸· 2" xfId="1010" xr:uid="{00000000-0005-0000-0000-0000F2030000}"/>
    <cellStyle name="ÅëÈ­ [0]_¸ñÂ÷ " xfId="1011" xr:uid="{00000000-0005-0000-0000-0000F3030000}"/>
    <cellStyle name="AeE­ [0]_¼oAI¼º " xfId="1012" xr:uid="{00000000-0005-0000-0000-0000F4030000}"/>
    <cellStyle name="ÅëÈ­ [0]_INQUIRY ¿µ¾÷ÃßÁø " xfId="1013" xr:uid="{00000000-0005-0000-0000-0000F5030000}"/>
    <cellStyle name="AeE­ [0]_INQUIRY ¿μ¾÷AßAø " xfId="1014" xr:uid="{00000000-0005-0000-0000-0000F6030000}"/>
    <cellStyle name="ÅëÈ­ [0]_º»¼± ±æ¾î±úºÎ ¼ö·® Áý°èÇ¥ " xfId="1015" xr:uid="{00000000-0005-0000-0000-0000F7030000}"/>
    <cellStyle name="AeE­ [0]_º≫¼± ±æ¾i±uºI ¼o·R Ay°eC￥ " xfId="1016" xr:uid="{00000000-0005-0000-0000-0000F8030000}"/>
    <cellStyle name="Aee­ _거성토건도급계약내역(신일중고)" xfId="1017" xr:uid="{00000000-0005-0000-0000-0000F9030000}"/>
    <cellStyle name="AeE­_¸ðCu¸·" xfId="1018" xr:uid="{00000000-0005-0000-0000-0000FA030000}"/>
    <cellStyle name="ÅëÈ­_¸ðÇü¸·" xfId="1019" xr:uid="{00000000-0005-0000-0000-0000FB030000}"/>
    <cellStyle name="AeE­_¸ðCu¸· 2" xfId="1020" xr:uid="{00000000-0005-0000-0000-0000FC030000}"/>
    <cellStyle name="ÅëÈ­_¸ñÂ÷ " xfId="1021" xr:uid="{00000000-0005-0000-0000-0000FD030000}"/>
    <cellStyle name="AeE­_¼oAI¼º " xfId="1022" xr:uid="{00000000-0005-0000-0000-0000FE030000}"/>
    <cellStyle name="ÅëÈ­_INQUIRY ¿µ¾÷ÃßÁø " xfId="1023" xr:uid="{00000000-0005-0000-0000-0000FF030000}"/>
    <cellStyle name="AeE­_INQUIRY ¿μ¾÷AßAø " xfId="1024" xr:uid="{00000000-0005-0000-0000-000000040000}"/>
    <cellStyle name="ÅëÈ­_º»¼± ±æ¾î±úºÎ ¼ö·® Áý°èÇ¥ " xfId="1025" xr:uid="{00000000-0005-0000-0000-000001040000}"/>
    <cellStyle name="AeE­_º≫¼± ±æ¾i±uºI ¼o·R Ay°eC￥ " xfId="1026" xr:uid="{00000000-0005-0000-0000-000002040000}"/>
    <cellStyle name="Aee¡" xfId="1027" xr:uid="{00000000-0005-0000-0000-000003040000}"/>
    <cellStyle name="Aee¡ 2" xfId="2339" xr:uid="{00000000-0005-0000-0000-000023090000}"/>
    <cellStyle name="AeE¡© [0]_¡Æ¨ÏAo" xfId="1028" xr:uid="{00000000-0005-0000-0000-000004040000}"/>
    <cellStyle name="AeE¡©_¡Æ¨ÏAo" xfId="1029" xr:uid="{00000000-0005-0000-0000-000005040000}"/>
    <cellStyle name="AeE¡ⓒ [0]_¨oCAuCoEⓒ÷ " xfId="1030" xr:uid="{00000000-0005-0000-0000-000006040000}"/>
    <cellStyle name="AeE¡ⓒ_¨oCAuCoEⓒ÷ " xfId="1031" xr:uid="{00000000-0005-0000-0000-000007040000}"/>
    <cellStyle name="ALIGNMENT" xfId="1032" xr:uid="{00000000-0005-0000-0000-000008040000}"/>
    <cellStyle name="Aþ¸" xfId="1033" xr:uid="{00000000-0005-0000-0000-000009040000}"/>
    <cellStyle name="Aþ¸ 2" xfId="2340" xr:uid="{00000000-0005-0000-0000-000024090000}"/>
    <cellStyle name="AÞ¸¶ [0]_¸ðCu¸·" xfId="1034" xr:uid="{00000000-0005-0000-0000-00000A040000}"/>
    <cellStyle name="ÄÞ¸¶ [0]_¸ðÇü¸·" xfId="1035" xr:uid="{00000000-0005-0000-0000-00000B040000}"/>
    <cellStyle name="AÞ¸¶ [0]_¸ðCu¸· 2" xfId="1036" xr:uid="{00000000-0005-0000-0000-00000C040000}"/>
    <cellStyle name="ÄÞ¸¶ [0]_¸ñÂ÷ " xfId="1037" xr:uid="{00000000-0005-0000-0000-00000D040000}"/>
    <cellStyle name="AÞ¸¶ [0]_¼oAI¼º " xfId="1038" xr:uid="{00000000-0005-0000-0000-00000E040000}"/>
    <cellStyle name="ÄÞ¸¶ [0]_INQUIRY ¿µ¾÷ÃßÁø " xfId="1039" xr:uid="{00000000-0005-0000-0000-00000F040000}"/>
    <cellStyle name="AÞ¸¶ [0]_INQUIRY ¿μ¾÷AßAø " xfId="1040" xr:uid="{00000000-0005-0000-0000-000010040000}"/>
    <cellStyle name="ÄÞ¸¶ [0]_º»¼± ±æ¾î±úºÎ ¼ö·® Áý°èÇ¥ " xfId="1041" xr:uid="{00000000-0005-0000-0000-000011040000}"/>
    <cellStyle name="AÞ¸¶ [0]_º≫¼± ±æ¾i±uºI ¼o·R Ay°eC￥ " xfId="1042" xr:uid="{00000000-0005-0000-0000-000012040000}"/>
    <cellStyle name="AÞ¸¶_¸ðCu¸·" xfId="1043" xr:uid="{00000000-0005-0000-0000-000013040000}"/>
    <cellStyle name="ÄÞ¸¶_¸ðÇü¸·" xfId="1044" xr:uid="{00000000-0005-0000-0000-000014040000}"/>
    <cellStyle name="AÞ¸¶_¸ðCu¸· 2" xfId="1045" xr:uid="{00000000-0005-0000-0000-000015040000}"/>
    <cellStyle name="ÄÞ¸¶_¸ñÂ÷ " xfId="1046" xr:uid="{00000000-0005-0000-0000-000016040000}"/>
    <cellStyle name="AÞ¸¶_¼oAI¼º " xfId="1047" xr:uid="{00000000-0005-0000-0000-000017040000}"/>
    <cellStyle name="ÄÞ¸¶_INQUIRY ¿µ¾÷ÃßÁø " xfId="1048" xr:uid="{00000000-0005-0000-0000-000018040000}"/>
    <cellStyle name="AÞ¸¶_INQUIRY ¿μ¾÷AßAø " xfId="1049" xr:uid="{00000000-0005-0000-0000-000019040000}"/>
    <cellStyle name="ÄÞ¸¶_º»¼± ±æ¾î±úºÎ ¼ö·® Áý°èÇ¥ " xfId="1050" xr:uid="{00000000-0005-0000-0000-00001A040000}"/>
    <cellStyle name="AÞ¸¶_º≫¼± ±æ¾i±uºI ¼o·R Ay°eC￥ " xfId="1051" xr:uid="{00000000-0005-0000-0000-00001B040000}"/>
    <cellStyle name="_x0001_b" xfId="1052" xr:uid="{00000000-0005-0000-0000-00001C040000}"/>
    <cellStyle name="_x0001_b 2" xfId="2341" xr:uid="{00000000-0005-0000-0000-000025090000}"/>
    <cellStyle name="Body" xfId="1053" xr:uid="{00000000-0005-0000-0000-00001D040000}"/>
    <cellStyle name="C" xfId="1054" xr:uid="{00000000-0005-0000-0000-00001E040000}"/>
    <cellStyle name="C 2" xfId="2342" xr:uid="{00000000-0005-0000-0000-000026090000}"/>
    <cellStyle name="C[rrency [0]_laroux_1" xfId="1055" xr:uid="{00000000-0005-0000-0000-00001F040000}"/>
    <cellStyle name="C_거성토건도급계약내역(신일중고)" xfId="1056" xr:uid="{00000000-0005-0000-0000-000020040000}"/>
    <cellStyle name="C_거성토건도급계약내역(신일중고) 2" xfId="2343" xr:uid="{00000000-0005-0000-0000-000027090000}"/>
    <cellStyle name="C_도로" xfId="1057" xr:uid="{00000000-0005-0000-0000-000021040000}"/>
    <cellStyle name="C_부대초안" xfId="1058" xr:uid="{00000000-0005-0000-0000-000022040000}"/>
    <cellStyle name="C_부대초안 2" xfId="2344" xr:uid="{00000000-0005-0000-0000-000028090000}"/>
    <cellStyle name="C_부대초안_견적의뢰" xfId="1059" xr:uid="{00000000-0005-0000-0000-000023040000}"/>
    <cellStyle name="C_부대초안_견적의뢰 2" xfId="2345" xr:uid="{00000000-0005-0000-0000-000029090000}"/>
    <cellStyle name="C_부대초안_김포투찰" xfId="1060" xr:uid="{00000000-0005-0000-0000-000024040000}"/>
    <cellStyle name="C_부대초안_김포투찰_견적의뢰" xfId="1061" xr:uid="{00000000-0005-0000-0000-000025040000}"/>
    <cellStyle name="C_부대초안_김포투찰_견적의뢰 2" xfId="2346" xr:uid="{00000000-0005-0000-0000-00002A090000}"/>
    <cellStyle name="C_토목내역서" xfId="1062" xr:uid="{00000000-0005-0000-0000-000026040000}"/>
    <cellStyle name="C_토목내역서 2" xfId="2347" xr:uid="{00000000-0005-0000-0000-00002B090000}"/>
    <cellStyle name="C_토목내역서_도로" xfId="1063" xr:uid="{00000000-0005-0000-0000-000027040000}"/>
    <cellStyle name="C_토목내역서_부대초안" xfId="1064" xr:uid="{00000000-0005-0000-0000-000028040000}"/>
    <cellStyle name="C_토목내역서_부대초안 2" xfId="2348" xr:uid="{00000000-0005-0000-0000-00002C090000}"/>
    <cellStyle name="C_토목내역서_부대초안_견적의뢰" xfId="1065" xr:uid="{00000000-0005-0000-0000-000029040000}"/>
    <cellStyle name="C_토목내역서_부대초안_견적의뢰 2" xfId="2349" xr:uid="{00000000-0005-0000-0000-00002D090000}"/>
    <cellStyle name="C_토목내역서_부대초안_김포투찰" xfId="1066" xr:uid="{00000000-0005-0000-0000-00002A040000}"/>
    <cellStyle name="C_토목내역서_부대초안_김포투찰_견적의뢰" xfId="1067" xr:uid="{00000000-0005-0000-0000-00002B040000}"/>
    <cellStyle name="C_토목내역서_부대초안_김포투찰_견적의뢰 2" xfId="2350" xr:uid="{00000000-0005-0000-0000-00002E090000}"/>
    <cellStyle name="C¡ÍA¨ª_¡Æ¨ÏAo" xfId="1068" xr:uid="{00000000-0005-0000-0000-00002C040000}"/>
    <cellStyle name="C¡IA¨ª_¡ic¨u¡A¨￢I¨￢¡Æ AN¡Æe " xfId="1069" xr:uid="{00000000-0005-0000-0000-00002D040000}"/>
    <cellStyle name="C￥AØ_  FAB AIA¤  " xfId="1070" xr:uid="{00000000-0005-0000-0000-00002E040000}"/>
    <cellStyle name="Ç¥ÁØ_¸ðÇü¸·" xfId="1071" xr:uid="{00000000-0005-0000-0000-00002F040000}"/>
    <cellStyle name="C￥AØ_¿μ¾÷CoE² " xfId="1072" xr:uid="{00000000-0005-0000-0000-000030040000}"/>
    <cellStyle name="Ç¥ÁØ_°­´ç (2)" xfId="1073" xr:uid="{00000000-0005-0000-0000-000031040000}"/>
    <cellStyle name="C￥AØ_¾c½A " xfId="1074" xr:uid="{00000000-0005-0000-0000-000032040000}"/>
    <cellStyle name="Ç¥ÁØ_5-1±¤°í " xfId="1075" xr:uid="{00000000-0005-0000-0000-000033040000}"/>
    <cellStyle name="C￥AØ_AN°y(1.25) " xfId="1076" xr:uid="{00000000-0005-0000-0000-000034040000}"/>
    <cellStyle name="Ç¥ÁØ_Áý°èÇ¥(2¿ù) " xfId="1077" xr:uid="{00000000-0005-0000-0000-000035040000}"/>
    <cellStyle name="C￥AØ_PERSONAL" xfId="1078" xr:uid="{00000000-0005-0000-0000-000036040000}"/>
    <cellStyle name="Calc Currency (0)" xfId="1079" xr:uid="{00000000-0005-0000-0000-000037040000}"/>
    <cellStyle name="Calc Currency (0) 2" xfId="2351" xr:uid="{00000000-0005-0000-0000-00002F090000}"/>
    <cellStyle name="category" xfId="1080" xr:uid="{00000000-0005-0000-0000-000038040000}"/>
    <cellStyle name="ⓒo" xfId="1081" xr:uid="{00000000-0005-0000-0000-000039040000}"/>
    <cellStyle name="ⓒo 2" xfId="2352" xr:uid="{00000000-0005-0000-0000-000030090000}"/>
    <cellStyle name="CODE" xfId="1082" xr:uid="{00000000-0005-0000-0000-00003A040000}"/>
    <cellStyle name="Comma" xfId="1083" xr:uid="{00000000-0005-0000-0000-00003B040000}"/>
    <cellStyle name="Comma [0]" xfId="1084" xr:uid="{00000000-0005-0000-0000-00003C040000}"/>
    <cellStyle name="Comma [0] 2" xfId="2353" xr:uid="{00000000-0005-0000-0000-000031090000}"/>
    <cellStyle name="Comma 2" xfId="1085" xr:uid="{00000000-0005-0000-0000-00003D040000}"/>
    <cellStyle name="comma zerodec" xfId="1086" xr:uid="{00000000-0005-0000-0000-00003E040000}"/>
    <cellStyle name="Comma_ SG&amp;A Bridge " xfId="1087" xr:uid="{00000000-0005-0000-0000-00003F040000}"/>
    <cellStyle name="Comma0" xfId="1088" xr:uid="{00000000-0005-0000-0000-000040040000}"/>
    <cellStyle name="Comma0 2" xfId="2354" xr:uid="{00000000-0005-0000-0000-000032090000}"/>
    <cellStyle name="Comm뼬_E&amp;ONW2" xfId="1089" xr:uid="{00000000-0005-0000-0000-000041040000}"/>
    <cellStyle name="Copied" xfId="1090" xr:uid="{00000000-0005-0000-0000-000042040000}"/>
    <cellStyle name="Curren?_x0012_퐀_x0017_?" xfId="1091" xr:uid="{00000000-0005-0000-0000-000043040000}"/>
    <cellStyle name="Currency" xfId="1092" xr:uid="{00000000-0005-0000-0000-000044040000}"/>
    <cellStyle name="Currency [0]" xfId="1093" xr:uid="{00000000-0005-0000-0000-000045040000}"/>
    <cellStyle name="Currency 2" xfId="1094" xr:uid="{00000000-0005-0000-0000-000046040000}"/>
    <cellStyle name="Currency 3" xfId="1095" xr:uid="{00000000-0005-0000-0000-000047040000}"/>
    <cellStyle name="Currency 4" xfId="1096" xr:uid="{00000000-0005-0000-0000-000048040000}"/>
    <cellStyle name="Currency 5" xfId="1097" xr:uid="{00000000-0005-0000-0000-000049040000}"/>
    <cellStyle name="Currency 6" xfId="1098" xr:uid="{00000000-0005-0000-0000-00004A040000}"/>
    <cellStyle name="Currency_ SG&amp;A Bridge " xfId="1099" xr:uid="{00000000-0005-0000-0000-00004B040000}"/>
    <cellStyle name="Currency0" xfId="1100" xr:uid="{00000000-0005-0000-0000-00004C040000}"/>
    <cellStyle name="Currency0 2" xfId="2355" xr:uid="{00000000-0005-0000-0000-000033090000}"/>
    <cellStyle name="Currency1" xfId="1101" xr:uid="{00000000-0005-0000-0000-00004D040000}"/>
    <cellStyle name="Date" xfId="1102" xr:uid="{00000000-0005-0000-0000-00004E040000}"/>
    <cellStyle name="Date 2" xfId="1103" xr:uid="{00000000-0005-0000-0000-00004F040000}"/>
    <cellStyle name="Date 3" xfId="1104" xr:uid="{00000000-0005-0000-0000-000050040000}"/>
    <cellStyle name="Date 3 2" xfId="2356" xr:uid="{00000000-0005-0000-0000-000034090000}"/>
    <cellStyle name="Dezimal [0]_Compiling Utility Macros" xfId="1105" xr:uid="{00000000-0005-0000-0000-000051040000}"/>
    <cellStyle name="Dezimal_Compiling Utility Macros" xfId="1106" xr:uid="{00000000-0005-0000-0000-000052040000}"/>
    <cellStyle name="Dollar (zero dec)" xfId="1107" xr:uid="{00000000-0005-0000-0000-000053040000}"/>
    <cellStyle name="Entered" xfId="1108" xr:uid="{00000000-0005-0000-0000-000054040000}"/>
    <cellStyle name="F2" xfId="1109" xr:uid="{00000000-0005-0000-0000-000055040000}"/>
    <cellStyle name="F3" xfId="1110" xr:uid="{00000000-0005-0000-0000-000056040000}"/>
    <cellStyle name="F4" xfId="1111" xr:uid="{00000000-0005-0000-0000-000057040000}"/>
    <cellStyle name="F5" xfId="1112" xr:uid="{00000000-0005-0000-0000-000058040000}"/>
    <cellStyle name="F6" xfId="1113" xr:uid="{00000000-0005-0000-0000-000059040000}"/>
    <cellStyle name="F7" xfId="1114" xr:uid="{00000000-0005-0000-0000-00005A040000}"/>
    <cellStyle name="F8" xfId="1115" xr:uid="{00000000-0005-0000-0000-00005B040000}"/>
    <cellStyle name="Fixed" xfId="1116" xr:uid="{00000000-0005-0000-0000-00005C040000}"/>
    <cellStyle name="Fixed 2" xfId="1117" xr:uid="{00000000-0005-0000-0000-00005D040000}"/>
    <cellStyle name="Fixed 3" xfId="1118" xr:uid="{00000000-0005-0000-0000-00005E040000}"/>
    <cellStyle name="Fixed 3 2" xfId="2357" xr:uid="{00000000-0005-0000-0000-000035090000}"/>
    <cellStyle name="Followed Hyperlink" xfId="1119" xr:uid="{00000000-0005-0000-0000-00005F040000}"/>
    <cellStyle name="Grey" xfId="1120" xr:uid="{00000000-0005-0000-0000-000060040000}"/>
    <cellStyle name="Grey 2" xfId="1121" xr:uid="{00000000-0005-0000-0000-000061040000}"/>
    <cellStyle name="H1" xfId="1122" xr:uid="{00000000-0005-0000-0000-000062040000}"/>
    <cellStyle name="H2" xfId="1123" xr:uid="{00000000-0005-0000-0000-000063040000}"/>
    <cellStyle name="HEADER" xfId="1124" xr:uid="{00000000-0005-0000-0000-000064040000}"/>
    <cellStyle name="Header1" xfId="1125" xr:uid="{00000000-0005-0000-0000-000065040000}"/>
    <cellStyle name="Header2" xfId="1126" xr:uid="{00000000-0005-0000-0000-000066040000}"/>
    <cellStyle name="Heading 1" xfId="1127" xr:uid="{00000000-0005-0000-0000-000067040000}"/>
    <cellStyle name="Heading 1 2" xfId="2358" xr:uid="{00000000-0005-0000-0000-000036090000}"/>
    <cellStyle name="Heading 2" xfId="1128" xr:uid="{00000000-0005-0000-0000-000068040000}"/>
    <cellStyle name="Heading 2 2" xfId="2359" xr:uid="{00000000-0005-0000-0000-000037090000}"/>
    <cellStyle name="Heading1" xfId="1129" xr:uid="{00000000-0005-0000-0000-000069040000}"/>
    <cellStyle name="Heading1 2" xfId="1130" xr:uid="{00000000-0005-0000-0000-00006A040000}"/>
    <cellStyle name="Heading1 3" xfId="1131" xr:uid="{00000000-0005-0000-0000-00006B040000}"/>
    <cellStyle name="Heading2" xfId="1132" xr:uid="{00000000-0005-0000-0000-00006C040000}"/>
    <cellStyle name="Heading2 2" xfId="1133" xr:uid="{00000000-0005-0000-0000-00006D040000}"/>
    <cellStyle name="Heading2 3" xfId="1134" xr:uid="{00000000-0005-0000-0000-00006E040000}"/>
    <cellStyle name="Heading2 4" xfId="1135" xr:uid="{00000000-0005-0000-0000-00006F040000}"/>
    <cellStyle name="Hyperlink" xfId="1136" xr:uid="{00000000-0005-0000-0000-000070040000}"/>
    <cellStyle name="Hyperlink 2" xfId="1137" xr:uid="{00000000-0005-0000-0000-000071040000}"/>
    <cellStyle name="Input [yellow]" xfId="1138" xr:uid="{00000000-0005-0000-0000-000072040000}"/>
    <cellStyle name="Input [yellow] 2" xfId="1139" xr:uid="{00000000-0005-0000-0000-000073040000}"/>
    <cellStyle name="Midtitle" xfId="1140" xr:uid="{00000000-0005-0000-0000-000074040000}"/>
    <cellStyle name="Milliers [0]_!!!GO" xfId="1141" xr:uid="{00000000-0005-0000-0000-000075040000}"/>
    <cellStyle name="Milliers_!!!GO" xfId="1142" xr:uid="{00000000-0005-0000-0000-000076040000}"/>
    <cellStyle name="Model" xfId="1143" xr:uid="{00000000-0005-0000-0000-000077040000}"/>
    <cellStyle name="Mon?aire [0]_!!!GO" xfId="1144" xr:uid="{00000000-0005-0000-0000-000078040000}"/>
    <cellStyle name="Mon?aire_!!!GO" xfId="1145" xr:uid="{00000000-0005-0000-0000-000079040000}"/>
    <cellStyle name="Nermal_ SG&amp;A Bridge " xfId="1146" xr:uid="{00000000-0005-0000-0000-00007A040000}"/>
    <cellStyle name="no dec" xfId="1147" xr:uid="{00000000-0005-0000-0000-00007B040000}"/>
    <cellStyle name="Normal - Style1" xfId="1148" xr:uid="{00000000-0005-0000-0000-00007C040000}"/>
    <cellStyle name="Normal - Style1 2" xfId="1149" xr:uid="{00000000-0005-0000-0000-00007D040000}"/>
    <cellStyle name="Normal - Style2" xfId="1150" xr:uid="{00000000-0005-0000-0000-00007E040000}"/>
    <cellStyle name="Normal - Style3" xfId="1151" xr:uid="{00000000-0005-0000-0000-00007F040000}"/>
    <cellStyle name="Normal - Style4" xfId="1152" xr:uid="{00000000-0005-0000-0000-000080040000}"/>
    <cellStyle name="Normal - Style5" xfId="1153" xr:uid="{00000000-0005-0000-0000-000081040000}"/>
    <cellStyle name="Normal - Style6" xfId="1154" xr:uid="{00000000-0005-0000-0000-000082040000}"/>
    <cellStyle name="Normal - Style7" xfId="1155" xr:uid="{00000000-0005-0000-0000-000083040000}"/>
    <cellStyle name="Normal - Style8" xfId="1156" xr:uid="{00000000-0005-0000-0000-000084040000}"/>
    <cellStyle name="Normal - 유형1" xfId="1157" xr:uid="{00000000-0005-0000-0000-000085040000}"/>
    <cellStyle name="Normal_ Plans" xfId="1158" xr:uid="{00000000-0005-0000-0000-000086040000}"/>
    <cellStyle name="Œ…?æ맖?e [0.00]_laroux" xfId="1159" xr:uid="{00000000-0005-0000-0000-000087040000}"/>
    <cellStyle name="Œ…?æ맖?e_laroux" xfId="1160" xr:uid="{00000000-0005-0000-0000-000088040000}"/>
    <cellStyle name="oft Excel]_x000d__x000a_Comment=The open=/f lines load custom functions into the Paste Function list._x000d__x000a_Maximized=3_x000d__x000a_AutoFormat=" xfId="1161" xr:uid="{00000000-0005-0000-0000-000089040000}"/>
    <cellStyle name="Percent" xfId="1162" xr:uid="{00000000-0005-0000-0000-00008A040000}"/>
    <cellStyle name="Percent [2]" xfId="1163" xr:uid="{00000000-0005-0000-0000-00008B040000}"/>
    <cellStyle name="Percent 2" xfId="1164" xr:uid="{00000000-0005-0000-0000-00008C040000}"/>
    <cellStyle name="Percent 3" xfId="1165" xr:uid="{00000000-0005-0000-0000-00008D040000}"/>
    <cellStyle name="Percent 4" xfId="1166" xr:uid="{00000000-0005-0000-0000-00008E040000}"/>
    <cellStyle name="Percent 5" xfId="1167" xr:uid="{00000000-0005-0000-0000-00008F040000}"/>
    <cellStyle name="Percent 6" xfId="1168" xr:uid="{00000000-0005-0000-0000-000090040000}"/>
    <cellStyle name="Percent_!!!GO" xfId="1169" xr:uid="{00000000-0005-0000-0000-000091040000}"/>
    <cellStyle name="RevList" xfId="1170" xr:uid="{00000000-0005-0000-0000-000092040000}"/>
    <cellStyle name="STANDARD" xfId="1171" xr:uid="{00000000-0005-0000-0000-000093040000}"/>
    <cellStyle name="subhead" xfId="1172" xr:uid="{00000000-0005-0000-0000-000094040000}"/>
    <cellStyle name="Subtotal" xfId="1173" xr:uid="{00000000-0005-0000-0000-000095040000}"/>
    <cellStyle name="testtitle" xfId="1174" xr:uid="{00000000-0005-0000-0000-000096040000}"/>
    <cellStyle name="title [1]" xfId="1175" xr:uid="{00000000-0005-0000-0000-000097040000}"/>
    <cellStyle name="title [2]" xfId="1176" xr:uid="{00000000-0005-0000-0000-000098040000}"/>
    <cellStyle name="Total" xfId="1177" xr:uid="{00000000-0005-0000-0000-000099040000}"/>
    <cellStyle name="Total 2" xfId="1178" xr:uid="{00000000-0005-0000-0000-00009A040000}"/>
    <cellStyle name="Total 3" xfId="1179" xr:uid="{00000000-0005-0000-0000-00009B040000}"/>
    <cellStyle name="Total 3 2" xfId="2360" xr:uid="{00000000-0005-0000-0000-000038090000}"/>
    <cellStyle name="UM" xfId="1180" xr:uid="{00000000-0005-0000-0000-00009C040000}"/>
    <cellStyle name="Unprot$" xfId="1181" xr:uid="{00000000-0005-0000-0000-00009D040000}"/>
    <cellStyle name="W?rung [0]_Compiling Utility Macros" xfId="1182" xr:uid="{00000000-0005-0000-0000-00009E040000}"/>
    <cellStyle name="W?rung_Compiling Utility Macros" xfId="1183" xr:uid="{00000000-0005-0000-0000-00009F040000}"/>
    <cellStyle name="|?ドE" xfId="1184" xr:uid="{00000000-0005-0000-0000-0000A0040000}"/>
    <cellStyle name="강조색1 2" xfId="1185" xr:uid="{00000000-0005-0000-0000-0000A1040000}"/>
    <cellStyle name="강조색2 2" xfId="1186" xr:uid="{00000000-0005-0000-0000-0000A2040000}"/>
    <cellStyle name="강조색3 2" xfId="1187" xr:uid="{00000000-0005-0000-0000-0000A3040000}"/>
    <cellStyle name="강조색4 2" xfId="1188" xr:uid="{00000000-0005-0000-0000-0000A4040000}"/>
    <cellStyle name="강조색5 2" xfId="1189" xr:uid="{00000000-0005-0000-0000-0000A5040000}"/>
    <cellStyle name="강조색6 2" xfId="1190" xr:uid="{00000000-0005-0000-0000-0000A6040000}"/>
    <cellStyle name="경고문 2" xfId="1191" xr:uid="{00000000-0005-0000-0000-0000A7040000}"/>
    <cellStyle name="계산 2" xfId="1192" xr:uid="{00000000-0005-0000-0000-0000A8040000}"/>
    <cellStyle name="고정소숫점" xfId="1193" xr:uid="{00000000-0005-0000-0000-0000A9040000}"/>
    <cellStyle name="고정출력1" xfId="1194" xr:uid="{00000000-0005-0000-0000-0000AA040000}"/>
    <cellStyle name="고정출력2" xfId="1195" xr:uid="{00000000-0005-0000-0000-0000AB040000}"/>
    <cellStyle name="공백" xfId="1196" xr:uid="{00000000-0005-0000-0000-0000AC040000}"/>
    <cellStyle name="공백1" xfId="1197" xr:uid="{00000000-0005-0000-0000-0000AD040000}"/>
    <cellStyle name="공백1수" xfId="1198" xr:uid="{00000000-0005-0000-0000-0000AE040000}"/>
    <cellStyle name="공사원가계산서(조경)" xfId="1199" xr:uid="{00000000-0005-0000-0000-0000AF040000}"/>
    <cellStyle name="굴림" xfId="1200" xr:uid="{00000000-0005-0000-0000-0000B0040000}"/>
    <cellStyle name="기본내역서" xfId="1201" xr:uid="{00000000-0005-0000-0000-0000B1040000}"/>
    <cellStyle name="기본내역서 2" xfId="2361" xr:uid="{00000000-0005-0000-0000-000039090000}"/>
    <cellStyle name="끼_x0001_?" xfId="1202" xr:uid="{00000000-0005-0000-0000-0000B2040000}"/>
    <cellStyle name="끼_x0001_? 2" xfId="2362" xr:uid="{00000000-0005-0000-0000-00003A090000}"/>
    <cellStyle name="나쁨 2" xfId="1203" xr:uid="{00000000-0005-0000-0000-0000B3040000}"/>
    <cellStyle name="날짜" xfId="1204" xr:uid="{00000000-0005-0000-0000-0000B4040000}"/>
    <cellStyle name="내역서" xfId="1205" xr:uid="{00000000-0005-0000-0000-0000B5040000}"/>
    <cellStyle name="단위" xfId="1206" xr:uid="{00000000-0005-0000-0000-0000B6040000}"/>
    <cellStyle name="달러" xfId="1207" xr:uid="{00000000-0005-0000-0000-0000B7040000}"/>
    <cellStyle name="뒤에 오는 하이퍼링크" xfId="1208" xr:uid="{00000000-0005-0000-0000-0000B8040000}"/>
    <cellStyle name="똿뗦먛귟 [0.00]_laroux" xfId="1209" xr:uid="{00000000-0005-0000-0000-0000B9040000}"/>
    <cellStyle name="똿뗦먛귟_laroux" xfId="1210" xr:uid="{00000000-0005-0000-0000-0000BA040000}"/>
    <cellStyle name="메모 2" xfId="1211" xr:uid="{00000000-0005-0000-0000-0000BB040000}"/>
    <cellStyle name="메모 3" xfId="1212" xr:uid="{00000000-0005-0000-0000-0000BC040000}"/>
    <cellStyle name="메모 3 2" xfId="2363" xr:uid="{00000000-0005-0000-0000-00003B090000}"/>
    <cellStyle name="믅됞 [0.00]_laroux" xfId="1213" xr:uid="{00000000-0005-0000-0000-0000BD040000}"/>
    <cellStyle name="믅됞_laroux" xfId="1214" xr:uid="{00000000-0005-0000-0000-0000BE040000}"/>
    <cellStyle name="배분" xfId="1215" xr:uid="{00000000-0005-0000-0000-0000BF040000}"/>
    <cellStyle name="배분 2" xfId="2364" xr:uid="{00000000-0005-0000-0000-00003C090000}"/>
    <cellStyle name="백" xfId="1216" xr:uid="{00000000-0005-0000-0000-0000C0040000}"/>
    <cellStyle name="백 2" xfId="2365" xr:uid="{00000000-0005-0000-0000-00003D090000}"/>
    <cellStyle name="백_3.우수" xfId="1217" xr:uid="{00000000-0005-0000-0000-0000C1040000}"/>
    <cellStyle name="백_3.우수_1" xfId="1218" xr:uid="{00000000-0005-0000-0000-0000C2040000}"/>
    <cellStyle name="백_4.오수" xfId="1219" xr:uid="{00000000-0005-0000-0000-0000C3040000}"/>
    <cellStyle name="백_거성토건도급계약내역(신일중고)" xfId="1220" xr:uid="{00000000-0005-0000-0000-0000C4040000}"/>
    <cellStyle name="백_거성토건도급계약내역(신일중고) 2" xfId="2366" xr:uid="{00000000-0005-0000-0000-00003E090000}"/>
    <cellStyle name="백_도로" xfId="1221" xr:uid="{00000000-0005-0000-0000-0000C5040000}"/>
    <cellStyle name="백_부대초안" xfId="1222" xr:uid="{00000000-0005-0000-0000-0000C6040000}"/>
    <cellStyle name="백_부대초안 2" xfId="2367" xr:uid="{00000000-0005-0000-0000-00003F090000}"/>
    <cellStyle name="백_부대초안_견적의뢰" xfId="1223" xr:uid="{00000000-0005-0000-0000-0000C7040000}"/>
    <cellStyle name="백_부대초안_견적의뢰 2" xfId="2368" xr:uid="{00000000-0005-0000-0000-000040090000}"/>
    <cellStyle name="백_부대초안_김포투찰" xfId="1224" xr:uid="{00000000-0005-0000-0000-0000C8040000}"/>
    <cellStyle name="백_부대초안_김포투찰_견적의뢰" xfId="1225" xr:uid="{00000000-0005-0000-0000-0000C9040000}"/>
    <cellStyle name="백_부대초안_김포투찰_견적의뢰 2" xfId="2369" xr:uid="{00000000-0005-0000-0000-000041090000}"/>
    <cellStyle name="백_실행예산" xfId="1226" xr:uid="{00000000-0005-0000-0000-0000CA040000}"/>
    <cellStyle name="백_토목내역서" xfId="1227" xr:uid="{00000000-0005-0000-0000-0000CB040000}"/>
    <cellStyle name="백_토목내역서 2" xfId="2370" xr:uid="{00000000-0005-0000-0000-000042090000}"/>
    <cellStyle name="백_토목내역서_도로" xfId="1228" xr:uid="{00000000-0005-0000-0000-0000CC040000}"/>
    <cellStyle name="백_토목내역서_부대초안" xfId="1229" xr:uid="{00000000-0005-0000-0000-0000CD040000}"/>
    <cellStyle name="백_토목내역서_부대초안 2" xfId="2371" xr:uid="{00000000-0005-0000-0000-000043090000}"/>
    <cellStyle name="백_토목내역서_부대초안_견적의뢰" xfId="1230" xr:uid="{00000000-0005-0000-0000-0000CE040000}"/>
    <cellStyle name="백_토목내역서_부대초안_견적의뢰 2" xfId="2372" xr:uid="{00000000-0005-0000-0000-000044090000}"/>
    <cellStyle name="백_토목내역서_부대초안_김포투찰" xfId="1231" xr:uid="{00000000-0005-0000-0000-0000CF040000}"/>
    <cellStyle name="백_토목내역서_부대초안_김포투찰_견적의뢰" xfId="1232" xr:uid="{00000000-0005-0000-0000-0000D0040000}"/>
    <cellStyle name="백_토목내역서_부대초안_김포투찰_견적의뢰 2" xfId="2373" xr:uid="{00000000-0005-0000-0000-000045090000}"/>
    <cellStyle name="백분율 [0]" xfId="1233" xr:uid="{00000000-0005-0000-0000-0000D1040000}"/>
    <cellStyle name="백분율 [2]" xfId="1234" xr:uid="{00000000-0005-0000-0000-0000D2040000}"/>
    <cellStyle name="백분율 10" xfId="1235" xr:uid="{00000000-0005-0000-0000-0000D3040000}"/>
    <cellStyle name="백분율 10 2" xfId="2374" xr:uid="{00000000-0005-0000-0000-000046090000}"/>
    <cellStyle name="백분율 11" xfId="1236" xr:uid="{00000000-0005-0000-0000-0000D4040000}"/>
    <cellStyle name="백분율 11 2" xfId="2375" xr:uid="{00000000-0005-0000-0000-000047090000}"/>
    <cellStyle name="백분율 12" xfId="1237" xr:uid="{00000000-0005-0000-0000-0000D5040000}"/>
    <cellStyle name="백분율 12 2" xfId="2376" xr:uid="{00000000-0005-0000-0000-000048090000}"/>
    <cellStyle name="백분율 13" xfId="1238" xr:uid="{00000000-0005-0000-0000-0000D6040000}"/>
    <cellStyle name="백분율 13 2" xfId="2377" xr:uid="{00000000-0005-0000-0000-000049090000}"/>
    <cellStyle name="백분율 14" xfId="1471" xr:uid="{00000000-0005-0000-0000-0000BF050000}"/>
    <cellStyle name="백분율 15" xfId="1477" xr:uid="{00000000-0005-0000-0000-0000C5050000}"/>
    <cellStyle name="백분율 15 2" xfId="2467" xr:uid="{00000000-0005-0000-0000-0000A3090000}"/>
    <cellStyle name="백분율 2" xfId="1239" xr:uid="{00000000-0005-0000-0000-0000D7040000}"/>
    <cellStyle name="백분율 2 2" xfId="1240" xr:uid="{00000000-0005-0000-0000-0000D8040000}"/>
    <cellStyle name="백분율 2 3" xfId="1241" xr:uid="{00000000-0005-0000-0000-0000D9040000}"/>
    <cellStyle name="백분율 2 3 2" xfId="2379" xr:uid="{00000000-0005-0000-0000-00004B090000}"/>
    <cellStyle name="백분율 2 4" xfId="2378" xr:uid="{00000000-0005-0000-0000-00004A090000}"/>
    <cellStyle name="백분율 3" xfId="1242" xr:uid="{00000000-0005-0000-0000-0000DA040000}"/>
    <cellStyle name="백분율 3 2" xfId="2380" xr:uid="{00000000-0005-0000-0000-00004C090000}"/>
    <cellStyle name="백분율 4" xfId="1243" xr:uid="{00000000-0005-0000-0000-0000DB040000}"/>
    <cellStyle name="백분율 4 2" xfId="2381" xr:uid="{00000000-0005-0000-0000-00004D090000}"/>
    <cellStyle name="백분율 5" xfId="1244" xr:uid="{00000000-0005-0000-0000-0000DC040000}"/>
    <cellStyle name="백분율 5 2" xfId="2382" xr:uid="{00000000-0005-0000-0000-00004E090000}"/>
    <cellStyle name="백분율 6" xfId="1245" xr:uid="{00000000-0005-0000-0000-0000DD040000}"/>
    <cellStyle name="백분율 6 2" xfId="2383" xr:uid="{00000000-0005-0000-0000-00004F090000}"/>
    <cellStyle name="백분율 7" xfId="1246" xr:uid="{00000000-0005-0000-0000-0000DE040000}"/>
    <cellStyle name="백분율 7 2" xfId="2384" xr:uid="{00000000-0005-0000-0000-000050090000}"/>
    <cellStyle name="백분율 8" xfId="1247" xr:uid="{00000000-0005-0000-0000-0000DF040000}"/>
    <cellStyle name="백분율 8 2" xfId="2385" xr:uid="{00000000-0005-0000-0000-000051090000}"/>
    <cellStyle name="백분율 9" xfId="1248" xr:uid="{00000000-0005-0000-0000-0000E0040000}"/>
    <cellStyle name="백분율 9 2" xfId="2386" xr:uid="{00000000-0005-0000-0000-000052090000}"/>
    <cellStyle name="백분율［△1］" xfId="1249" xr:uid="{00000000-0005-0000-0000-0000E1040000}"/>
    <cellStyle name="백분율［△1］ 2" xfId="2387" xr:uid="{00000000-0005-0000-0000-000053090000}"/>
    <cellStyle name="백분율［△2］" xfId="1250" xr:uid="{00000000-0005-0000-0000-0000E2040000}"/>
    <cellStyle name="백분율［△2］ 2" xfId="2388" xr:uid="{00000000-0005-0000-0000-000054090000}"/>
    <cellStyle name="벭?_Q1 PRODUCT ACTUAL_4월 (2)" xfId="1251" xr:uid="{00000000-0005-0000-0000-0000E3040000}"/>
    <cellStyle name="보통 2" xfId="1252" xr:uid="{00000000-0005-0000-0000-0000E4040000}"/>
    <cellStyle name="뷭?" xfId="1253" xr:uid="{00000000-0005-0000-0000-0000E5040000}"/>
    <cellStyle name="빨강" xfId="1254" xr:uid="{00000000-0005-0000-0000-0000E6040000}"/>
    <cellStyle name="빨강 2" xfId="2389" xr:uid="{00000000-0005-0000-0000-000055090000}"/>
    <cellStyle name="선택영역의 가운데로" xfId="1255" xr:uid="{00000000-0005-0000-0000-0000E7040000}"/>
    <cellStyle name="선택영역의 가운데로 2" xfId="2390" xr:uid="{00000000-0005-0000-0000-000056090000}"/>
    <cellStyle name="설계서" xfId="1256" xr:uid="{00000000-0005-0000-0000-0000E8040000}"/>
    <cellStyle name="설명 텍스트 2" xfId="1257" xr:uid="{00000000-0005-0000-0000-0000E9040000}"/>
    <cellStyle name="셀 확인 2" xfId="1258" xr:uid="{00000000-0005-0000-0000-0000EA040000}"/>
    <cellStyle name="소수" xfId="1259" xr:uid="{00000000-0005-0000-0000-0000EB040000}"/>
    <cellStyle name="소수3" xfId="1260" xr:uid="{00000000-0005-0000-0000-0000EC040000}"/>
    <cellStyle name="소수4" xfId="1261" xr:uid="{00000000-0005-0000-0000-0000ED040000}"/>
    <cellStyle name="소수4 2" xfId="2391" xr:uid="{00000000-0005-0000-0000-000057090000}"/>
    <cellStyle name="소수점" xfId="1262" xr:uid="{00000000-0005-0000-0000-0000EE040000}"/>
    <cellStyle name="소수점 2" xfId="2392" xr:uid="{00000000-0005-0000-0000-000058090000}"/>
    <cellStyle name="수당" xfId="1263" xr:uid="{00000000-0005-0000-0000-0000EF040000}"/>
    <cellStyle name="수당2" xfId="1264" xr:uid="{00000000-0005-0000-0000-0000F0040000}"/>
    <cellStyle name="수량" xfId="1265" xr:uid="{00000000-0005-0000-0000-0000F1040000}"/>
    <cellStyle name="숫자(R)" xfId="1266" xr:uid="{00000000-0005-0000-0000-0000F2040000}"/>
    <cellStyle name="쉼표 [0]" xfId="1267" builtinId="6"/>
    <cellStyle name="쉼표 [0] 2" xfId="1268" xr:uid="{00000000-0005-0000-0000-0000F4040000}"/>
    <cellStyle name="쉼표 [0] 2 2" xfId="1269" xr:uid="{00000000-0005-0000-0000-0000F5040000}"/>
    <cellStyle name="쉼표 [0] 2 2 2" xfId="1270" xr:uid="{00000000-0005-0000-0000-0000F6040000}"/>
    <cellStyle name="쉼표 [0] 2 2 2 2" xfId="2396" xr:uid="{00000000-0005-0000-0000-00005C090000}"/>
    <cellStyle name="쉼표 [0] 2 2 3" xfId="2395" xr:uid="{00000000-0005-0000-0000-00005B090000}"/>
    <cellStyle name="쉼표 [0] 2 3" xfId="1271" xr:uid="{00000000-0005-0000-0000-0000F7040000}"/>
    <cellStyle name="쉼표 [0] 2 3 2" xfId="2397" xr:uid="{00000000-0005-0000-0000-00005D090000}"/>
    <cellStyle name="쉼표 [0] 2 4" xfId="1272" xr:uid="{00000000-0005-0000-0000-0000F8040000}"/>
    <cellStyle name="쉼표 [0] 2 4 2" xfId="2398" xr:uid="{00000000-0005-0000-0000-00005E090000}"/>
    <cellStyle name="쉼표 [0] 2 5" xfId="1475" xr:uid="{00000000-0005-0000-0000-0000C3050000}"/>
    <cellStyle name="쉼표 [0] 2 5 2" xfId="2466" xr:uid="{00000000-0005-0000-0000-0000A2090000}"/>
    <cellStyle name="쉼표 [0] 2 6" xfId="2394" xr:uid="{00000000-0005-0000-0000-00005A090000}"/>
    <cellStyle name="쉼표 [0] 3" xfId="1273" xr:uid="{00000000-0005-0000-0000-0000F9040000}"/>
    <cellStyle name="쉼표 [0] 3 2" xfId="1274" xr:uid="{00000000-0005-0000-0000-0000FA040000}"/>
    <cellStyle name="쉼표 [0] 3 2 2" xfId="2400" xr:uid="{00000000-0005-0000-0000-000060090000}"/>
    <cellStyle name="쉼표 [0] 3 3" xfId="2399" xr:uid="{00000000-0005-0000-0000-00005F090000}"/>
    <cellStyle name="쉼표 [0] 4" xfId="1275" xr:uid="{00000000-0005-0000-0000-0000FB040000}"/>
    <cellStyle name="쉼표 [0] 4 2" xfId="1276" xr:uid="{00000000-0005-0000-0000-0000FC040000}"/>
    <cellStyle name="쉼표 [0] 4 2 2" xfId="2402" xr:uid="{00000000-0005-0000-0000-000062090000}"/>
    <cellStyle name="쉼표 [0] 4 3" xfId="2401" xr:uid="{00000000-0005-0000-0000-000061090000}"/>
    <cellStyle name="쉼표 [0] 5" xfId="1277" xr:uid="{00000000-0005-0000-0000-0000FD040000}"/>
    <cellStyle name="쉼표 [0] 5 2" xfId="2403" xr:uid="{00000000-0005-0000-0000-000063090000}"/>
    <cellStyle name="쉼표 [0] 6" xfId="1470" xr:uid="{00000000-0005-0000-0000-0000BE050000}"/>
    <cellStyle name="쉼표 [0] 6 2" xfId="2463" xr:uid="{00000000-0005-0000-0000-00009F090000}"/>
    <cellStyle name="쉼표 [0] 7" xfId="1473" xr:uid="{00000000-0005-0000-0000-0000C1050000}"/>
    <cellStyle name="쉼표 [0] 7 2" xfId="2465" xr:uid="{00000000-0005-0000-0000-0000A1090000}"/>
    <cellStyle name="쉼표 [0] 8" xfId="2393" xr:uid="{00000000-0005-0000-0000-000059090000}"/>
    <cellStyle name="스타일 1" xfId="1278" xr:uid="{00000000-0005-0000-0000-0000FE040000}"/>
    <cellStyle name="스타일 1 2" xfId="1279" xr:uid="{00000000-0005-0000-0000-0000FF040000}"/>
    <cellStyle name="스타일 10" xfId="1280" xr:uid="{00000000-0005-0000-0000-000000050000}"/>
    <cellStyle name="스타일 11" xfId="1281" xr:uid="{00000000-0005-0000-0000-000001050000}"/>
    <cellStyle name="스타일 12" xfId="1282" xr:uid="{00000000-0005-0000-0000-000002050000}"/>
    <cellStyle name="스타일 13" xfId="1283" xr:uid="{00000000-0005-0000-0000-000003050000}"/>
    <cellStyle name="스타일 14" xfId="1284" xr:uid="{00000000-0005-0000-0000-000004050000}"/>
    <cellStyle name="스타일 15" xfId="1285" xr:uid="{00000000-0005-0000-0000-000005050000}"/>
    <cellStyle name="스타일 16" xfId="1286" xr:uid="{00000000-0005-0000-0000-000006050000}"/>
    <cellStyle name="스타일 17" xfId="1287" xr:uid="{00000000-0005-0000-0000-000007050000}"/>
    <cellStyle name="스타일 18" xfId="1288" xr:uid="{00000000-0005-0000-0000-000008050000}"/>
    <cellStyle name="스타일 19" xfId="1289" xr:uid="{00000000-0005-0000-0000-000009050000}"/>
    <cellStyle name="스타일 2" xfId="1290" xr:uid="{00000000-0005-0000-0000-00000A050000}"/>
    <cellStyle name="스타일 2 2" xfId="1291" xr:uid="{00000000-0005-0000-0000-00000B050000}"/>
    <cellStyle name="스타일 20" xfId="1292" xr:uid="{00000000-0005-0000-0000-00000C050000}"/>
    <cellStyle name="스타일 21" xfId="1293" xr:uid="{00000000-0005-0000-0000-00000D050000}"/>
    <cellStyle name="스타일 22" xfId="1294" xr:uid="{00000000-0005-0000-0000-00000E050000}"/>
    <cellStyle name="스타일 23" xfId="1295" xr:uid="{00000000-0005-0000-0000-00000F050000}"/>
    <cellStyle name="스타일 24" xfId="1296" xr:uid="{00000000-0005-0000-0000-000010050000}"/>
    <cellStyle name="스타일 25" xfId="1297" xr:uid="{00000000-0005-0000-0000-000011050000}"/>
    <cellStyle name="스타일 26" xfId="1298" xr:uid="{00000000-0005-0000-0000-000012050000}"/>
    <cellStyle name="스타일 27" xfId="1299" xr:uid="{00000000-0005-0000-0000-000013050000}"/>
    <cellStyle name="스타일 28" xfId="1300" xr:uid="{00000000-0005-0000-0000-000014050000}"/>
    <cellStyle name="스타일 29" xfId="1301" xr:uid="{00000000-0005-0000-0000-000015050000}"/>
    <cellStyle name="스타일 3" xfId="1302" xr:uid="{00000000-0005-0000-0000-000016050000}"/>
    <cellStyle name="스타일 30" xfId="1303" xr:uid="{00000000-0005-0000-0000-000017050000}"/>
    <cellStyle name="스타일 31" xfId="1304" xr:uid="{00000000-0005-0000-0000-000018050000}"/>
    <cellStyle name="스타일 32" xfId="1305" xr:uid="{00000000-0005-0000-0000-000019050000}"/>
    <cellStyle name="스타일 33" xfId="1306" xr:uid="{00000000-0005-0000-0000-00001A050000}"/>
    <cellStyle name="스타일 34" xfId="1307" xr:uid="{00000000-0005-0000-0000-00001B050000}"/>
    <cellStyle name="스타일 35" xfId="1308" xr:uid="{00000000-0005-0000-0000-00001C050000}"/>
    <cellStyle name="스타일 36" xfId="1309" xr:uid="{00000000-0005-0000-0000-00001D050000}"/>
    <cellStyle name="스타일 37" xfId="1310" xr:uid="{00000000-0005-0000-0000-00001E050000}"/>
    <cellStyle name="스타일 38" xfId="1311" xr:uid="{00000000-0005-0000-0000-00001F050000}"/>
    <cellStyle name="스타일 39" xfId="1312" xr:uid="{00000000-0005-0000-0000-000020050000}"/>
    <cellStyle name="스타일 4" xfId="1313" xr:uid="{00000000-0005-0000-0000-000021050000}"/>
    <cellStyle name="스타일 40" xfId="1314" xr:uid="{00000000-0005-0000-0000-000022050000}"/>
    <cellStyle name="스타일 41" xfId="1315" xr:uid="{00000000-0005-0000-0000-000023050000}"/>
    <cellStyle name="스타일 42" xfId="1316" xr:uid="{00000000-0005-0000-0000-000024050000}"/>
    <cellStyle name="스타일 43" xfId="1317" xr:uid="{00000000-0005-0000-0000-000025050000}"/>
    <cellStyle name="스타일 44" xfId="1318" xr:uid="{00000000-0005-0000-0000-000026050000}"/>
    <cellStyle name="스타일 45" xfId="1319" xr:uid="{00000000-0005-0000-0000-000027050000}"/>
    <cellStyle name="스타일 46" xfId="1320" xr:uid="{00000000-0005-0000-0000-000028050000}"/>
    <cellStyle name="스타일 47" xfId="1321" xr:uid="{00000000-0005-0000-0000-000029050000}"/>
    <cellStyle name="스타일 48" xfId="1322" xr:uid="{00000000-0005-0000-0000-00002A050000}"/>
    <cellStyle name="스타일 49" xfId="1323" xr:uid="{00000000-0005-0000-0000-00002B050000}"/>
    <cellStyle name="스타일 5" xfId="1324" xr:uid="{00000000-0005-0000-0000-00002C050000}"/>
    <cellStyle name="스타일 50" xfId="1325" xr:uid="{00000000-0005-0000-0000-00002D050000}"/>
    <cellStyle name="스타일 51" xfId="1326" xr:uid="{00000000-0005-0000-0000-00002E050000}"/>
    <cellStyle name="스타일 52" xfId="1327" xr:uid="{00000000-0005-0000-0000-00002F050000}"/>
    <cellStyle name="스타일 53" xfId="1328" xr:uid="{00000000-0005-0000-0000-000030050000}"/>
    <cellStyle name="스타일 54" xfId="1329" xr:uid="{00000000-0005-0000-0000-000031050000}"/>
    <cellStyle name="스타일 55" xfId="1330" xr:uid="{00000000-0005-0000-0000-000032050000}"/>
    <cellStyle name="스타일 6" xfId="1331" xr:uid="{00000000-0005-0000-0000-000033050000}"/>
    <cellStyle name="스타일 7" xfId="1332" xr:uid="{00000000-0005-0000-0000-000034050000}"/>
    <cellStyle name="스타일 8" xfId="1333" xr:uid="{00000000-0005-0000-0000-000035050000}"/>
    <cellStyle name="스타일 9" xfId="1334" xr:uid="{00000000-0005-0000-0000-000036050000}"/>
    <cellStyle name="안건회계법인" xfId="1335" xr:uid="{00000000-0005-0000-0000-000037050000}"/>
    <cellStyle name="연결된 셀 2" xfId="1336" xr:uid="{00000000-0005-0000-0000-000038050000}"/>
    <cellStyle name="요약 2" xfId="1337" xr:uid="{00000000-0005-0000-0000-000039050000}"/>
    <cellStyle name="원" xfId="1338" xr:uid="{00000000-0005-0000-0000-00003A050000}"/>
    <cellStyle name="원_가월리배수펌프(04.23)" xfId="1339" xr:uid="{00000000-0005-0000-0000-00003B050000}"/>
    <cellStyle name="원_가월리배수펌프(04.23) 2" xfId="2404" xr:uid="{00000000-0005-0000-0000-000064090000}"/>
    <cellStyle name="원_입찰내역서갑지양식" xfId="1340" xr:uid="{00000000-0005-0000-0000-00003C050000}"/>
    <cellStyle name="원_흥한건설(주)_두창산업폐기물(하도급)" xfId="1341" xr:uid="{00000000-0005-0000-0000-00003D050000}"/>
    <cellStyle name="유1" xfId="1342" xr:uid="{00000000-0005-0000-0000-00003E050000}"/>
    <cellStyle name="윤1" xfId="1343" xr:uid="{00000000-0005-0000-0000-00003F050000}"/>
    <cellStyle name="일위대가" xfId="1344" xr:uid="{00000000-0005-0000-0000-000040050000}"/>
    <cellStyle name="입력 2" xfId="1345" xr:uid="{00000000-0005-0000-0000-000041050000}"/>
    <cellStyle name="자리수" xfId="1346" xr:uid="{00000000-0005-0000-0000-000042050000}"/>
    <cellStyle name="자리수 - 유형1" xfId="1347" xr:uid="{00000000-0005-0000-0000-000043050000}"/>
    <cellStyle name="자리수_거성토건도급계약내역(신일중고)" xfId="1348" xr:uid="{00000000-0005-0000-0000-000044050000}"/>
    <cellStyle name="자리수0" xfId="1349" xr:uid="{00000000-0005-0000-0000-000045050000}"/>
    <cellStyle name="제목 1 2" xfId="1350" xr:uid="{00000000-0005-0000-0000-000046050000}"/>
    <cellStyle name="제목 2 2" xfId="1351" xr:uid="{00000000-0005-0000-0000-000047050000}"/>
    <cellStyle name="제목 3 2" xfId="1352" xr:uid="{00000000-0005-0000-0000-000048050000}"/>
    <cellStyle name="제목 4 2" xfId="1353" xr:uid="{00000000-0005-0000-0000-000049050000}"/>
    <cellStyle name="제목 5" xfId="1354" xr:uid="{00000000-0005-0000-0000-00004A050000}"/>
    <cellStyle name="좋음 2" xfId="1355" xr:uid="{00000000-0005-0000-0000-00004B050000}"/>
    <cellStyle name="지정되지 않음" xfId="1356" xr:uid="{00000000-0005-0000-0000-00004C050000}"/>
    <cellStyle name="출력 2" xfId="1357" xr:uid="{00000000-0005-0000-0000-00004D050000}"/>
    <cellStyle name="콤" xfId="1358" xr:uid="{00000000-0005-0000-0000-00004E050000}"/>
    <cellStyle name="콤 2" xfId="2405" xr:uid="{00000000-0005-0000-0000-000065090000}"/>
    <cellStyle name="콤_3.우수" xfId="1359" xr:uid="{00000000-0005-0000-0000-00004F050000}"/>
    <cellStyle name="콤_3.우수_1" xfId="1360" xr:uid="{00000000-0005-0000-0000-000050050000}"/>
    <cellStyle name="콤_4.오수" xfId="1361" xr:uid="{00000000-0005-0000-0000-000051050000}"/>
    <cellStyle name="콤_거성토건도급계약내역(신일중고)" xfId="1362" xr:uid="{00000000-0005-0000-0000-000052050000}"/>
    <cellStyle name="콤_거성토건도급계약내역(신일중고) 2" xfId="2406" xr:uid="{00000000-0005-0000-0000-000066090000}"/>
    <cellStyle name="콤_도로" xfId="1363" xr:uid="{00000000-0005-0000-0000-000053050000}"/>
    <cellStyle name="콤_부대초안" xfId="1364" xr:uid="{00000000-0005-0000-0000-000054050000}"/>
    <cellStyle name="콤_부대초안 2" xfId="2407" xr:uid="{00000000-0005-0000-0000-000067090000}"/>
    <cellStyle name="콤_부대초안_견적의뢰" xfId="1365" xr:uid="{00000000-0005-0000-0000-000055050000}"/>
    <cellStyle name="콤_부대초안_견적의뢰 2" xfId="2408" xr:uid="{00000000-0005-0000-0000-000068090000}"/>
    <cellStyle name="콤_부대초안_김포투찰" xfId="1366" xr:uid="{00000000-0005-0000-0000-000056050000}"/>
    <cellStyle name="콤_부대초안_김포투찰_견적의뢰" xfId="1367" xr:uid="{00000000-0005-0000-0000-000057050000}"/>
    <cellStyle name="콤_부대초안_김포투찰_견적의뢰 2" xfId="2409" xr:uid="{00000000-0005-0000-0000-000069090000}"/>
    <cellStyle name="콤_실행예산" xfId="1368" xr:uid="{00000000-0005-0000-0000-000058050000}"/>
    <cellStyle name="콤_토목내역서" xfId="1369" xr:uid="{00000000-0005-0000-0000-000059050000}"/>
    <cellStyle name="콤_토목내역서 2" xfId="2410" xr:uid="{00000000-0005-0000-0000-00006A090000}"/>
    <cellStyle name="콤_토목내역서_도로" xfId="1370" xr:uid="{00000000-0005-0000-0000-00005A050000}"/>
    <cellStyle name="콤_토목내역서_부대초안" xfId="1371" xr:uid="{00000000-0005-0000-0000-00005B050000}"/>
    <cellStyle name="콤_토목내역서_부대초안 2" xfId="2411" xr:uid="{00000000-0005-0000-0000-00006B090000}"/>
    <cellStyle name="콤_토목내역서_부대초안_견적의뢰" xfId="1372" xr:uid="{00000000-0005-0000-0000-00005C050000}"/>
    <cellStyle name="콤_토목내역서_부대초안_견적의뢰 2" xfId="2412" xr:uid="{00000000-0005-0000-0000-00006C090000}"/>
    <cellStyle name="콤_토목내역서_부대초안_김포투찰" xfId="1373" xr:uid="{00000000-0005-0000-0000-00005D050000}"/>
    <cellStyle name="콤_토목내역서_부대초안_김포투찰_견적의뢰" xfId="1374" xr:uid="{00000000-0005-0000-0000-00005E050000}"/>
    <cellStyle name="콤_토목내역서_부대초안_김포투찰_견적의뢰 2" xfId="2413" xr:uid="{00000000-0005-0000-0000-00006D090000}"/>
    <cellStyle name="콤마" xfId="1375" xr:uid="{00000000-0005-0000-0000-00005F050000}"/>
    <cellStyle name="콤마 [" xfId="1376" xr:uid="{00000000-0005-0000-0000-000060050000}"/>
    <cellStyle name="콤마 [ 2" xfId="2414" xr:uid="{00000000-0005-0000-0000-00006E090000}"/>
    <cellStyle name="콤마 [#]" xfId="1377" xr:uid="{00000000-0005-0000-0000-000061050000}"/>
    <cellStyle name="콤마 [#] 2" xfId="2415" xr:uid="{00000000-0005-0000-0000-00006F090000}"/>
    <cellStyle name="콤마 []" xfId="1378" xr:uid="{00000000-0005-0000-0000-000062050000}"/>
    <cellStyle name="콤마 [_거성토건도급계약내역(신일중고)" xfId="1379" xr:uid="{00000000-0005-0000-0000-000063050000}"/>
    <cellStyle name="콤마 [0]" xfId="1380" xr:uid="{00000000-0005-0000-0000-000064050000}"/>
    <cellStyle name="콤마 [0] 2" xfId="2416" xr:uid="{00000000-0005-0000-0000-000070090000}"/>
    <cellStyle name="콤마 [2]" xfId="1381" xr:uid="{00000000-0005-0000-0000-000065050000}"/>
    <cellStyle name="콤마 [2] 2" xfId="1382" xr:uid="{00000000-0005-0000-0000-000066050000}"/>
    <cellStyle name="콤마 [금액]" xfId="1383" xr:uid="{00000000-0005-0000-0000-000067050000}"/>
    <cellStyle name="콤마 [소수]" xfId="1384" xr:uid="{00000000-0005-0000-0000-000068050000}"/>
    <cellStyle name="콤마 [소수] 2" xfId="2417" xr:uid="{00000000-0005-0000-0000-000071090000}"/>
    <cellStyle name="콤마 [수량]" xfId="1385" xr:uid="{00000000-0005-0000-0000-000069050000}"/>
    <cellStyle name="콤마 [수량] 2" xfId="2418" xr:uid="{00000000-0005-0000-0000-000072090000}"/>
    <cellStyle name="콤마[ ]" xfId="1386" xr:uid="{00000000-0005-0000-0000-00006A050000}"/>
    <cellStyle name="콤마[*]" xfId="1387" xr:uid="{00000000-0005-0000-0000-00006B050000}"/>
    <cellStyle name="콤마[.]" xfId="1388" xr:uid="{00000000-0005-0000-0000-00006C050000}"/>
    <cellStyle name="콤마[0]" xfId="1389" xr:uid="{00000000-0005-0000-0000-00006D050000}"/>
    <cellStyle name="콤마_   1997   " xfId="1390" xr:uid="{00000000-0005-0000-0000-00006E050000}"/>
    <cellStyle name="통" xfId="1391" xr:uid="{00000000-0005-0000-0000-00006F050000}"/>
    <cellStyle name="통 2" xfId="2419" xr:uid="{00000000-0005-0000-0000-000073090000}"/>
    <cellStyle name="통_3.우수" xfId="1392" xr:uid="{00000000-0005-0000-0000-000070050000}"/>
    <cellStyle name="통_3.우수_1" xfId="1393" xr:uid="{00000000-0005-0000-0000-000071050000}"/>
    <cellStyle name="통_4.오수" xfId="1394" xr:uid="{00000000-0005-0000-0000-000072050000}"/>
    <cellStyle name="통_거성토건도급계약내역(신일중고)" xfId="1395" xr:uid="{00000000-0005-0000-0000-000073050000}"/>
    <cellStyle name="통_거성토건도급계약내역(신일중고) 2" xfId="2420" xr:uid="{00000000-0005-0000-0000-000074090000}"/>
    <cellStyle name="통_도로" xfId="1396" xr:uid="{00000000-0005-0000-0000-000074050000}"/>
    <cellStyle name="통_부대초안" xfId="1397" xr:uid="{00000000-0005-0000-0000-000075050000}"/>
    <cellStyle name="통_부대초안 2" xfId="2421" xr:uid="{00000000-0005-0000-0000-000075090000}"/>
    <cellStyle name="통_부대초안_견적의뢰" xfId="1398" xr:uid="{00000000-0005-0000-0000-000076050000}"/>
    <cellStyle name="통_부대초안_견적의뢰 2" xfId="2422" xr:uid="{00000000-0005-0000-0000-000076090000}"/>
    <cellStyle name="통_부대초안_김포투찰" xfId="1399" xr:uid="{00000000-0005-0000-0000-000077050000}"/>
    <cellStyle name="통_부대초안_김포투찰_견적의뢰" xfId="1400" xr:uid="{00000000-0005-0000-0000-000078050000}"/>
    <cellStyle name="통_부대초안_김포투찰_견적의뢰 2" xfId="2423" xr:uid="{00000000-0005-0000-0000-000077090000}"/>
    <cellStyle name="통_실행예산" xfId="1401" xr:uid="{00000000-0005-0000-0000-000079050000}"/>
    <cellStyle name="통_토목내역서" xfId="1402" xr:uid="{00000000-0005-0000-0000-00007A050000}"/>
    <cellStyle name="통_토목내역서 2" xfId="2424" xr:uid="{00000000-0005-0000-0000-000078090000}"/>
    <cellStyle name="통_토목내역서_도로" xfId="1403" xr:uid="{00000000-0005-0000-0000-00007B050000}"/>
    <cellStyle name="통_토목내역서_부대초안" xfId="1404" xr:uid="{00000000-0005-0000-0000-00007C050000}"/>
    <cellStyle name="통_토목내역서_부대초안 2" xfId="2425" xr:uid="{00000000-0005-0000-0000-000079090000}"/>
    <cellStyle name="통_토목내역서_부대초안_견적의뢰" xfId="1405" xr:uid="{00000000-0005-0000-0000-00007D050000}"/>
    <cellStyle name="통_토목내역서_부대초안_견적의뢰 2" xfId="2426" xr:uid="{00000000-0005-0000-0000-00007A090000}"/>
    <cellStyle name="통_토목내역서_부대초안_김포투찰" xfId="1406" xr:uid="{00000000-0005-0000-0000-00007E050000}"/>
    <cellStyle name="통_토목내역서_부대초안_김포투찰_견적의뢰" xfId="1407" xr:uid="{00000000-0005-0000-0000-00007F050000}"/>
    <cellStyle name="통_토목내역서_부대초안_김포투찰_견적의뢰 2" xfId="2427" xr:uid="{00000000-0005-0000-0000-00007B090000}"/>
    <cellStyle name="통화 [" xfId="1408" xr:uid="{00000000-0005-0000-0000-000080050000}"/>
    <cellStyle name="통화 [ 2" xfId="2428" xr:uid="{00000000-0005-0000-0000-00007C090000}"/>
    <cellStyle name="통화 [0] 2" xfId="1409" xr:uid="{00000000-0005-0000-0000-000081050000}"/>
    <cellStyle name="통화 [0] 2 2" xfId="2429" xr:uid="{00000000-0005-0000-0000-00007D090000}"/>
    <cellStyle name="통화 [0] 3" xfId="1410" xr:uid="{00000000-0005-0000-0000-000082050000}"/>
    <cellStyle name="통화 [0] 3 2" xfId="2430" xr:uid="{00000000-0005-0000-0000-00007E090000}"/>
    <cellStyle name="퍼센트" xfId="1411" xr:uid="{00000000-0005-0000-0000-000083050000}"/>
    <cellStyle name="표" xfId="1412" xr:uid="{00000000-0005-0000-0000-000084050000}"/>
    <cellStyle name="표 2" xfId="2431" xr:uid="{00000000-0005-0000-0000-00007F090000}"/>
    <cellStyle name="표_3.우수" xfId="1413" xr:uid="{00000000-0005-0000-0000-000085050000}"/>
    <cellStyle name="표_3.우수_1" xfId="1414" xr:uid="{00000000-0005-0000-0000-000086050000}"/>
    <cellStyle name="표_4.오수" xfId="1415" xr:uid="{00000000-0005-0000-0000-000087050000}"/>
    <cellStyle name="표_거성토건도급계약내역(신일중고)" xfId="1416" xr:uid="{00000000-0005-0000-0000-000088050000}"/>
    <cellStyle name="표_거성토건도급계약내역(신일중고) 2" xfId="2432" xr:uid="{00000000-0005-0000-0000-000080090000}"/>
    <cellStyle name="표_도로" xfId="1417" xr:uid="{00000000-0005-0000-0000-000089050000}"/>
    <cellStyle name="표_부대초안" xfId="1418" xr:uid="{00000000-0005-0000-0000-00008A050000}"/>
    <cellStyle name="표_부대초안 2" xfId="2433" xr:uid="{00000000-0005-0000-0000-000081090000}"/>
    <cellStyle name="표_부대초안_견적의뢰" xfId="1419" xr:uid="{00000000-0005-0000-0000-00008B050000}"/>
    <cellStyle name="표_부대초안_견적의뢰 2" xfId="2434" xr:uid="{00000000-0005-0000-0000-000082090000}"/>
    <cellStyle name="표_부대초안_김포투찰" xfId="1420" xr:uid="{00000000-0005-0000-0000-00008C050000}"/>
    <cellStyle name="표_부대초안_김포투찰_견적의뢰" xfId="1421" xr:uid="{00000000-0005-0000-0000-00008D050000}"/>
    <cellStyle name="표_부대초안_김포투찰_견적의뢰 2" xfId="2435" xr:uid="{00000000-0005-0000-0000-000083090000}"/>
    <cellStyle name="표_실행예산" xfId="1422" xr:uid="{00000000-0005-0000-0000-00008E050000}"/>
    <cellStyle name="표_토목내역서" xfId="1423" xr:uid="{00000000-0005-0000-0000-00008F050000}"/>
    <cellStyle name="표_토목내역서 2" xfId="2436" xr:uid="{00000000-0005-0000-0000-000084090000}"/>
    <cellStyle name="표_토목내역서_도로" xfId="1424" xr:uid="{00000000-0005-0000-0000-000090050000}"/>
    <cellStyle name="표_토목내역서_부대초안" xfId="1425" xr:uid="{00000000-0005-0000-0000-000091050000}"/>
    <cellStyle name="표_토목내역서_부대초안 2" xfId="2437" xr:uid="{00000000-0005-0000-0000-000085090000}"/>
    <cellStyle name="표_토목내역서_부대초안_견적의뢰" xfId="1426" xr:uid="{00000000-0005-0000-0000-000092050000}"/>
    <cellStyle name="표_토목내역서_부대초안_견적의뢰 2" xfId="2438" xr:uid="{00000000-0005-0000-0000-000086090000}"/>
    <cellStyle name="표_토목내역서_부대초안_김포투찰" xfId="1427" xr:uid="{00000000-0005-0000-0000-000093050000}"/>
    <cellStyle name="표_토목내역서_부대초안_김포투찰_견적의뢰" xfId="1428" xr:uid="{00000000-0005-0000-0000-000094050000}"/>
    <cellStyle name="표_토목내역서_부대초안_김포투찰_견적의뢰 2" xfId="2439" xr:uid="{00000000-0005-0000-0000-000087090000}"/>
    <cellStyle name="표준" xfId="0" builtinId="0"/>
    <cellStyle name="표준 10" xfId="1429" xr:uid="{00000000-0005-0000-0000-000095050000}"/>
    <cellStyle name="표준 10 2" xfId="2440" xr:uid="{00000000-0005-0000-0000-000088090000}"/>
    <cellStyle name="표준 11" xfId="1430" xr:uid="{00000000-0005-0000-0000-000096050000}"/>
    <cellStyle name="표준 11 2" xfId="2441" xr:uid="{00000000-0005-0000-0000-000089090000}"/>
    <cellStyle name="표준 12" xfId="1431" xr:uid="{00000000-0005-0000-0000-000097050000}"/>
    <cellStyle name="표준 13" xfId="1432" xr:uid="{00000000-0005-0000-0000-000098050000}"/>
    <cellStyle name="표준 13 2" xfId="2442" xr:uid="{00000000-0005-0000-0000-00008A090000}"/>
    <cellStyle name="표준 14" xfId="1433" xr:uid="{00000000-0005-0000-0000-000099050000}"/>
    <cellStyle name="표준 14 2" xfId="2443" xr:uid="{00000000-0005-0000-0000-00008B090000}"/>
    <cellStyle name="표준 15" xfId="1434" xr:uid="{00000000-0005-0000-0000-00009A050000}"/>
    <cellStyle name="표준 15 2" xfId="2444" xr:uid="{00000000-0005-0000-0000-00008C090000}"/>
    <cellStyle name="표준 16" xfId="1435" xr:uid="{00000000-0005-0000-0000-00009B050000}"/>
    <cellStyle name="표준 16 2" xfId="2445" xr:uid="{00000000-0005-0000-0000-00008D090000}"/>
    <cellStyle name="표준 17" xfId="1469" xr:uid="{00000000-0005-0000-0000-0000BD050000}"/>
    <cellStyle name="표준 18" xfId="1472" xr:uid="{00000000-0005-0000-0000-0000C0050000}"/>
    <cellStyle name="표준 18 2" xfId="2464" xr:uid="{00000000-0005-0000-0000-0000A0090000}"/>
    <cellStyle name="표준 2" xfId="1436" xr:uid="{00000000-0005-0000-0000-00009C050000}"/>
    <cellStyle name="표준 2 2" xfId="1437" xr:uid="{00000000-0005-0000-0000-00009D050000}"/>
    <cellStyle name="표준 2 2 2" xfId="1438" xr:uid="{00000000-0005-0000-0000-00009E050000}"/>
    <cellStyle name="표준 2 2 2 2" xfId="2447" xr:uid="{00000000-0005-0000-0000-00008F090000}"/>
    <cellStyle name="표준 2 2 3" xfId="1439" xr:uid="{00000000-0005-0000-0000-00009F050000}"/>
    <cellStyle name="표준 2 2 3 2" xfId="2448" xr:uid="{00000000-0005-0000-0000-000090090000}"/>
    <cellStyle name="표준 2 2 4" xfId="2446" xr:uid="{00000000-0005-0000-0000-00008E090000}"/>
    <cellStyle name="표준 2 3" xfId="1440" xr:uid="{00000000-0005-0000-0000-0000A0050000}"/>
    <cellStyle name="표준 2 3 2" xfId="2449" xr:uid="{00000000-0005-0000-0000-000091090000}"/>
    <cellStyle name="표준 2 4" xfId="1441" xr:uid="{00000000-0005-0000-0000-0000A1050000}"/>
    <cellStyle name="표준 2 6" xfId="1442" xr:uid="{00000000-0005-0000-0000-0000A2050000}"/>
    <cellStyle name="표준 2_G-2빌딩(홈스웰)" xfId="1443" xr:uid="{00000000-0005-0000-0000-0000A3050000}"/>
    <cellStyle name="표준 3" xfId="1444" xr:uid="{00000000-0005-0000-0000-0000A4050000}"/>
    <cellStyle name="표준 3 2" xfId="1445" xr:uid="{00000000-0005-0000-0000-0000A5050000}"/>
    <cellStyle name="표준 3 2 2" xfId="1446" xr:uid="{00000000-0005-0000-0000-0000A6050000}"/>
    <cellStyle name="표준 3 2 2 2" xfId="2452" xr:uid="{00000000-0005-0000-0000-000094090000}"/>
    <cellStyle name="표준 3 2 3" xfId="2451" xr:uid="{00000000-0005-0000-0000-000093090000}"/>
    <cellStyle name="표준 3 3" xfId="1447" xr:uid="{00000000-0005-0000-0000-0000A7050000}"/>
    <cellStyle name="표준 3 4" xfId="1448" xr:uid="{00000000-0005-0000-0000-0000A8050000}"/>
    <cellStyle name="표준 3 5" xfId="2450" xr:uid="{00000000-0005-0000-0000-000092090000}"/>
    <cellStyle name="표준 3_개나리13단지  프리액션 타견적(대양,홈스웰)131205" xfId="1449" xr:uid="{00000000-0005-0000-0000-0000A9050000}"/>
    <cellStyle name="표준 4" xfId="1450" xr:uid="{00000000-0005-0000-0000-0000AA050000}"/>
    <cellStyle name="표준 4 2" xfId="1451" xr:uid="{00000000-0005-0000-0000-0000AB050000}"/>
    <cellStyle name="표준 4 2 2" xfId="2454" xr:uid="{00000000-0005-0000-0000-000096090000}"/>
    <cellStyle name="표준 4 3" xfId="1452" xr:uid="{00000000-0005-0000-0000-0000AC050000}"/>
    <cellStyle name="표준 4 4" xfId="1453" xr:uid="{00000000-0005-0000-0000-0000AD050000}"/>
    <cellStyle name="표준 4 5" xfId="2453" xr:uid="{00000000-0005-0000-0000-000095090000}"/>
    <cellStyle name="표준 5" xfId="1454" xr:uid="{00000000-0005-0000-0000-0000AE050000}"/>
    <cellStyle name="표준 5 2" xfId="1455" xr:uid="{00000000-0005-0000-0000-0000AF050000}"/>
    <cellStyle name="표준 5 2 2" xfId="2456" xr:uid="{00000000-0005-0000-0000-000098090000}"/>
    <cellStyle name="표준 5 3" xfId="1456" xr:uid="{00000000-0005-0000-0000-0000B0050000}"/>
    <cellStyle name="표준 5 4" xfId="2455" xr:uid="{00000000-0005-0000-0000-000097090000}"/>
    <cellStyle name="표준 6" xfId="1457" xr:uid="{00000000-0005-0000-0000-0000B1050000}"/>
    <cellStyle name="표준 6 2" xfId="1458" xr:uid="{00000000-0005-0000-0000-0000B2050000}"/>
    <cellStyle name="표준 6 2 2" xfId="2458" xr:uid="{00000000-0005-0000-0000-00009A090000}"/>
    <cellStyle name="표준 6 3" xfId="2457" xr:uid="{00000000-0005-0000-0000-000099090000}"/>
    <cellStyle name="표준 7" xfId="1459" xr:uid="{00000000-0005-0000-0000-0000B3050000}"/>
    <cellStyle name="표준 7 2" xfId="1460" xr:uid="{00000000-0005-0000-0000-0000B4050000}"/>
    <cellStyle name="표준 7 2 2" xfId="2460" xr:uid="{00000000-0005-0000-0000-00009C090000}"/>
    <cellStyle name="표준 7 3" xfId="1474" xr:uid="{00000000-0005-0000-0000-0000C2050000}"/>
    <cellStyle name="표준 7 4" xfId="2459" xr:uid="{00000000-0005-0000-0000-00009B090000}"/>
    <cellStyle name="표준 8" xfId="1461" xr:uid="{00000000-0005-0000-0000-0000B5050000}"/>
    <cellStyle name="표준 8 2" xfId="1462" xr:uid="{00000000-0005-0000-0000-0000B6050000}"/>
    <cellStyle name="표준 8 2 2" xfId="2462" xr:uid="{00000000-0005-0000-0000-00009E090000}"/>
    <cellStyle name="표준 8 3" xfId="2461" xr:uid="{00000000-0005-0000-0000-00009D090000}"/>
    <cellStyle name="표준 9" xfId="1463" xr:uid="{00000000-0005-0000-0000-0000B7050000}"/>
    <cellStyle name="標準_Akia(F）-8" xfId="1464" xr:uid="{00000000-0005-0000-0000-0000B8050000}"/>
    <cellStyle name="하이퍼링크 2" xfId="1476" xr:uid="{00000000-0005-0000-0000-0000C4050000}"/>
    <cellStyle name="합산" xfId="1465" xr:uid="{00000000-0005-0000-0000-0000B9050000}"/>
    <cellStyle name="화폐기호" xfId="1466" xr:uid="{00000000-0005-0000-0000-0000BA050000}"/>
    <cellStyle name="화폐기호0" xfId="1467" xr:uid="{00000000-0005-0000-0000-0000BB050000}"/>
    <cellStyle name="ㅣ" xfId="1468" xr:uid="{00000000-0005-0000-0000-0000BC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64190</xdr:colOff>
      <xdr:row>20</xdr:row>
      <xdr:rowOff>9525</xdr:rowOff>
    </xdr:from>
    <xdr:to>
      <xdr:col>6</xdr:col>
      <xdr:colOff>649640</xdr:colOff>
      <xdr:row>21</xdr:row>
      <xdr:rowOff>301875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78740" y="7629525"/>
          <a:ext cx="2700000" cy="540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1714</xdr:colOff>
      <xdr:row>0</xdr:row>
      <xdr:rowOff>117100</xdr:rowOff>
    </xdr:from>
    <xdr:to>
      <xdr:col>9</xdr:col>
      <xdr:colOff>695433</xdr:colOff>
      <xdr:row>2</xdr:row>
      <xdr:rowOff>19708</xdr:rowOff>
    </xdr:to>
    <xdr:pic>
      <xdr:nvPicPr>
        <xdr:cNvPr id="3" name="그림 2" descr="맑은 파란 하늘을 배경으로 하는 건물 외관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" y="117100"/>
          <a:ext cx="7019633" cy="66460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488156</xdr:colOff>
      <xdr:row>4</xdr:row>
      <xdr:rowOff>11906</xdr:rowOff>
    </xdr:from>
    <xdr:to>
      <xdr:col>27</xdr:col>
      <xdr:colOff>0</xdr:colOff>
      <xdr:row>6</xdr:row>
      <xdr:rowOff>214312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4097" y="2096200"/>
          <a:ext cx="4151079" cy="9532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495085</xdr:colOff>
      <xdr:row>6</xdr:row>
      <xdr:rowOff>229228</xdr:rowOff>
    </xdr:from>
    <xdr:to>
      <xdr:col>27</xdr:col>
      <xdr:colOff>75676</xdr:colOff>
      <xdr:row>9</xdr:row>
      <xdr:rowOff>261478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631" t="20458" r="18715" b="25296"/>
        <a:stretch>
          <a:fillRect/>
        </a:stretch>
      </xdr:blipFill>
      <xdr:spPr>
        <a:xfrm>
          <a:off x="10333049" y="2869014"/>
          <a:ext cx="1063770" cy="108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35</xdr:row>
      <xdr:rowOff>32755</xdr:rowOff>
    </xdr:from>
    <xdr:to>
      <xdr:col>6</xdr:col>
      <xdr:colOff>1024575</xdr:colOff>
      <xdr:row>36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9850" y="9900655"/>
          <a:ext cx="2520000" cy="36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35</xdr:row>
      <xdr:rowOff>0</xdr:rowOff>
    </xdr:from>
    <xdr:to>
      <xdr:col>7</xdr:col>
      <xdr:colOff>53025</xdr:colOff>
      <xdr:row>1048576</xdr:row>
      <xdr:rowOff>17100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3675" y="10239375"/>
          <a:ext cx="2520000" cy="36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35</xdr:row>
      <xdr:rowOff>9525</xdr:rowOff>
    </xdr:from>
    <xdr:to>
      <xdr:col>6</xdr:col>
      <xdr:colOff>1053150</xdr:colOff>
      <xdr:row>35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8425" y="9877425"/>
          <a:ext cx="2520000" cy="36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140804</xdr:colOff>
      <xdr:row>40</xdr:row>
      <xdr:rowOff>33124</xdr:rowOff>
    </xdr:from>
    <xdr:to>
      <xdr:col>16</xdr:col>
      <xdr:colOff>242283</xdr:colOff>
      <xdr:row>40</xdr:row>
      <xdr:rowOff>369794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19863" y="10801977"/>
          <a:ext cx="2544361" cy="3366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57;&#50864;\&#50504;&#50577;&#49884;\&#47928;&#50976;&#49457;\2001&#45800;&#44032;&#44228;&#50557;(&#44148;&#49444;&#44277;&#493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652;&#44148;&#49444;\&#49688;&#50896;&#49884;\My%20Documents\2001&#45380;&#44036;&#45800;&#44032;\2001&#45800;&#44032;&#44228;&#50557;(&#44148;&#49444;&#44277;&#4932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조명율표"/>
    </sheetNames>
    <sheetDataSet>
      <sheetData sheetId="0">
        <row r="72">
          <cell r="AA72">
            <v>56840</v>
          </cell>
        </row>
        <row r="170">
          <cell r="S170">
            <v>5856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9노임(공사)"/>
      <sheetName val="수량산출서"/>
      <sheetName val="수량집계표"/>
      <sheetName val="일위대가(가설)"/>
      <sheetName val="수량산출"/>
      <sheetName val="단가"/>
      <sheetName val="시설물일위"/>
      <sheetName val="매인"/>
      <sheetName val="터널조도"/>
      <sheetName val="부하계산서"/>
      <sheetName val="데이타"/>
      <sheetName val="식재인부"/>
      <sheetName val="품셈"/>
      <sheetName val="대목"/>
      <sheetName val="2001단가계약(건설공사)"/>
      <sheetName val="표지 (2)"/>
      <sheetName val="b_balju_cho"/>
      <sheetName val="단가비교표"/>
      <sheetName val="Sales Comparison"/>
      <sheetName val="I一般比"/>
      <sheetName val="수목데이타"/>
      <sheetName val="조명율표"/>
      <sheetName val="수로BOX"/>
      <sheetName val="2"/>
      <sheetName val="과세내역(세부)"/>
      <sheetName val="하조서"/>
      <sheetName val="공사개요"/>
      <sheetName val="노임단가"/>
      <sheetName val="단가조사"/>
      <sheetName val="DATA"/>
      <sheetName val="공사설계서"/>
    </sheetNames>
    <sheetDataSet>
      <sheetData sheetId="0" refreshError="1">
        <row r="34">
          <cell r="U34">
            <v>276.44</v>
          </cell>
        </row>
        <row r="39">
          <cell r="U39">
            <v>204000</v>
          </cell>
        </row>
        <row r="51">
          <cell r="AA51">
            <v>63210</v>
          </cell>
        </row>
        <row r="72">
          <cell r="AA72">
            <v>56840</v>
          </cell>
        </row>
        <row r="90">
          <cell r="AA90">
            <v>51490</v>
          </cell>
        </row>
        <row r="91">
          <cell r="AA91">
            <v>37050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170">
          <cell r="S170">
            <v>5856</v>
          </cell>
        </row>
        <row r="171">
          <cell r="S171">
            <v>264705</v>
          </cell>
        </row>
        <row r="172">
          <cell r="S172">
            <v>450</v>
          </cell>
        </row>
        <row r="173">
          <cell r="S173">
            <v>668</v>
          </cell>
        </row>
        <row r="215">
          <cell r="S215">
            <v>1370</v>
          </cell>
        </row>
      </sheetData>
      <sheetData sheetId="1"/>
      <sheetData sheetId="2" refreshError="1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7" zoomScaleSheetLayoutView="4" workbookViewId="0"/>
  </sheetViews>
  <sheetFormatPr defaultRowHeight="13.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XFD29"/>
  <sheetViews>
    <sheetView showGridLines="0" topLeftCell="A22" zoomScaleNormal="100" zoomScaleSheetLayoutView="145" workbookViewId="0">
      <selection activeCell="A3" sqref="A3:J5"/>
    </sheetView>
  </sheetViews>
  <sheetFormatPr defaultColWidth="0" defaultRowHeight="30" customHeight="1" zeroHeight="1"/>
  <cols>
    <col min="1" max="10" width="8.21875" customWidth="1"/>
    <col min="11" max="11" width="8.88671875" hidden="1" customWidth="1"/>
    <col min="12" max="16384" width="8.88671875" hidden="1"/>
  </cols>
  <sheetData>
    <row r="1" spans="1:16384" ht="30" customHeight="1"/>
    <row r="2" spans="1:16384" ht="30" customHeight="1"/>
    <row r="3" spans="1:16384" ht="30" customHeight="1">
      <c r="A3" s="346" t="s">
        <v>0</v>
      </c>
      <c r="B3" s="347"/>
      <c r="C3" s="347"/>
      <c r="D3" s="347"/>
      <c r="E3" s="347"/>
      <c r="F3" s="347"/>
      <c r="G3" s="347"/>
      <c r="H3" s="347"/>
      <c r="I3" s="347"/>
      <c r="J3" s="347"/>
    </row>
    <row r="4" spans="1:16384" ht="30" customHeight="1">
      <c r="A4" s="347"/>
      <c r="B4" s="347"/>
      <c r="C4" s="347"/>
      <c r="D4" s="347"/>
      <c r="E4" s="347"/>
      <c r="F4" s="347"/>
      <c r="G4" s="347"/>
      <c r="H4" s="347"/>
      <c r="I4" s="347"/>
      <c r="J4" s="347"/>
    </row>
    <row r="5" spans="1:16384" ht="30" customHeight="1">
      <c r="A5" s="347"/>
      <c r="B5" s="347"/>
      <c r="C5" s="347"/>
      <c r="D5" s="347"/>
      <c r="E5" s="347"/>
      <c r="F5" s="347"/>
      <c r="G5" s="347"/>
      <c r="H5" s="347"/>
      <c r="I5" s="347"/>
      <c r="J5" s="347"/>
    </row>
    <row r="6" spans="1:16384" ht="30" customHeight="1">
      <c r="A6" s="350" t="s">
        <v>1</v>
      </c>
      <c r="B6" s="347"/>
      <c r="C6" s="347"/>
      <c r="D6" s="347"/>
      <c r="E6" s="347"/>
      <c r="F6" s="347"/>
      <c r="G6" s="347"/>
      <c r="H6" s="347"/>
      <c r="I6" s="347"/>
      <c r="J6" s="347"/>
    </row>
    <row r="7" spans="1:16384" ht="30" customHeight="1">
      <c r="A7" s="352" t="s">
        <v>2</v>
      </c>
      <c r="B7" s="347"/>
      <c r="C7" s="347"/>
      <c r="D7" s="347"/>
      <c r="E7" s="347"/>
      <c r="F7" s="347"/>
      <c r="G7" s="347"/>
      <c r="H7" s="347"/>
      <c r="I7" s="347"/>
      <c r="J7" s="347"/>
    </row>
    <row r="8" spans="1:16384" ht="30" customHeight="1">
      <c r="A8" s="76"/>
      <c r="B8" s="76"/>
      <c r="C8" s="76"/>
      <c r="D8" s="76"/>
      <c r="E8" s="76"/>
      <c r="F8" s="76"/>
      <c r="G8" s="76"/>
      <c r="H8" s="76"/>
      <c r="I8" s="76"/>
      <c r="J8" s="76"/>
    </row>
    <row r="9" spans="1:16384" ht="30" customHeight="1">
      <c r="A9" s="76"/>
      <c r="B9" s="76"/>
      <c r="C9" s="76"/>
      <c r="D9" s="76"/>
      <c r="E9" s="76"/>
      <c r="F9" s="76"/>
      <c r="G9" s="76"/>
      <c r="H9" s="76"/>
      <c r="I9" s="76"/>
      <c r="J9" s="76"/>
    </row>
    <row r="10" spans="1:16384" s="345" customFormat="1" ht="30" customHeight="1">
      <c r="A10" s="354"/>
      <c r="B10" s="354"/>
      <c r="C10" s="354"/>
      <c r="D10" s="354"/>
      <c r="E10" s="354"/>
      <c r="F10" s="354"/>
      <c r="G10" s="354"/>
      <c r="H10" s="354"/>
      <c r="I10" s="354"/>
      <c r="J10" s="354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3"/>
      <c r="AG10" s="353"/>
      <c r="AH10" s="353"/>
      <c r="AI10" s="353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53"/>
      <c r="AU10" s="353"/>
      <c r="AV10" s="353"/>
      <c r="AW10" s="353"/>
      <c r="AX10" s="353"/>
      <c r="AY10" s="353"/>
      <c r="AZ10" s="353"/>
      <c r="BA10" s="353"/>
      <c r="BB10" s="353"/>
      <c r="BC10" s="353"/>
      <c r="BD10" s="353"/>
      <c r="BE10" s="353"/>
      <c r="BF10" s="353"/>
      <c r="BG10" s="353"/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53"/>
      <c r="BS10" s="353"/>
      <c r="BT10" s="353"/>
      <c r="BU10" s="353"/>
      <c r="BV10" s="353"/>
      <c r="BW10" s="353"/>
      <c r="BX10" s="353"/>
      <c r="BY10" s="353"/>
      <c r="BZ10" s="353"/>
      <c r="CA10" s="353"/>
      <c r="CB10" s="353"/>
      <c r="CC10" s="353"/>
      <c r="CD10" s="353"/>
      <c r="CE10" s="353"/>
      <c r="CF10" s="353"/>
      <c r="CG10" s="353"/>
      <c r="CH10" s="353"/>
      <c r="CI10" s="353"/>
      <c r="CJ10" s="353"/>
      <c r="CK10" s="353"/>
      <c r="CL10" s="353"/>
      <c r="CM10" s="353"/>
      <c r="CN10" s="353"/>
      <c r="CO10" s="353"/>
      <c r="CP10" s="353"/>
      <c r="CQ10" s="353"/>
      <c r="CR10" s="353"/>
      <c r="CS10" s="353"/>
      <c r="CT10" s="353"/>
      <c r="CU10" s="353"/>
      <c r="CV10" s="353"/>
      <c r="CW10" s="353"/>
      <c r="CX10" s="353"/>
      <c r="CY10" s="353"/>
      <c r="CZ10" s="353"/>
      <c r="DA10" s="353"/>
      <c r="DB10" s="353"/>
      <c r="DC10" s="353"/>
      <c r="DD10" s="353"/>
      <c r="DE10" s="353"/>
      <c r="DF10" s="353"/>
      <c r="DG10" s="353"/>
      <c r="DH10" s="353"/>
      <c r="DI10" s="353"/>
      <c r="DJ10" s="353"/>
      <c r="DK10" s="353"/>
      <c r="DL10" s="353"/>
      <c r="DM10" s="353"/>
      <c r="DN10" s="353"/>
      <c r="DO10" s="353"/>
      <c r="DP10" s="353"/>
      <c r="DQ10" s="353"/>
      <c r="DR10" s="353"/>
      <c r="DS10" s="353"/>
      <c r="DT10" s="353"/>
      <c r="DU10" s="353"/>
      <c r="DV10" s="353"/>
      <c r="DW10" s="353"/>
      <c r="DX10" s="353"/>
      <c r="DY10" s="353"/>
      <c r="DZ10" s="353"/>
      <c r="EA10" s="353"/>
      <c r="EB10" s="353"/>
      <c r="EC10" s="353"/>
      <c r="ED10" s="353"/>
      <c r="EE10" s="353"/>
      <c r="EF10" s="353"/>
      <c r="EG10" s="353"/>
      <c r="EH10" s="353"/>
      <c r="EI10" s="353"/>
      <c r="EJ10" s="353"/>
      <c r="EK10" s="353"/>
      <c r="EL10" s="353"/>
      <c r="EM10" s="353"/>
      <c r="EN10" s="353"/>
      <c r="EO10" s="353"/>
      <c r="EP10" s="353"/>
      <c r="EQ10" s="353"/>
      <c r="ER10" s="353"/>
      <c r="ES10" s="353"/>
      <c r="ET10" s="353"/>
      <c r="EU10" s="353"/>
      <c r="EV10" s="353"/>
      <c r="EW10" s="353"/>
      <c r="EX10" s="353"/>
      <c r="EY10" s="353"/>
      <c r="EZ10" s="353"/>
      <c r="FA10" s="353"/>
      <c r="FB10" s="353"/>
      <c r="FC10" s="353"/>
      <c r="FD10" s="353"/>
      <c r="FE10" s="353"/>
      <c r="FF10" s="353"/>
      <c r="FG10" s="353"/>
      <c r="FH10" s="353"/>
      <c r="FI10" s="353"/>
      <c r="FJ10" s="353"/>
      <c r="FK10" s="353"/>
      <c r="FL10" s="353"/>
      <c r="FM10" s="353"/>
      <c r="FN10" s="353"/>
      <c r="FO10" s="353"/>
      <c r="FP10" s="353"/>
      <c r="FQ10" s="353"/>
      <c r="FR10" s="353"/>
      <c r="FS10" s="353"/>
      <c r="FT10" s="353"/>
      <c r="FU10" s="353"/>
      <c r="FV10" s="353"/>
      <c r="FW10" s="353"/>
      <c r="FX10" s="353"/>
      <c r="FY10" s="353"/>
      <c r="FZ10" s="353"/>
      <c r="GA10" s="353"/>
      <c r="GB10" s="353"/>
      <c r="GC10" s="353"/>
      <c r="GD10" s="353"/>
      <c r="GE10" s="353"/>
      <c r="GF10" s="353"/>
      <c r="GG10" s="353"/>
      <c r="GH10" s="353"/>
      <c r="GI10" s="353"/>
      <c r="GJ10" s="353"/>
      <c r="GK10" s="353"/>
      <c r="GL10" s="353"/>
      <c r="GM10" s="353"/>
      <c r="GN10" s="353"/>
      <c r="GO10" s="353"/>
      <c r="GP10" s="353"/>
      <c r="GQ10" s="353"/>
      <c r="GR10" s="353"/>
      <c r="GS10" s="353"/>
      <c r="GT10" s="353"/>
      <c r="GU10" s="353"/>
      <c r="GV10" s="353"/>
      <c r="GW10" s="353"/>
      <c r="GX10" s="353"/>
      <c r="GY10" s="353"/>
      <c r="GZ10" s="353"/>
      <c r="HA10" s="353"/>
      <c r="HB10" s="353"/>
      <c r="HC10" s="353"/>
      <c r="HD10" s="353"/>
      <c r="HE10" s="353"/>
      <c r="HF10" s="353"/>
      <c r="HG10" s="353"/>
      <c r="HH10" s="353"/>
      <c r="HI10" s="353"/>
      <c r="HJ10" s="353"/>
      <c r="HK10" s="353"/>
      <c r="HL10" s="353"/>
      <c r="HM10" s="353"/>
      <c r="HN10" s="353"/>
      <c r="HO10" s="353"/>
      <c r="HP10" s="353"/>
      <c r="HQ10" s="353"/>
      <c r="HR10" s="353"/>
      <c r="HS10" s="353"/>
      <c r="HT10" s="353"/>
      <c r="HU10" s="353"/>
      <c r="HV10" s="353"/>
      <c r="HW10" s="353"/>
      <c r="HX10" s="353"/>
      <c r="HY10" s="353"/>
      <c r="HZ10" s="353"/>
      <c r="IA10" s="353"/>
      <c r="IB10" s="353"/>
      <c r="IC10" s="353"/>
      <c r="ID10" s="353"/>
      <c r="IE10" s="353"/>
      <c r="IF10" s="353"/>
      <c r="IG10" s="353"/>
      <c r="IH10" s="353"/>
      <c r="II10" s="353"/>
      <c r="IJ10" s="353"/>
      <c r="IK10" s="353"/>
      <c r="IL10" s="353"/>
      <c r="IM10" s="353"/>
      <c r="IN10" s="353"/>
      <c r="IO10" s="353"/>
      <c r="IP10" s="353"/>
      <c r="IQ10" s="353"/>
      <c r="IR10" s="353"/>
      <c r="IS10" s="353"/>
      <c r="IT10" s="353"/>
      <c r="IU10" s="353"/>
      <c r="IV10" s="353"/>
      <c r="IW10" s="353"/>
      <c r="IX10" s="353"/>
      <c r="IY10" s="353"/>
      <c r="IZ10" s="353"/>
      <c r="JA10" s="353"/>
      <c r="JB10" s="353"/>
      <c r="JC10" s="353"/>
      <c r="JD10" s="353"/>
      <c r="JE10" s="353"/>
      <c r="JF10" s="353"/>
      <c r="JG10" s="353"/>
      <c r="JH10" s="353"/>
      <c r="JI10" s="353"/>
      <c r="JJ10" s="353"/>
      <c r="JK10" s="353"/>
      <c r="JL10" s="353"/>
      <c r="JM10" s="353"/>
      <c r="JN10" s="353"/>
      <c r="JO10" s="353"/>
      <c r="JP10" s="353"/>
      <c r="JQ10" s="353"/>
      <c r="JR10" s="353"/>
      <c r="JS10" s="353"/>
      <c r="JT10" s="353"/>
      <c r="JU10" s="353"/>
      <c r="JV10" s="353"/>
      <c r="JW10" s="353"/>
      <c r="JX10" s="353"/>
      <c r="JY10" s="353"/>
      <c r="JZ10" s="353"/>
      <c r="KA10" s="353"/>
      <c r="KB10" s="353"/>
      <c r="KC10" s="353"/>
      <c r="KD10" s="353"/>
      <c r="KE10" s="353"/>
      <c r="KF10" s="353"/>
      <c r="KG10" s="353"/>
      <c r="KH10" s="353"/>
      <c r="KI10" s="353"/>
      <c r="KJ10" s="353"/>
      <c r="KK10" s="353"/>
      <c r="KL10" s="353"/>
      <c r="KM10" s="353"/>
      <c r="KN10" s="353"/>
      <c r="KO10" s="353"/>
      <c r="KP10" s="353"/>
      <c r="KQ10" s="353"/>
      <c r="KR10" s="353"/>
      <c r="KS10" s="353"/>
      <c r="KT10" s="353"/>
      <c r="KU10" s="353"/>
      <c r="KV10" s="353"/>
      <c r="KW10" s="353"/>
      <c r="KX10" s="353"/>
      <c r="KY10" s="353"/>
      <c r="KZ10" s="353"/>
      <c r="LA10" s="353"/>
      <c r="LB10" s="353"/>
      <c r="LC10" s="353"/>
      <c r="LD10" s="353"/>
      <c r="LE10" s="353"/>
      <c r="LF10" s="353"/>
      <c r="LG10" s="353"/>
      <c r="LH10" s="353"/>
      <c r="LI10" s="353"/>
      <c r="LJ10" s="353"/>
      <c r="LK10" s="353"/>
      <c r="LL10" s="353"/>
      <c r="LM10" s="353"/>
      <c r="LN10" s="353"/>
      <c r="LO10" s="353"/>
      <c r="LP10" s="353"/>
      <c r="LQ10" s="353"/>
      <c r="LR10" s="353"/>
      <c r="LS10" s="353"/>
      <c r="LT10" s="353"/>
      <c r="LU10" s="353"/>
      <c r="LV10" s="353"/>
      <c r="LW10" s="353"/>
      <c r="LX10" s="353"/>
      <c r="LY10" s="353"/>
      <c r="LZ10" s="353"/>
      <c r="MA10" s="353"/>
      <c r="MB10" s="353"/>
      <c r="MC10" s="353"/>
      <c r="MD10" s="353"/>
      <c r="ME10" s="353"/>
      <c r="MF10" s="353"/>
      <c r="MG10" s="353"/>
      <c r="MH10" s="353"/>
      <c r="MI10" s="353"/>
      <c r="MJ10" s="353"/>
      <c r="MK10" s="353"/>
      <c r="ML10" s="353"/>
      <c r="MM10" s="353"/>
      <c r="MN10" s="353"/>
      <c r="MO10" s="353"/>
      <c r="MP10" s="353"/>
      <c r="MQ10" s="353"/>
      <c r="MR10" s="353"/>
      <c r="MS10" s="353"/>
      <c r="MT10" s="353"/>
      <c r="MU10" s="353"/>
      <c r="MV10" s="353"/>
      <c r="MW10" s="353"/>
      <c r="MX10" s="353"/>
      <c r="MY10" s="353"/>
      <c r="MZ10" s="353"/>
      <c r="NA10" s="353"/>
      <c r="NB10" s="353"/>
      <c r="NC10" s="353"/>
      <c r="ND10" s="353"/>
      <c r="NE10" s="353"/>
      <c r="NF10" s="353"/>
      <c r="NG10" s="353"/>
      <c r="NH10" s="353"/>
      <c r="NI10" s="353"/>
      <c r="NJ10" s="353"/>
      <c r="NK10" s="353"/>
      <c r="NL10" s="353"/>
      <c r="NM10" s="353"/>
      <c r="NN10" s="353"/>
      <c r="NO10" s="353"/>
      <c r="NP10" s="353"/>
      <c r="NQ10" s="353"/>
      <c r="NR10" s="353"/>
      <c r="NS10" s="353"/>
      <c r="NT10" s="353"/>
      <c r="NU10" s="353"/>
      <c r="NV10" s="353"/>
      <c r="NW10" s="353"/>
      <c r="NX10" s="353"/>
      <c r="NY10" s="353"/>
      <c r="NZ10" s="353"/>
      <c r="OA10" s="353"/>
      <c r="OB10" s="353"/>
      <c r="OC10" s="353"/>
      <c r="OD10" s="353"/>
      <c r="OE10" s="353"/>
      <c r="OF10" s="353"/>
      <c r="OG10" s="353"/>
      <c r="OH10" s="353"/>
      <c r="OI10" s="353"/>
      <c r="OJ10" s="353"/>
      <c r="OK10" s="353"/>
      <c r="OL10" s="353"/>
      <c r="OM10" s="353"/>
      <c r="ON10" s="353"/>
      <c r="OO10" s="353"/>
      <c r="OP10" s="353"/>
      <c r="OQ10" s="353"/>
      <c r="OR10" s="353"/>
      <c r="OS10" s="353"/>
      <c r="OT10" s="353"/>
      <c r="OU10" s="353"/>
      <c r="OV10" s="353"/>
      <c r="OW10" s="353"/>
      <c r="OX10" s="353"/>
      <c r="OY10" s="353"/>
      <c r="OZ10" s="353"/>
      <c r="PA10" s="353"/>
      <c r="PB10" s="353"/>
      <c r="PC10" s="353"/>
      <c r="PD10" s="353"/>
      <c r="PE10" s="353"/>
      <c r="PF10" s="353"/>
      <c r="PG10" s="353"/>
      <c r="PH10" s="353"/>
      <c r="PI10" s="353"/>
      <c r="PJ10" s="353"/>
      <c r="PK10" s="353"/>
      <c r="PL10" s="353"/>
      <c r="PM10" s="353"/>
      <c r="PN10" s="353"/>
      <c r="PO10" s="353"/>
      <c r="PP10" s="353"/>
      <c r="PQ10" s="353"/>
      <c r="PR10" s="353"/>
      <c r="PS10" s="353"/>
      <c r="PT10" s="353"/>
      <c r="PU10" s="353"/>
      <c r="PV10" s="353"/>
      <c r="PW10" s="353"/>
      <c r="PX10" s="353"/>
      <c r="PY10" s="353"/>
      <c r="PZ10" s="353"/>
      <c r="QA10" s="353"/>
      <c r="QB10" s="353"/>
      <c r="QC10" s="353"/>
      <c r="QD10" s="353"/>
      <c r="QE10" s="353"/>
      <c r="QF10" s="353"/>
      <c r="QG10" s="353"/>
      <c r="QH10" s="353"/>
      <c r="QI10" s="353"/>
      <c r="QJ10" s="353"/>
      <c r="QK10" s="353"/>
      <c r="QL10" s="353"/>
      <c r="QM10" s="353"/>
      <c r="QN10" s="353"/>
      <c r="QO10" s="353"/>
      <c r="QP10" s="353"/>
      <c r="QQ10" s="353"/>
      <c r="QR10" s="353"/>
      <c r="QS10" s="353"/>
      <c r="QT10" s="353"/>
      <c r="QU10" s="353"/>
      <c r="QV10" s="353"/>
      <c r="QW10" s="353"/>
      <c r="QX10" s="353"/>
      <c r="QY10" s="353"/>
      <c r="QZ10" s="353"/>
      <c r="RA10" s="353"/>
      <c r="RB10" s="353"/>
      <c r="RC10" s="353"/>
      <c r="RD10" s="353"/>
      <c r="RE10" s="353"/>
      <c r="RF10" s="353"/>
      <c r="RG10" s="353"/>
      <c r="RH10" s="353"/>
      <c r="RI10" s="353"/>
      <c r="RJ10" s="353"/>
      <c r="RK10" s="353"/>
      <c r="RL10" s="353"/>
      <c r="RM10" s="353"/>
      <c r="RN10" s="353"/>
      <c r="RO10" s="353"/>
      <c r="RP10" s="353"/>
      <c r="RQ10" s="353"/>
      <c r="RR10" s="353"/>
      <c r="RS10" s="353"/>
      <c r="RT10" s="353"/>
      <c r="RU10" s="353"/>
      <c r="RV10" s="353"/>
      <c r="RW10" s="353"/>
      <c r="RX10" s="353"/>
      <c r="RY10" s="353"/>
      <c r="RZ10" s="353"/>
      <c r="SA10" s="353"/>
      <c r="SB10" s="353"/>
      <c r="SC10" s="353"/>
      <c r="SD10" s="353"/>
      <c r="SE10" s="353"/>
      <c r="SF10" s="353"/>
      <c r="SG10" s="353"/>
      <c r="SH10" s="353"/>
      <c r="SI10" s="353"/>
      <c r="SJ10" s="353"/>
      <c r="SK10" s="353"/>
      <c r="SL10" s="353"/>
      <c r="SM10" s="353"/>
      <c r="SN10" s="353"/>
      <c r="SO10" s="353"/>
      <c r="SP10" s="353"/>
      <c r="SQ10" s="353"/>
      <c r="SR10" s="353"/>
      <c r="SS10" s="353"/>
      <c r="ST10" s="353"/>
      <c r="SU10" s="353"/>
      <c r="SV10" s="353"/>
      <c r="SW10" s="353"/>
      <c r="SX10" s="353"/>
      <c r="SY10" s="353"/>
      <c r="SZ10" s="353"/>
      <c r="TA10" s="353"/>
      <c r="TB10" s="353"/>
      <c r="TC10" s="353"/>
      <c r="TD10" s="353"/>
      <c r="TE10" s="353"/>
      <c r="TF10" s="353"/>
      <c r="TG10" s="353"/>
      <c r="TH10" s="353"/>
      <c r="TI10" s="353"/>
      <c r="TJ10" s="353"/>
      <c r="TK10" s="353"/>
      <c r="TL10" s="353"/>
      <c r="TM10" s="353"/>
      <c r="TN10" s="353"/>
      <c r="TO10" s="353"/>
      <c r="TP10" s="353"/>
      <c r="TQ10" s="353"/>
      <c r="TR10" s="353"/>
      <c r="TS10" s="353"/>
      <c r="TT10" s="353"/>
      <c r="TU10" s="353"/>
      <c r="TV10" s="353"/>
      <c r="TW10" s="353"/>
      <c r="TX10" s="353"/>
      <c r="TY10" s="353"/>
      <c r="TZ10" s="353"/>
      <c r="UA10" s="353"/>
      <c r="UB10" s="353"/>
      <c r="UC10" s="353"/>
      <c r="UD10" s="353"/>
      <c r="UE10" s="353"/>
      <c r="UF10" s="353"/>
      <c r="UG10" s="353"/>
      <c r="UH10" s="353"/>
      <c r="UI10" s="353"/>
      <c r="UJ10" s="353"/>
      <c r="UK10" s="353"/>
      <c r="UL10" s="353"/>
      <c r="UM10" s="353"/>
      <c r="UN10" s="353"/>
      <c r="UO10" s="353"/>
      <c r="UP10" s="353"/>
      <c r="UQ10" s="353"/>
      <c r="UR10" s="353"/>
      <c r="US10" s="353"/>
      <c r="UT10" s="353"/>
      <c r="UU10" s="353"/>
      <c r="UV10" s="353"/>
      <c r="UW10" s="353"/>
      <c r="UX10" s="353"/>
      <c r="UY10" s="353"/>
      <c r="UZ10" s="353"/>
      <c r="VA10" s="353"/>
      <c r="VB10" s="353"/>
      <c r="VC10" s="353"/>
      <c r="VD10" s="353"/>
      <c r="VE10" s="353"/>
      <c r="VF10" s="353"/>
      <c r="VG10" s="353"/>
      <c r="VH10" s="353"/>
      <c r="VI10" s="353"/>
      <c r="VJ10" s="353"/>
      <c r="VK10" s="353"/>
      <c r="VL10" s="353"/>
      <c r="VM10" s="353"/>
      <c r="VN10" s="353"/>
      <c r="VO10" s="353"/>
      <c r="VP10" s="353"/>
      <c r="VQ10" s="353"/>
      <c r="VR10" s="353"/>
      <c r="VS10" s="353"/>
      <c r="VT10" s="353"/>
      <c r="VU10" s="353"/>
      <c r="VV10" s="353"/>
      <c r="VW10" s="353"/>
      <c r="VX10" s="353"/>
      <c r="VY10" s="353"/>
      <c r="VZ10" s="353"/>
      <c r="WA10" s="353"/>
      <c r="WB10" s="353"/>
      <c r="WC10" s="353"/>
      <c r="WD10" s="353"/>
      <c r="WE10" s="353"/>
      <c r="WF10" s="353"/>
      <c r="WG10" s="353"/>
      <c r="WH10" s="353"/>
      <c r="WI10" s="353"/>
      <c r="WJ10" s="353"/>
      <c r="WK10" s="353"/>
      <c r="WL10" s="353"/>
      <c r="WM10" s="353"/>
      <c r="WN10" s="353"/>
      <c r="WO10" s="353"/>
      <c r="WP10" s="353"/>
      <c r="WQ10" s="353"/>
      <c r="WR10" s="353"/>
      <c r="WS10" s="353"/>
      <c r="WT10" s="353"/>
      <c r="WU10" s="353"/>
      <c r="WV10" s="353"/>
      <c r="WW10" s="353"/>
      <c r="WX10" s="353"/>
      <c r="WY10" s="353"/>
      <c r="WZ10" s="353"/>
      <c r="XA10" s="353"/>
      <c r="XB10" s="353"/>
      <c r="XC10" s="353"/>
      <c r="XD10" s="353"/>
      <c r="XE10" s="353"/>
      <c r="XF10" s="353"/>
      <c r="XG10" s="353"/>
      <c r="XH10" s="353"/>
      <c r="XI10" s="353"/>
      <c r="XJ10" s="353"/>
      <c r="XK10" s="353"/>
      <c r="XL10" s="353"/>
      <c r="XM10" s="353"/>
      <c r="XN10" s="353"/>
      <c r="XO10" s="353"/>
      <c r="XP10" s="353"/>
      <c r="XQ10" s="353"/>
      <c r="XR10" s="353"/>
      <c r="XS10" s="353"/>
      <c r="XT10" s="353"/>
      <c r="XU10" s="353"/>
      <c r="XV10" s="353"/>
      <c r="XW10" s="353"/>
      <c r="XX10" s="353"/>
      <c r="XY10" s="353"/>
      <c r="XZ10" s="353"/>
      <c r="YA10" s="353"/>
      <c r="YB10" s="353"/>
      <c r="YC10" s="353"/>
      <c r="YD10" s="353"/>
      <c r="YE10" s="353"/>
      <c r="YF10" s="353"/>
      <c r="YG10" s="353"/>
      <c r="YH10" s="353"/>
      <c r="YI10" s="353"/>
      <c r="YJ10" s="353"/>
      <c r="YK10" s="353"/>
      <c r="YL10" s="353"/>
      <c r="YM10" s="353"/>
      <c r="YN10" s="353"/>
      <c r="YO10" s="353"/>
      <c r="YP10" s="353"/>
      <c r="YQ10" s="353"/>
      <c r="YR10" s="353"/>
      <c r="YS10" s="353"/>
      <c r="YT10" s="353"/>
      <c r="YU10" s="353"/>
      <c r="YV10" s="353"/>
      <c r="YW10" s="353"/>
      <c r="YX10" s="353"/>
      <c r="YY10" s="353"/>
      <c r="YZ10" s="353"/>
      <c r="ZA10" s="353"/>
      <c r="ZB10" s="353"/>
      <c r="ZC10" s="353"/>
      <c r="ZD10" s="353"/>
      <c r="ZE10" s="353"/>
      <c r="ZF10" s="353"/>
      <c r="ZG10" s="353"/>
      <c r="ZH10" s="353"/>
      <c r="ZI10" s="353"/>
      <c r="ZJ10" s="353"/>
      <c r="ZK10" s="353"/>
      <c r="ZL10" s="353"/>
      <c r="ZM10" s="353"/>
      <c r="ZN10" s="353"/>
      <c r="ZO10" s="353"/>
      <c r="ZP10" s="353"/>
      <c r="ZQ10" s="353"/>
      <c r="ZR10" s="353"/>
      <c r="ZS10" s="353"/>
      <c r="ZT10" s="353"/>
      <c r="ZU10" s="353"/>
      <c r="ZV10" s="353"/>
      <c r="ZW10" s="353"/>
      <c r="ZX10" s="353"/>
      <c r="ZY10" s="353"/>
      <c r="ZZ10" s="353"/>
      <c r="AAA10" s="353"/>
      <c r="AAB10" s="353"/>
      <c r="AAC10" s="353"/>
      <c r="AAD10" s="353"/>
      <c r="AAE10" s="353"/>
      <c r="AAF10" s="353"/>
      <c r="AAG10" s="353"/>
      <c r="AAH10" s="353"/>
      <c r="AAI10" s="353"/>
      <c r="AAJ10" s="353"/>
      <c r="AAK10" s="353"/>
      <c r="AAL10" s="353"/>
      <c r="AAM10" s="353"/>
      <c r="AAN10" s="353"/>
      <c r="AAO10" s="353"/>
      <c r="AAP10" s="353"/>
      <c r="AAQ10" s="353"/>
      <c r="AAR10" s="353"/>
      <c r="AAS10" s="353"/>
      <c r="AAT10" s="353"/>
      <c r="AAU10" s="353"/>
      <c r="AAV10" s="353"/>
      <c r="AAW10" s="353"/>
      <c r="AAX10" s="353"/>
      <c r="AAY10" s="353"/>
      <c r="AAZ10" s="353"/>
      <c r="ABA10" s="353"/>
      <c r="ABB10" s="353"/>
      <c r="ABC10" s="353"/>
      <c r="ABD10" s="353"/>
      <c r="ABE10" s="353"/>
      <c r="ABF10" s="353"/>
      <c r="ABG10" s="353"/>
      <c r="ABH10" s="353"/>
      <c r="ABI10" s="353"/>
      <c r="ABJ10" s="353"/>
      <c r="ABK10" s="353"/>
      <c r="ABL10" s="353"/>
      <c r="ABM10" s="353"/>
      <c r="ABN10" s="353"/>
      <c r="ABO10" s="353"/>
      <c r="ABP10" s="353"/>
      <c r="ABQ10" s="353"/>
      <c r="ABR10" s="353"/>
      <c r="ABS10" s="353"/>
      <c r="ABT10" s="353"/>
      <c r="ABU10" s="353"/>
      <c r="ABV10" s="353"/>
      <c r="ABW10" s="353"/>
      <c r="ABX10" s="353"/>
      <c r="ABY10" s="353"/>
      <c r="ABZ10" s="353"/>
      <c r="ACA10" s="353"/>
      <c r="ACB10" s="353"/>
      <c r="ACC10" s="353"/>
      <c r="ACD10" s="353"/>
      <c r="ACE10" s="353"/>
      <c r="ACF10" s="353"/>
      <c r="ACG10" s="353"/>
      <c r="ACH10" s="353"/>
      <c r="ACI10" s="353"/>
      <c r="ACJ10" s="353"/>
      <c r="ACK10" s="353"/>
      <c r="ACL10" s="353"/>
      <c r="ACM10" s="353"/>
      <c r="ACN10" s="353"/>
      <c r="ACO10" s="353"/>
      <c r="ACP10" s="353"/>
      <c r="ACQ10" s="353"/>
      <c r="ACR10" s="353"/>
      <c r="ACS10" s="353"/>
      <c r="ACT10" s="353"/>
      <c r="ACU10" s="353"/>
      <c r="ACV10" s="353"/>
      <c r="ACW10" s="353"/>
      <c r="ACX10" s="353"/>
      <c r="ACY10" s="353"/>
      <c r="ACZ10" s="353"/>
      <c r="ADA10" s="353"/>
      <c r="ADB10" s="353"/>
      <c r="ADC10" s="353"/>
      <c r="ADD10" s="353"/>
      <c r="ADE10" s="353"/>
      <c r="ADF10" s="353"/>
      <c r="ADG10" s="353"/>
      <c r="ADH10" s="353"/>
      <c r="ADI10" s="353"/>
      <c r="ADJ10" s="353"/>
      <c r="ADK10" s="353"/>
      <c r="ADL10" s="353"/>
      <c r="ADM10" s="353"/>
      <c r="ADN10" s="353"/>
      <c r="ADO10" s="353"/>
      <c r="ADP10" s="353"/>
      <c r="ADQ10" s="353"/>
      <c r="ADR10" s="353"/>
      <c r="ADS10" s="353"/>
      <c r="ADT10" s="353"/>
      <c r="ADU10" s="353"/>
      <c r="ADV10" s="353"/>
      <c r="ADW10" s="353"/>
      <c r="ADX10" s="353"/>
      <c r="ADY10" s="353"/>
      <c r="ADZ10" s="353"/>
      <c r="AEA10" s="353"/>
      <c r="AEB10" s="353"/>
      <c r="AEC10" s="353"/>
      <c r="AED10" s="353"/>
      <c r="AEE10" s="353"/>
      <c r="AEF10" s="353"/>
      <c r="AEG10" s="353"/>
      <c r="AEH10" s="353"/>
      <c r="AEI10" s="353"/>
      <c r="AEJ10" s="353"/>
      <c r="AEK10" s="353"/>
      <c r="AEL10" s="353"/>
      <c r="AEM10" s="353"/>
      <c r="AEN10" s="353"/>
      <c r="AEO10" s="353"/>
      <c r="AEP10" s="353"/>
      <c r="AEQ10" s="353"/>
      <c r="AER10" s="353"/>
      <c r="AES10" s="353"/>
      <c r="AET10" s="353"/>
      <c r="AEU10" s="353"/>
      <c r="AEV10" s="353"/>
      <c r="AEW10" s="353"/>
      <c r="AEX10" s="353"/>
      <c r="AEY10" s="353"/>
      <c r="AEZ10" s="353"/>
      <c r="AFA10" s="353"/>
      <c r="AFB10" s="353"/>
      <c r="AFC10" s="353"/>
      <c r="AFD10" s="353"/>
      <c r="AFE10" s="353"/>
      <c r="AFF10" s="353"/>
      <c r="AFG10" s="353"/>
      <c r="AFH10" s="353"/>
      <c r="AFI10" s="353"/>
      <c r="AFJ10" s="353"/>
      <c r="AFK10" s="353"/>
      <c r="AFL10" s="353"/>
      <c r="AFM10" s="353"/>
      <c r="AFN10" s="353"/>
      <c r="AFO10" s="353"/>
      <c r="AFP10" s="353"/>
      <c r="AFQ10" s="353"/>
      <c r="AFR10" s="353"/>
      <c r="AFS10" s="353"/>
      <c r="AFT10" s="353"/>
      <c r="AFU10" s="353"/>
      <c r="AFV10" s="353"/>
      <c r="AFW10" s="353"/>
      <c r="AFX10" s="353"/>
      <c r="AFY10" s="353"/>
      <c r="AFZ10" s="353"/>
      <c r="AGA10" s="353"/>
      <c r="AGB10" s="353"/>
      <c r="AGC10" s="353"/>
      <c r="AGD10" s="353"/>
      <c r="AGE10" s="353"/>
      <c r="AGF10" s="353"/>
      <c r="AGG10" s="353"/>
      <c r="AGH10" s="353"/>
      <c r="AGI10" s="353"/>
      <c r="AGJ10" s="353"/>
      <c r="AGK10" s="353"/>
      <c r="AGL10" s="353"/>
      <c r="AGM10" s="353"/>
      <c r="AGN10" s="353"/>
      <c r="AGO10" s="353"/>
      <c r="AGP10" s="353"/>
      <c r="AGQ10" s="353"/>
      <c r="AGR10" s="353"/>
      <c r="AGS10" s="353"/>
      <c r="AGT10" s="353"/>
      <c r="AGU10" s="353"/>
      <c r="AGV10" s="353"/>
      <c r="AGW10" s="353"/>
      <c r="AGX10" s="353"/>
      <c r="AGY10" s="353"/>
      <c r="AGZ10" s="353"/>
      <c r="AHA10" s="353"/>
      <c r="AHB10" s="353"/>
      <c r="AHC10" s="353"/>
      <c r="AHD10" s="353"/>
      <c r="AHE10" s="353"/>
      <c r="AHF10" s="353"/>
      <c r="AHG10" s="353"/>
      <c r="AHH10" s="353"/>
      <c r="AHI10" s="353"/>
      <c r="AHJ10" s="353"/>
      <c r="AHK10" s="353"/>
      <c r="AHL10" s="353"/>
      <c r="AHM10" s="353"/>
      <c r="AHN10" s="353"/>
      <c r="AHO10" s="353"/>
      <c r="AHP10" s="353"/>
      <c r="AHQ10" s="353"/>
      <c r="AHR10" s="353"/>
      <c r="AHS10" s="353"/>
      <c r="AHT10" s="353"/>
      <c r="AHU10" s="353"/>
      <c r="AHV10" s="353"/>
      <c r="AHW10" s="353"/>
      <c r="AHX10" s="353"/>
      <c r="AHY10" s="353"/>
      <c r="AHZ10" s="353"/>
      <c r="AIA10" s="353"/>
      <c r="AIB10" s="353"/>
      <c r="AIC10" s="353"/>
      <c r="AID10" s="353"/>
      <c r="AIE10" s="353"/>
      <c r="AIF10" s="353"/>
      <c r="AIG10" s="353"/>
      <c r="AIH10" s="353"/>
      <c r="AII10" s="353"/>
      <c r="AIJ10" s="353"/>
      <c r="AIK10" s="353"/>
      <c r="AIL10" s="353"/>
      <c r="AIM10" s="353"/>
      <c r="AIN10" s="353"/>
      <c r="AIO10" s="353"/>
      <c r="AIP10" s="353"/>
      <c r="AIQ10" s="353"/>
      <c r="AIR10" s="353"/>
      <c r="AIS10" s="353"/>
      <c r="AIT10" s="353"/>
      <c r="AIU10" s="353"/>
      <c r="AIV10" s="353"/>
      <c r="AIW10" s="353"/>
      <c r="AIX10" s="353"/>
      <c r="AIY10" s="353"/>
      <c r="AIZ10" s="353"/>
      <c r="AJA10" s="353"/>
      <c r="AJB10" s="353"/>
      <c r="AJC10" s="353"/>
      <c r="AJD10" s="353"/>
      <c r="AJE10" s="353"/>
      <c r="AJF10" s="353"/>
      <c r="AJG10" s="353"/>
      <c r="AJH10" s="353"/>
      <c r="AJI10" s="353"/>
      <c r="AJJ10" s="353"/>
      <c r="AJK10" s="353"/>
      <c r="AJL10" s="353"/>
      <c r="AJM10" s="353"/>
      <c r="AJN10" s="353"/>
      <c r="AJO10" s="353"/>
      <c r="AJP10" s="353"/>
      <c r="AJQ10" s="353"/>
      <c r="AJR10" s="353"/>
      <c r="AJS10" s="353"/>
      <c r="AJT10" s="353"/>
      <c r="AJU10" s="353"/>
      <c r="AJV10" s="353"/>
      <c r="AJW10" s="353"/>
      <c r="AJX10" s="353"/>
      <c r="AJY10" s="353"/>
      <c r="AJZ10" s="353"/>
      <c r="AKA10" s="353"/>
      <c r="AKB10" s="353"/>
      <c r="AKC10" s="353"/>
      <c r="AKD10" s="353"/>
      <c r="AKE10" s="353"/>
      <c r="AKF10" s="353"/>
      <c r="AKG10" s="353"/>
      <c r="AKH10" s="353"/>
      <c r="AKI10" s="353"/>
      <c r="AKJ10" s="353"/>
      <c r="AKK10" s="353"/>
      <c r="AKL10" s="353"/>
      <c r="AKM10" s="353"/>
      <c r="AKN10" s="353"/>
      <c r="AKO10" s="353"/>
      <c r="AKP10" s="353"/>
      <c r="AKQ10" s="353"/>
      <c r="AKR10" s="353"/>
      <c r="AKS10" s="353"/>
      <c r="AKT10" s="353"/>
      <c r="AKU10" s="353"/>
      <c r="AKV10" s="353"/>
      <c r="AKW10" s="353"/>
      <c r="AKX10" s="353"/>
      <c r="AKY10" s="353"/>
      <c r="AKZ10" s="353"/>
      <c r="ALA10" s="353"/>
      <c r="ALB10" s="353"/>
      <c r="ALC10" s="353"/>
      <c r="ALD10" s="353"/>
      <c r="ALE10" s="353"/>
      <c r="ALF10" s="353"/>
      <c r="ALG10" s="353"/>
      <c r="ALH10" s="353"/>
      <c r="ALI10" s="353"/>
      <c r="ALJ10" s="353"/>
      <c r="ALK10" s="353"/>
      <c r="ALL10" s="353"/>
      <c r="ALM10" s="353"/>
      <c r="ALN10" s="353"/>
      <c r="ALO10" s="353"/>
      <c r="ALP10" s="353"/>
      <c r="ALQ10" s="353"/>
      <c r="ALR10" s="353"/>
      <c r="ALS10" s="353"/>
      <c r="ALT10" s="353"/>
      <c r="ALU10" s="353"/>
      <c r="ALV10" s="353"/>
      <c r="ALW10" s="353"/>
      <c r="ALX10" s="353"/>
      <c r="ALY10" s="353"/>
      <c r="ALZ10" s="353"/>
      <c r="AMA10" s="353"/>
      <c r="AMB10" s="353"/>
      <c r="AMC10" s="353"/>
      <c r="AMD10" s="353"/>
      <c r="AME10" s="353"/>
      <c r="AMF10" s="353"/>
      <c r="AMG10" s="353"/>
      <c r="AMH10" s="353"/>
      <c r="AMI10" s="353"/>
      <c r="AMJ10" s="353"/>
      <c r="AMK10" s="353"/>
      <c r="AML10" s="353"/>
      <c r="AMM10" s="353"/>
      <c r="AMN10" s="353"/>
      <c r="AMO10" s="353"/>
      <c r="AMP10" s="353"/>
      <c r="AMQ10" s="353"/>
      <c r="AMR10" s="353"/>
      <c r="AMS10" s="353"/>
      <c r="AMT10" s="353"/>
      <c r="AMU10" s="353"/>
      <c r="AMV10" s="353"/>
      <c r="AMW10" s="353"/>
      <c r="AMX10" s="353"/>
      <c r="AMY10" s="353"/>
      <c r="AMZ10" s="353"/>
      <c r="ANA10" s="353"/>
      <c r="ANB10" s="353"/>
      <c r="ANC10" s="353"/>
      <c r="AND10" s="353"/>
      <c r="ANE10" s="353"/>
      <c r="ANF10" s="353"/>
      <c r="ANG10" s="353"/>
      <c r="ANH10" s="353"/>
      <c r="ANI10" s="353"/>
      <c r="ANJ10" s="353"/>
      <c r="ANK10" s="353"/>
      <c r="ANL10" s="353"/>
      <c r="ANM10" s="353"/>
      <c r="ANN10" s="353"/>
      <c r="ANO10" s="353"/>
      <c r="ANP10" s="353"/>
      <c r="ANQ10" s="353"/>
      <c r="ANR10" s="353"/>
      <c r="ANS10" s="353"/>
      <c r="ANT10" s="353"/>
      <c r="ANU10" s="353"/>
      <c r="ANV10" s="353"/>
      <c r="ANW10" s="353"/>
      <c r="ANX10" s="353"/>
      <c r="ANY10" s="353"/>
      <c r="ANZ10" s="353"/>
      <c r="AOA10" s="353"/>
      <c r="AOB10" s="353"/>
      <c r="AOC10" s="353"/>
      <c r="AOD10" s="353"/>
      <c r="AOE10" s="353"/>
      <c r="AOF10" s="353"/>
      <c r="AOG10" s="353"/>
      <c r="AOH10" s="353"/>
      <c r="AOI10" s="353"/>
      <c r="AOJ10" s="353"/>
      <c r="AOK10" s="353"/>
      <c r="AOL10" s="353"/>
      <c r="AOM10" s="353"/>
      <c r="AON10" s="353"/>
      <c r="AOO10" s="353"/>
      <c r="AOP10" s="353"/>
      <c r="AOQ10" s="353"/>
      <c r="AOR10" s="353"/>
      <c r="AOS10" s="353"/>
      <c r="AOT10" s="353"/>
      <c r="AOU10" s="353"/>
      <c r="AOV10" s="353"/>
      <c r="AOW10" s="353"/>
      <c r="AOX10" s="353"/>
      <c r="AOY10" s="353"/>
      <c r="AOZ10" s="353"/>
      <c r="APA10" s="353"/>
      <c r="APB10" s="353"/>
      <c r="APC10" s="353"/>
      <c r="APD10" s="353"/>
      <c r="APE10" s="353"/>
      <c r="APF10" s="353"/>
      <c r="APG10" s="353"/>
      <c r="APH10" s="353"/>
      <c r="API10" s="353"/>
      <c r="APJ10" s="353"/>
      <c r="APK10" s="353"/>
      <c r="APL10" s="353"/>
      <c r="APM10" s="353"/>
      <c r="APN10" s="353"/>
      <c r="APO10" s="353"/>
      <c r="APP10" s="353"/>
      <c r="APQ10" s="353"/>
      <c r="APR10" s="353"/>
      <c r="APS10" s="353"/>
      <c r="APT10" s="353"/>
      <c r="APU10" s="353"/>
      <c r="APV10" s="353"/>
      <c r="APW10" s="353"/>
      <c r="APX10" s="353"/>
      <c r="APY10" s="353"/>
      <c r="APZ10" s="353"/>
      <c r="AQA10" s="353"/>
      <c r="AQB10" s="353"/>
      <c r="AQC10" s="353"/>
      <c r="AQD10" s="353"/>
      <c r="AQE10" s="353"/>
      <c r="AQF10" s="353"/>
      <c r="AQG10" s="353"/>
      <c r="AQH10" s="353"/>
      <c r="AQI10" s="353"/>
      <c r="AQJ10" s="353"/>
      <c r="AQK10" s="353"/>
      <c r="AQL10" s="353"/>
      <c r="AQM10" s="353"/>
      <c r="AQN10" s="353"/>
      <c r="AQO10" s="353"/>
      <c r="AQP10" s="353"/>
      <c r="AQQ10" s="353"/>
      <c r="AQR10" s="353"/>
      <c r="AQS10" s="353"/>
      <c r="AQT10" s="353"/>
      <c r="AQU10" s="353"/>
      <c r="AQV10" s="353"/>
      <c r="AQW10" s="353"/>
      <c r="AQX10" s="353"/>
      <c r="AQY10" s="353"/>
      <c r="AQZ10" s="353"/>
      <c r="ARA10" s="353"/>
      <c r="ARB10" s="353"/>
      <c r="ARC10" s="353"/>
      <c r="ARD10" s="353"/>
      <c r="ARE10" s="353"/>
      <c r="ARF10" s="353"/>
      <c r="ARG10" s="353"/>
      <c r="ARH10" s="353"/>
      <c r="ARI10" s="353"/>
      <c r="ARJ10" s="353"/>
      <c r="ARK10" s="353"/>
      <c r="ARL10" s="353"/>
      <c r="ARM10" s="353"/>
      <c r="ARN10" s="353"/>
      <c r="ARO10" s="353"/>
      <c r="ARP10" s="353"/>
      <c r="ARQ10" s="353"/>
      <c r="ARR10" s="353"/>
      <c r="ARS10" s="353"/>
      <c r="ART10" s="353"/>
      <c r="ARU10" s="353"/>
      <c r="ARV10" s="353"/>
      <c r="ARW10" s="353"/>
      <c r="ARX10" s="353"/>
      <c r="ARY10" s="353"/>
      <c r="ARZ10" s="353"/>
      <c r="ASA10" s="353"/>
      <c r="ASB10" s="353"/>
      <c r="ASC10" s="353"/>
      <c r="ASD10" s="353"/>
      <c r="ASE10" s="353"/>
      <c r="ASF10" s="353"/>
      <c r="ASG10" s="353"/>
      <c r="ASH10" s="353"/>
      <c r="ASI10" s="353"/>
      <c r="ASJ10" s="353"/>
      <c r="ASK10" s="353"/>
      <c r="ASL10" s="353"/>
      <c r="ASM10" s="353"/>
      <c r="ASN10" s="353"/>
      <c r="ASO10" s="353"/>
      <c r="ASP10" s="353"/>
      <c r="ASQ10" s="353"/>
      <c r="ASR10" s="353"/>
      <c r="ASS10" s="353"/>
      <c r="AST10" s="353"/>
      <c r="ASU10" s="353"/>
      <c r="ASV10" s="353"/>
      <c r="ASW10" s="353"/>
      <c r="ASX10" s="353"/>
      <c r="ASY10" s="353"/>
      <c r="ASZ10" s="353"/>
      <c r="ATA10" s="353"/>
      <c r="ATB10" s="353"/>
      <c r="ATC10" s="353"/>
      <c r="ATD10" s="353"/>
      <c r="ATE10" s="353"/>
      <c r="ATF10" s="353"/>
      <c r="ATG10" s="353"/>
      <c r="ATH10" s="353"/>
      <c r="ATI10" s="353"/>
      <c r="ATJ10" s="353"/>
      <c r="ATK10" s="353"/>
      <c r="ATL10" s="353"/>
      <c r="ATM10" s="353"/>
      <c r="ATN10" s="353"/>
      <c r="ATO10" s="353"/>
      <c r="ATP10" s="353"/>
      <c r="ATQ10" s="353"/>
      <c r="ATR10" s="353"/>
      <c r="ATS10" s="353"/>
      <c r="ATT10" s="353"/>
      <c r="ATU10" s="353"/>
      <c r="ATV10" s="353"/>
      <c r="ATW10" s="353"/>
      <c r="ATX10" s="353"/>
      <c r="ATY10" s="353"/>
      <c r="ATZ10" s="353"/>
      <c r="AUA10" s="353"/>
      <c r="AUB10" s="353"/>
      <c r="AUC10" s="353"/>
      <c r="AUD10" s="353"/>
      <c r="AUE10" s="353"/>
      <c r="AUF10" s="353"/>
      <c r="AUG10" s="353"/>
      <c r="AUH10" s="353"/>
      <c r="AUI10" s="353"/>
      <c r="AUJ10" s="353"/>
      <c r="AUK10" s="353"/>
      <c r="AUL10" s="353"/>
      <c r="AUM10" s="353"/>
      <c r="AUN10" s="353"/>
      <c r="AUO10" s="353"/>
      <c r="AUP10" s="353"/>
      <c r="AUQ10" s="353"/>
      <c r="AUR10" s="353"/>
      <c r="AUS10" s="353"/>
      <c r="AUT10" s="353"/>
      <c r="AUU10" s="353"/>
      <c r="AUV10" s="353"/>
      <c r="AUW10" s="353"/>
      <c r="AUX10" s="353"/>
      <c r="AUY10" s="353"/>
      <c r="AUZ10" s="353"/>
      <c r="AVA10" s="353"/>
      <c r="AVB10" s="353"/>
      <c r="AVC10" s="353"/>
      <c r="AVD10" s="353"/>
      <c r="AVE10" s="353"/>
      <c r="AVF10" s="353"/>
      <c r="AVG10" s="353"/>
      <c r="AVH10" s="353"/>
      <c r="AVI10" s="353"/>
      <c r="AVJ10" s="353"/>
      <c r="AVK10" s="353"/>
      <c r="AVL10" s="353"/>
      <c r="AVM10" s="353"/>
      <c r="AVN10" s="353"/>
      <c r="AVO10" s="353"/>
      <c r="AVP10" s="353"/>
      <c r="AVQ10" s="353"/>
      <c r="AVR10" s="353"/>
      <c r="AVS10" s="353"/>
      <c r="AVT10" s="353"/>
      <c r="AVU10" s="353"/>
      <c r="AVV10" s="353"/>
      <c r="AVW10" s="353"/>
      <c r="AVX10" s="353"/>
      <c r="AVY10" s="353"/>
      <c r="AVZ10" s="353"/>
      <c r="AWA10" s="353"/>
      <c r="AWB10" s="353"/>
      <c r="AWC10" s="353"/>
      <c r="AWD10" s="353"/>
      <c r="AWE10" s="353"/>
      <c r="AWF10" s="353"/>
      <c r="AWG10" s="353"/>
      <c r="AWH10" s="353"/>
      <c r="AWI10" s="353"/>
      <c r="AWJ10" s="353"/>
      <c r="AWK10" s="353"/>
      <c r="AWL10" s="353"/>
      <c r="AWM10" s="353"/>
      <c r="AWN10" s="353"/>
      <c r="AWO10" s="353"/>
      <c r="AWP10" s="353"/>
      <c r="AWQ10" s="353"/>
      <c r="AWR10" s="353"/>
      <c r="AWS10" s="353"/>
      <c r="AWT10" s="353"/>
      <c r="AWU10" s="353"/>
      <c r="AWV10" s="353"/>
      <c r="AWW10" s="353"/>
      <c r="AWX10" s="353"/>
      <c r="AWY10" s="353"/>
      <c r="AWZ10" s="353"/>
      <c r="AXA10" s="353"/>
      <c r="AXB10" s="353"/>
      <c r="AXC10" s="353"/>
      <c r="AXD10" s="353"/>
      <c r="AXE10" s="353"/>
      <c r="AXF10" s="353"/>
      <c r="AXG10" s="353"/>
      <c r="AXH10" s="353"/>
      <c r="AXI10" s="353"/>
      <c r="AXJ10" s="353"/>
      <c r="AXK10" s="353"/>
      <c r="AXL10" s="353"/>
      <c r="AXM10" s="353"/>
      <c r="AXN10" s="353"/>
      <c r="AXO10" s="353"/>
      <c r="AXP10" s="353"/>
      <c r="AXQ10" s="353"/>
      <c r="AXR10" s="353"/>
      <c r="AXS10" s="353"/>
      <c r="AXT10" s="353"/>
      <c r="AXU10" s="353"/>
      <c r="AXV10" s="353"/>
      <c r="AXW10" s="353"/>
      <c r="AXX10" s="353"/>
      <c r="AXY10" s="353"/>
      <c r="AXZ10" s="353"/>
      <c r="AYA10" s="353"/>
      <c r="AYB10" s="353"/>
      <c r="AYC10" s="353"/>
      <c r="AYD10" s="353"/>
      <c r="AYE10" s="353"/>
      <c r="AYF10" s="353"/>
      <c r="AYG10" s="353"/>
      <c r="AYH10" s="353"/>
      <c r="AYI10" s="353"/>
      <c r="AYJ10" s="353"/>
      <c r="AYK10" s="353"/>
      <c r="AYL10" s="353"/>
      <c r="AYM10" s="353"/>
      <c r="AYN10" s="353"/>
      <c r="AYO10" s="353"/>
      <c r="AYP10" s="353"/>
      <c r="AYQ10" s="353"/>
      <c r="AYR10" s="353"/>
      <c r="AYS10" s="353"/>
      <c r="AYT10" s="353"/>
      <c r="AYU10" s="353"/>
      <c r="AYV10" s="353"/>
      <c r="AYW10" s="353"/>
      <c r="AYX10" s="353"/>
      <c r="AYY10" s="353"/>
      <c r="AYZ10" s="353"/>
      <c r="AZA10" s="353"/>
      <c r="AZB10" s="353"/>
      <c r="AZC10" s="353"/>
      <c r="AZD10" s="353"/>
      <c r="AZE10" s="353"/>
      <c r="AZF10" s="353"/>
      <c r="AZG10" s="353"/>
      <c r="AZH10" s="353"/>
      <c r="AZI10" s="353"/>
      <c r="AZJ10" s="353"/>
      <c r="AZK10" s="353"/>
      <c r="AZL10" s="353"/>
      <c r="AZM10" s="353"/>
      <c r="AZN10" s="353"/>
      <c r="AZO10" s="353"/>
      <c r="AZP10" s="353"/>
      <c r="AZQ10" s="353"/>
      <c r="AZR10" s="353"/>
      <c r="AZS10" s="353"/>
      <c r="AZT10" s="353"/>
      <c r="AZU10" s="353"/>
      <c r="AZV10" s="353"/>
      <c r="AZW10" s="353"/>
      <c r="AZX10" s="353"/>
      <c r="AZY10" s="353"/>
      <c r="AZZ10" s="353"/>
      <c r="BAA10" s="353"/>
      <c r="BAB10" s="353"/>
      <c r="BAC10" s="353"/>
      <c r="BAD10" s="353"/>
      <c r="BAE10" s="353"/>
      <c r="BAF10" s="353"/>
      <c r="BAG10" s="353"/>
      <c r="BAH10" s="353"/>
      <c r="BAI10" s="353"/>
      <c r="BAJ10" s="353"/>
      <c r="BAK10" s="353"/>
      <c r="BAL10" s="353"/>
      <c r="BAM10" s="353"/>
      <c r="BAN10" s="353"/>
      <c r="BAO10" s="353"/>
      <c r="BAP10" s="353"/>
      <c r="BAQ10" s="353"/>
      <c r="BAR10" s="353"/>
      <c r="BAS10" s="353"/>
      <c r="BAT10" s="353"/>
      <c r="BAU10" s="353"/>
      <c r="BAV10" s="353"/>
      <c r="BAW10" s="353"/>
      <c r="BAX10" s="353"/>
      <c r="BAY10" s="353"/>
      <c r="BAZ10" s="353"/>
      <c r="BBA10" s="353"/>
      <c r="BBB10" s="353"/>
      <c r="BBC10" s="353"/>
      <c r="BBD10" s="353"/>
      <c r="BBE10" s="353"/>
      <c r="BBF10" s="353"/>
      <c r="BBG10" s="353"/>
      <c r="BBH10" s="353"/>
      <c r="BBI10" s="353"/>
      <c r="BBJ10" s="353"/>
      <c r="BBK10" s="353"/>
      <c r="BBL10" s="353"/>
      <c r="BBM10" s="353"/>
      <c r="BBN10" s="353"/>
      <c r="BBO10" s="353"/>
      <c r="BBP10" s="353"/>
      <c r="BBQ10" s="353"/>
      <c r="BBR10" s="353"/>
      <c r="BBS10" s="353"/>
      <c r="BBT10" s="353"/>
      <c r="BBU10" s="353"/>
      <c r="BBV10" s="353"/>
      <c r="BBW10" s="353"/>
      <c r="BBX10" s="353"/>
      <c r="BBY10" s="353"/>
      <c r="BBZ10" s="353"/>
      <c r="BCA10" s="353"/>
      <c r="BCB10" s="353"/>
      <c r="BCC10" s="353"/>
      <c r="BCD10" s="353"/>
      <c r="BCE10" s="353"/>
      <c r="BCF10" s="353"/>
      <c r="BCG10" s="353"/>
      <c r="BCH10" s="353"/>
      <c r="BCI10" s="353"/>
      <c r="BCJ10" s="353"/>
      <c r="BCK10" s="353"/>
      <c r="BCL10" s="353"/>
      <c r="BCM10" s="353"/>
      <c r="BCN10" s="353"/>
      <c r="BCO10" s="353"/>
      <c r="BCP10" s="353"/>
      <c r="BCQ10" s="353"/>
      <c r="BCR10" s="353"/>
      <c r="BCS10" s="353"/>
      <c r="BCT10" s="353"/>
      <c r="BCU10" s="353"/>
      <c r="BCV10" s="353"/>
      <c r="BCW10" s="353"/>
      <c r="BCX10" s="353"/>
      <c r="BCY10" s="353"/>
      <c r="BCZ10" s="353"/>
      <c r="BDA10" s="353"/>
      <c r="BDB10" s="353"/>
      <c r="BDC10" s="353"/>
      <c r="BDD10" s="353"/>
      <c r="BDE10" s="353"/>
      <c r="BDF10" s="353"/>
      <c r="BDG10" s="353"/>
      <c r="BDH10" s="353"/>
      <c r="BDI10" s="353"/>
      <c r="BDJ10" s="353"/>
      <c r="BDK10" s="353"/>
      <c r="BDL10" s="353"/>
      <c r="BDM10" s="353"/>
      <c r="BDN10" s="353"/>
      <c r="BDO10" s="353"/>
      <c r="BDP10" s="353"/>
      <c r="BDQ10" s="353"/>
      <c r="BDR10" s="353"/>
      <c r="BDS10" s="353"/>
      <c r="BDT10" s="353"/>
      <c r="BDU10" s="353"/>
      <c r="BDV10" s="353"/>
      <c r="BDW10" s="353"/>
      <c r="BDX10" s="353"/>
      <c r="BDY10" s="353"/>
      <c r="BDZ10" s="353"/>
      <c r="BEA10" s="353"/>
      <c r="BEB10" s="353"/>
      <c r="BEC10" s="353"/>
      <c r="BED10" s="353"/>
      <c r="BEE10" s="353"/>
      <c r="BEF10" s="353"/>
      <c r="BEG10" s="353"/>
      <c r="BEH10" s="353"/>
      <c r="BEI10" s="353"/>
      <c r="BEJ10" s="353"/>
      <c r="BEK10" s="353"/>
      <c r="BEL10" s="353"/>
      <c r="BEM10" s="353"/>
      <c r="BEN10" s="353"/>
      <c r="BEO10" s="353"/>
      <c r="BEP10" s="353"/>
      <c r="BEQ10" s="353"/>
      <c r="BER10" s="353"/>
      <c r="BES10" s="353"/>
      <c r="BET10" s="353"/>
      <c r="BEU10" s="353"/>
      <c r="BEV10" s="353"/>
      <c r="BEW10" s="353"/>
      <c r="BEX10" s="353"/>
      <c r="BEY10" s="353"/>
      <c r="BEZ10" s="353"/>
      <c r="BFA10" s="353"/>
      <c r="BFB10" s="353"/>
      <c r="BFC10" s="353"/>
      <c r="BFD10" s="353"/>
      <c r="BFE10" s="353"/>
      <c r="BFF10" s="353"/>
      <c r="BFG10" s="353"/>
      <c r="BFH10" s="353"/>
      <c r="BFI10" s="353"/>
      <c r="BFJ10" s="353"/>
      <c r="BFK10" s="353"/>
      <c r="BFL10" s="353"/>
      <c r="BFM10" s="353"/>
      <c r="BFN10" s="353"/>
      <c r="BFO10" s="353"/>
      <c r="BFP10" s="353"/>
      <c r="BFQ10" s="353"/>
      <c r="BFR10" s="353"/>
      <c r="BFS10" s="353"/>
      <c r="BFT10" s="353"/>
      <c r="BFU10" s="353"/>
      <c r="BFV10" s="353"/>
      <c r="BFW10" s="353"/>
      <c r="BFX10" s="353"/>
      <c r="BFY10" s="353"/>
      <c r="BFZ10" s="353"/>
      <c r="BGA10" s="353"/>
      <c r="BGB10" s="353"/>
      <c r="BGC10" s="353"/>
      <c r="BGD10" s="353"/>
      <c r="BGE10" s="353"/>
      <c r="BGF10" s="353"/>
      <c r="BGG10" s="353"/>
      <c r="BGH10" s="353"/>
      <c r="BGI10" s="353"/>
      <c r="BGJ10" s="353"/>
      <c r="BGK10" s="353"/>
      <c r="BGL10" s="353"/>
      <c r="BGM10" s="353"/>
      <c r="BGN10" s="353"/>
      <c r="BGO10" s="353"/>
      <c r="BGP10" s="353"/>
      <c r="BGQ10" s="353"/>
      <c r="BGR10" s="353"/>
      <c r="BGS10" s="353"/>
      <c r="BGT10" s="353"/>
      <c r="BGU10" s="353"/>
      <c r="BGV10" s="353"/>
      <c r="BGW10" s="353"/>
      <c r="BGX10" s="353"/>
      <c r="BGY10" s="353"/>
      <c r="BGZ10" s="353"/>
      <c r="BHA10" s="353"/>
      <c r="BHB10" s="353"/>
      <c r="BHC10" s="353"/>
      <c r="BHD10" s="353"/>
      <c r="BHE10" s="353"/>
      <c r="BHF10" s="353"/>
      <c r="BHG10" s="353"/>
      <c r="BHH10" s="353"/>
      <c r="BHI10" s="353"/>
      <c r="BHJ10" s="353"/>
      <c r="BHK10" s="353"/>
      <c r="BHL10" s="353"/>
      <c r="BHM10" s="353"/>
      <c r="BHN10" s="353"/>
      <c r="BHO10" s="353"/>
      <c r="BHP10" s="353"/>
      <c r="BHQ10" s="353"/>
      <c r="BHR10" s="353"/>
      <c r="BHS10" s="353"/>
      <c r="BHT10" s="353"/>
      <c r="BHU10" s="353"/>
      <c r="BHV10" s="353"/>
      <c r="BHW10" s="353"/>
      <c r="BHX10" s="353"/>
      <c r="BHY10" s="353"/>
      <c r="BHZ10" s="353"/>
      <c r="BIA10" s="353"/>
      <c r="BIB10" s="353"/>
      <c r="BIC10" s="353"/>
      <c r="BID10" s="353"/>
      <c r="BIE10" s="353"/>
      <c r="BIF10" s="353"/>
      <c r="BIG10" s="353"/>
      <c r="BIH10" s="353"/>
      <c r="BII10" s="353"/>
      <c r="BIJ10" s="353"/>
      <c r="BIK10" s="353"/>
      <c r="BIL10" s="353"/>
      <c r="BIM10" s="353"/>
      <c r="BIN10" s="353"/>
      <c r="BIO10" s="353"/>
      <c r="BIP10" s="353"/>
      <c r="BIQ10" s="353"/>
      <c r="BIR10" s="353"/>
      <c r="BIS10" s="353"/>
      <c r="BIT10" s="353"/>
      <c r="BIU10" s="353"/>
      <c r="BIV10" s="353"/>
      <c r="BIW10" s="353"/>
      <c r="BIX10" s="353"/>
      <c r="BIY10" s="353"/>
      <c r="BIZ10" s="353"/>
      <c r="BJA10" s="353"/>
      <c r="BJB10" s="353"/>
      <c r="BJC10" s="353"/>
      <c r="BJD10" s="353"/>
      <c r="BJE10" s="353"/>
      <c r="BJF10" s="353"/>
      <c r="BJG10" s="353"/>
      <c r="BJH10" s="353"/>
      <c r="BJI10" s="353"/>
      <c r="BJJ10" s="353"/>
      <c r="BJK10" s="353"/>
      <c r="BJL10" s="353"/>
      <c r="BJM10" s="353"/>
      <c r="BJN10" s="353"/>
      <c r="BJO10" s="353"/>
      <c r="BJP10" s="353"/>
      <c r="BJQ10" s="353"/>
      <c r="BJR10" s="353"/>
      <c r="BJS10" s="353"/>
      <c r="BJT10" s="353"/>
      <c r="BJU10" s="353"/>
      <c r="BJV10" s="353"/>
      <c r="BJW10" s="353"/>
      <c r="BJX10" s="353"/>
      <c r="BJY10" s="353"/>
      <c r="BJZ10" s="353"/>
      <c r="BKA10" s="353"/>
      <c r="BKB10" s="353"/>
      <c r="BKC10" s="353"/>
      <c r="BKD10" s="353"/>
      <c r="BKE10" s="353"/>
      <c r="BKF10" s="353"/>
      <c r="BKG10" s="353"/>
      <c r="BKH10" s="353"/>
      <c r="BKI10" s="353"/>
      <c r="BKJ10" s="353"/>
      <c r="BKK10" s="353"/>
      <c r="BKL10" s="353"/>
      <c r="BKM10" s="353"/>
      <c r="BKN10" s="353"/>
      <c r="BKO10" s="353"/>
      <c r="BKP10" s="353"/>
      <c r="BKQ10" s="353"/>
      <c r="BKR10" s="353"/>
      <c r="BKS10" s="353"/>
      <c r="BKT10" s="353"/>
      <c r="BKU10" s="353"/>
      <c r="BKV10" s="353"/>
      <c r="BKW10" s="353"/>
      <c r="BKX10" s="353"/>
      <c r="BKY10" s="353"/>
      <c r="BKZ10" s="353"/>
      <c r="BLA10" s="353"/>
      <c r="BLB10" s="353"/>
      <c r="BLC10" s="353"/>
      <c r="BLD10" s="353"/>
      <c r="BLE10" s="353"/>
      <c r="BLF10" s="353"/>
      <c r="BLG10" s="353"/>
      <c r="BLH10" s="353"/>
      <c r="BLI10" s="353"/>
      <c r="BLJ10" s="353"/>
      <c r="BLK10" s="353"/>
      <c r="BLL10" s="353"/>
      <c r="BLM10" s="353"/>
      <c r="BLN10" s="353"/>
      <c r="BLO10" s="353"/>
      <c r="BLP10" s="353"/>
      <c r="BLQ10" s="353"/>
      <c r="BLR10" s="353"/>
      <c r="BLS10" s="353"/>
      <c r="BLT10" s="353"/>
      <c r="BLU10" s="353"/>
      <c r="BLV10" s="353"/>
      <c r="BLW10" s="353"/>
      <c r="BLX10" s="353"/>
      <c r="BLY10" s="353"/>
      <c r="BLZ10" s="353"/>
      <c r="BMA10" s="353"/>
      <c r="BMB10" s="353"/>
      <c r="BMC10" s="353"/>
      <c r="BMD10" s="353"/>
      <c r="BME10" s="353"/>
      <c r="BMF10" s="353"/>
      <c r="BMG10" s="353"/>
      <c r="BMH10" s="353"/>
      <c r="BMI10" s="353"/>
      <c r="BMJ10" s="353"/>
      <c r="BMK10" s="353"/>
      <c r="BML10" s="353"/>
      <c r="BMM10" s="353"/>
      <c r="BMN10" s="353"/>
      <c r="BMO10" s="353"/>
      <c r="BMP10" s="353"/>
      <c r="BMQ10" s="353"/>
      <c r="BMR10" s="353"/>
      <c r="BMS10" s="353"/>
      <c r="BMT10" s="353"/>
      <c r="BMU10" s="353"/>
      <c r="BMV10" s="353"/>
      <c r="BMW10" s="353"/>
      <c r="BMX10" s="353"/>
      <c r="BMY10" s="353"/>
      <c r="BMZ10" s="353"/>
      <c r="BNA10" s="353"/>
      <c r="BNB10" s="353"/>
      <c r="BNC10" s="353"/>
      <c r="BND10" s="353"/>
      <c r="BNE10" s="353"/>
      <c r="BNF10" s="353"/>
      <c r="BNG10" s="353"/>
      <c r="BNH10" s="353"/>
      <c r="BNI10" s="353"/>
      <c r="BNJ10" s="353"/>
      <c r="BNK10" s="353"/>
      <c r="BNL10" s="353"/>
      <c r="BNM10" s="353"/>
      <c r="BNN10" s="353"/>
      <c r="BNO10" s="353"/>
      <c r="BNP10" s="353"/>
      <c r="BNQ10" s="353"/>
      <c r="BNR10" s="353"/>
      <c r="BNS10" s="353"/>
      <c r="BNT10" s="353"/>
      <c r="BNU10" s="353"/>
      <c r="BNV10" s="353"/>
      <c r="BNW10" s="353"/>
      <c r="BNX10" s="353"/>
      <c r="BNY10" s="353"/>
      <c r="BNZ10" s="353"/>
      <c r="BOA10" s="353"/>
      <c r="BOB10" s="353"/>
      <c r="BOC10" s="353"/>
      <c r="BOD10" s="353"/>
      <c r="BOE10" s="353"/>
      <c r="BOF10" s="353"/>
      <c r="BOG10" s="353"/>
      <c r="BOH10" s="353"/>
      <c r="BOI10" s="353"/>
      <c r="BOJ10" s="353"/>
      <c r="BOK10" s="353"/>
      <c r="BOL10" s="353"/>
      <c r="BOM10" s="353"/>
      <c r="BON10" s="353"/>
      <c r="BOO10" s="353"/>
      <c r="BOP10" s="353"/>
      <c r="BOQ10" s="353"/>
      <c r="BOR10" s="353"/>
      <c r="BOS10" s="353"/>
      <c r="BOT10" s="353"/>
      <c r="BOU10" s="353"/>
      <c r="BOV10" s="353"/>
      <c r="BOW10" s="353"/>
      <c r="BOX10" s="353"/>
      <c r="BOY10" s="353"/>
      <c r="BOZ10" s="353"/>
      <c r="BPA10" s="353"/>
      <c r="BPB10" s="353"/>
      <c r="BPC10" s="353"/>
      <c r="BPD10" s="353"/>
      <c r="BPE10" s="353"/>
      <c r="BPF10" s="353"/>
      <c r="BPG10" s="353"/>
      <c r="BPH10" s="353"/>
      <c r="BPI10" s="353"/>
      <c r="BPJ10" s="353"/>
      <c r="BPK10" s="353"/>
      <c r="BPL10" s="353"/>
      <c r="BPM10" s="353"/>
      <c r="BPN10" s="353"/>
      <c r="BPO10" s="353"/>
      <c r="BPP10" s="353"/>
      <c r="BPQ10" s="353"/>
      <c r="BPR10" s="353"/>
      <c r="BPS10" s="353"/>
      <c r="BPT10" s="353"/>
      <c r="BPU10" s="353"/>
      <c r="BPV10" s="353"/>
      <c r="BPW10" s="353"/>
      <c r="BPX10" s="353"/>
      <c r="BPY10" s="353"/>
      <c r="BPZ10" s="353"/>
      <c r="BQA10" s="353"/>
      <c r="BQB10" s="353"/>
      <c r="BQC10" s="353"/>
      <c r="BQD10" s="353"/>
      <c r="BQE10" s="353"/>
      <c r="BQF10" s="353"/>
      <c r="BQG10" s="353"/>
      <c r="BQH10" s="353"/>
      <c r="BQI10" s="353"/>
      <c r="BQJ10" s="353"/>
      <c r="BQK10" s="353"/>
      <c r="BQL10" s="353"/>
      <c r="BQM10" s="353"/>
      <c r="BQN10" s="353"/>
      <c r="BQO10" s="353"/>
      <c r="BQP10" s="353"/>
      <c r="BQQ10" s="353"/>
      <c r="BQR10" s="353"/>
      <c r="BQS10" s="353"/>
      <c r="BQT10" s="353"/>
      <c r="BQU10" s="353"/>
      <c r="BQV10" s="353"/>
      <c r="BQW10" s="353"/>
      <c r="BQX10" s="353"/>
      <c r="BQY10" s="353"/>
      <c r="BQZ10" s="353"/>
      <c r="BRA10" s="353"/>
      <c r="BRB10" s="353"/>
      <c r="BRC10" s="353"/>
      <c r="BRD10" s="353"/>
      <c r="BRE10" s="353"/>
      <c r="BRF10" s="353"/>
      <c r="BRG10" s="353"/>
      <c r="BRH10" s="353"/>
      <c r="BRI10" s="353"/>
      <c r="BRJ10" s="353"/>
      <c r="BRK10" s="353"/>
      <c r="BRL10" s="353"/>
      <c r="BRM10" s="353"/>
      <c r="BRN10" s="353"/>
      <c r="BRO10" s="353"/>
      <c r="BRP10" s="353"/>
      <c r="BRQ10" s="353"/>
      <c r="BRR10" s="353"/>
      <c r="BRS10" s="353"/>
      <c r="BRT10" s="353"/>
      <c r="BRU10" s="353"/>
      <c r="BRV10" s="353"/>
      <c r="BRW10" s="353"/>
      <c r="BRX10" s="353"/>
      <c r="BRY10" s="353"/>
      <c r="BRZ10" s="353"/>
      <c r="BSA10" s="353"/>
      <c r="BSB10" s="353"/>
      <c r="BSC10" s="353"/>
      <c r="BSD10" s="353"/>
      <c r="BSE10" s="353"/>
      <c r="BSF10" s="353"/>
      <c r="BSG10" s="353"/>
      <c r="BSH10" s="353"/>
      <c r="BSI10" s="353"/>
      <c r="BSJ10" s="353"/>
      <c r="BSK10" s="353"/>
      <c r="BSL10" s="353"/>
      <c r="BSM10" s="353"/>
      <c r="BSN10" s="353"/>
      <c r="BSO10" s="353"/>
      <c r="BSP10" s="353"/>
      <c r="BSQ10" s="353"/>
      <c r="BSR10" s="353"/>
      <c r="BSS10" s="353"/>
      <c r="BST10" s="353"/>
      <c r="BSU10" s="353"/>
      <c r="BSV10" s="353"/>
      <c r="BSW10" s="353"/>
      <c r="BSX10" s="353"/>
      <c r="BSY10" s="353"/>
      <c r="BSZ10" s="353"/>
      <c r="BTA10" s="353"/>
      <c r="BTB10" s="353"/>
      <c r="BTC10" s="353"/>
      <c r="BTD10" s="353"/>
      <c r="BTE10" s="353"/>
      <c r="BTF10" s="353"/>
      <c r="BTG10" s="353"/>
      <c r="BTH10" s="353"/>
      <c r="BTI10" s="353"/>
      <c r="BTJ10" s="353"/>
      <c r="BTK10" s="353"/>
      <c r="BTL10" s="353"/>
      <c r="BTM10" s="353"/>
      <c r="BTN10" s="353"/>
      <c r="BTO10" s="353"/>
      <c r="BTP10" s="353"/>
      <c r="BTQ10" s="353"/>
      <c r="BTR10" s="353"/>
      <c r="BTS10" s="353"/>
      <c r="BTT10" s="353"/>
      <c r="BTU10" s="353"/>
      <c r="BTV10" s="353"/>
      <c r="BTW10" s="353"/>
      <c r="BTX10" s="353"/>
      <c r="BTY10" s="353"/>
      <c r="BTZ10" s="353"/>
      <c r="BUA10" s="353"/>
      <c r="BUB10" s="353"/>
      <c r="BUC10" s="353"/>
      <c r="BUD10" s="353"/>
      <c r="BUE10" s="353"/>
      <c r="BUF10" s="353"/>
      <c r="BUG10" s="353"/>
      <c r="BUH10" s="353"/>
      <c r="BUI10" s="353"/>
      <c r="BUJ10" s="353"/>
      <c r="BUK10" s="353"/>
      <c r="BUL10" s="353"/>
      <c r="BUM10" s="353"/>
      <c r="BUN10" s="353"/>
      <c r="BUO10" s="353"/>
      <c r="BUP10" s="353"/>
      <c r="BUQ10" s="353"/>
      <c r="BUR10" s="353"/>
      <c r="BUS10" s="353"/>
      <c r="BUT10" s="353"/>
      <c r="BUU10" s="353"/>
      <c r="BUV10" s="353"/>
      <c r="BUW10" s="353"/>
      <c r="BUX10" s="353"/>
      <c r="BUY10" s="353"/>
      <c r="BUZ10" s="353"/>
      <c r="BVA10" s="353"/>
      <c r="BVB10" s="353"/>
      <c r="BVC10" s="353"/>
      <c r="BVD10" s="353"/>
      <c r="BVE10" s="353"/>
      <c r="BVF10" s="353"/>
      <c r="BVG10" s="353"/>
      <c r="BVH10" s="353"/>
      <c r="BVI10" s="353"/>
      <c r="BVJ10" s="353"/>
      <c r="BVK10" s="353"/>
      <c r="BVL10" s="353"/>
      <c r="BVM10" s="353"/>
      <c r="BVN10" s="353"/>
      <c r="BVO10" s="353"/>
      <c r="BVP10" s="353"/>
      <c r="BVQ10" s="353"/>
      <c r="BVR10" s="353"/>
      <c r="BVS10" s="353"/>
      <c r="BVT10" s="353"/>
      <c r="BVU10" s="353"/>
      <c r="BVV10" s="353"/>
      <c r="BVW10" s="353"/>
      <c r="BVX10" s="353"/>
      <c r="BVY10" s="353"/>
      <c r="BVZ10" s="353"/>
      <c r="BWA10" s="353"/>
      <c r="BWB10" s="353"/>
      <c r="BWC10" s="353"/>
      <c r="BWD10" s="353"/>
      <c r="BWE10" s="353"/>
      <c r="BWF10" s="353"/>
      <c r="BWG10" s="353"/>
      <c r="BWH10" s="353"/>
      <c r="BWI10" s="353"/>
      <c r="BWJ10" s="353"/>
      <c r="BWK10" s="353"/>
      <c r="BWL10" s="353"/>
      <c r="BWM10" s="353"/>
      <c r="BWN10" s="353"/>
      <c r="BWO10" s="353"/>
      <c r="BWP10" s="353"/>
      <c r="BWQ10" s="353"/>
      <c r="BWR10" s="353"/>
      <c r="BWS10" s="353"/>
      <c r="BWT10" s="353"/>
      <c r="BWU10" s="353"/>
      <c r="BWV10" s="353"/>
      <c r="BWW10" s="353"/>
      <c r="BWX10" s="353"/>
      <c r="BWY10" s="353"/>
      <c r="BWZ10" s="353"/>
      <c r="BXA10" s="353"/>
      <c r="BXB10" s="353"/>
      <c r="BXC10" s="353"/>
      <c r="BXD10" s="353"/>
      <c r="BXE10" s="353"/>
      <c r="BXF10" s="353"/>
      <c r="BXG10" s="353"/>
      <c r="BXH10" s="353"/>
      <c r="BXI10" s="353"/>
      <c r="BXJ10" s="353"/>
      <c r="BXK10" s="353"/>
      <c r="BXL10" s="353"/>
      <c r="BXM10" s="353"/>
      <c r="BXN10" s="353"/>
      <c r="BXO10" s="353"/>
      <c r="BXP10" s="353"/>
      <c r="BXQ10" s="353"/>
      <c r="BXR10" s="353"/>
      <c r="BXS10" s="353"/>
      <c r="BXT10" s="353"/>
      <c r="BXU10" s="353"/>
      <c r="BXV10" s="353"/>
      <c r="BXW10" s="353"/>
      <c r="BXX10" s="353"/>
      <c r="BXY10" s="353"/>
      <c r="BXZ10" s="353"/>
      <c r="BYA10" s="353"/>
      <c r="BYB10" s="353"/>
      <c r="BYC10" s="353"/>
      <c r="BYD10" s="353"/>
      <c r="BYE10" s="353"/>
      <c r="BYF10" s="353"/>
      <c r="BYG10" s="353"/>
      <c r="BYH10" s="353"/>
      <c r="BYI10" s="353"/>
      <c r="BYJ10" s="353"/>
      <c r="BYK10" s="353"/>
      <c r="BYL10" s="353"/>
      <c r="BYM10" s="353"/>
      <c r="BYN10" s="353"/>
      <c r="BYO10" s="353"/>
      <c r="BYP10" s="353"/>
      <c r="BYQ10" s="353"/>
      <c r="BYR10" s="353"/>
      <c r="BYS10" s="353"/>
      <c r="BYT10" s="353"/>
      <c r="BYU10" s="353"/>
      <c r="BYV10" s="353"/>
      <c r="BYW10" s="353"/>
      <c r="BYX10" s="353"/>
      <c r="BYY10" s="353"/>
      <c r="BYZ10" s="353"/>
      <c r="BZA10" s="353"/>
      <c r="BZB10" s="353"/>
      <c r="BZC10" s="353"/>
      <c r="BZD10" s="353"/>
      <c r="BZE10" s="353"/>
      <c r="BZF10" s="353"/>
      <c r="BZG10" s="353"/>
      <c r="BZH10" s="353"/>
      <c r="BZI10" s="353"/>
      <c r="BZJ10" s="353"/>
      <c r="BZK10" s="353"/>
      <c r="BZL10" s="353"/>
      <c r="BZM10" s="353"/>
      <c r="BZN10" s="353"/>
      <c r="BZO10" s="353"/>
      <c r="BZP10" s="353"/>
      <c r="BZQ10" s="353"/>
      <c r="BZR10" s="353"/>
      <c r="BZS10" s="353"/>
      <c r="BZT10" s="353"/>
      <c r="BZU10" s="353"/>
      <c r="BZV10" s="353"/>
      <c r="BZW10" s="353"/>
      <c r="BZX10" s="353"/>
      <c r="BZY10" s="353"/>
      <c r="BZZ10" s="353"/>
      <c r="CAA10" s="353"/>
      <c r="CAB10" s="353"/>
      <c r="CAC10" s="353"/>
      <c r="CAD10" s="353"/>
      <c r="CAE10" s="353"/>
      <c r="CAF10" s="353"/>
      <c r="CAG10" s="353"/>
      <c r="CAH10" s="353"/>
      <c r="CAI10" s="353"/>
      <c r="CAJ10" s="353"/>
      <c r="CAK10" s="353"/>
      <c r="CAL10" s="353"/>
      <c r="CAM10" s="353"/>
      <c r="CAN10" s="353"/>
      <c r="CAO10" s="353"/>
      <c r="CAP10" s="353"/>
      <c r="CAQ10" s="353"/>
      <c r="CAR10" s="353"/>
      <c r="CAS10" s="353"/>
      <c r="CAT10" s="353"/>
      <c r="CAU10" s="353"/>
      <c r="CAV10" s="353"/>
      <c r="CAW10" s="353"/>
      <c r="CAX10" s="353"/>
      <c r="CAY10" s="353"/>
      <c r="CAZ10" s="353"/>
      <c r="CBA10" s="353"/>
      <c r="CBB10" s="353"/>
      <c r="CBC10" s="353"/>
      <c r="CBD10" s="353"/>
      <c r="CBE10" s="353"/>
      <c r="CBF10" s="353"/>
      <c r="CBG10" s="353"/>
      <c r="CBH10" s="353"/>
      <c r="CBI10" s="353"/>
      <c r="CBJ10" s="353"/>
      <c r="CBK10" s="353"/>
      <c r="CBL10" s="353"/>
      <c r="CBM10" s="353"/>
      <c r="CBN10" s="353"/>
      <c r="CBO10" s="353"/>
      <c r="CBP10" s="353"/>
      <c r="CBQ10" s="353"/>
      <c r="CBR10" s="353"/>
      <c r="CBS10" s="353"/>
      <c r="CBT10" s="353"/>
      <c r="CBU10" s="353"/>
      <c r="CBV10" s="353"/>
      <c r="CBW10" s="353"/>
      <c r="CBX10" s="353"/>
      <c r="CBY10" s="353"/>
      <c r="CBZ10" s="353"/>
      <c r="CCA10" s="353"/>
      <c r="CCB10" s="353"/>
      <c r="CCC10" s="353"/>
      <c r="CCD10" s="353"/>
      <c r="CCE10" s="353"/>
      <c r="CCF10" s="353"/>
      <c r="CCG10" s="353"/>
      <c r="CCH10" s="353"/>
      <c r="CCI10" s="353"/>
      <c r="CCJ10" s="353"/>
      <c r="CCK10" s="353"/>
      <c r="CCL10" s="353"/>
      <c r="CCM10" s="353"/>
      <c r="CCN10" s="353"/>
      <c r="CCO10" s="353"/>
      <c r="CCP10" s="353"/>
      <c r="CCQ10" s="353"/>
      <c r="CCR10" s="353"/>
      <c r="CCS10" s="353"/>
      <c r="CCT10" s="353"/>
      <c r="CCU10" s="353"/>
      <c r="CCV10" s="353"/>
      <c r="CCW10" s="353"/>
      <c r="CCX10" s="353"/>
      <c r="CCY10" s="353"/>
      <c r="CCZ10" s="353"/>
      <c r="CDA10" s="353"/>
      <c r="CDB10" s="353"/>
      <c r="CDC10" s="353"/>
      <c r="CDD10" s="353"/>
      <c r="CDE10" s="353"/>
      <c r="CDF10" s="353"/>
      <c r="CDG10" s="353"/>
      <c r="CDH10" s="353"/>
      <c r="CDI10" s="353"/>
      <c r="CDJ10" s="353"/>
      <c r="CDK10" s="353"/>
      <c r="CDL10" s="353"/>
      <c r="CDM10" s="353"/>
      <c r="CDN10" s="353"/>
      <c r="CDO10" s="353"/>
      <c r="CDP10" s="353"/>
      <c r="CDQ10" s="353"/>
      <c r="CDR10" s="353"/>
      <c r="CDS10" s="353"/>
      <c r="CDT10" s="353"/>
      <c r="CDU10" s="353"/>
      <c r="CDV10" s="353"/>
      <c r="CDW10" s="353"/>
      <c r="CDX10" s="353"/>
      <c r="CDY10" s="353"/>
      <c r="CDZ10" s="353"/>
      <c r="CEA10" s="353"/>
      <c r="CEB10" s="353"/>
      <c r="CEC10" s="353"/>
      <c r="CED10" s="353"/>
      <c r="CEE10" s="353"/>
      <c r="CEF10" s="353"/>
      <c r="CEG10" s="353"/>
      <c r="CEH10" s="353"/>
      <c r="CEI10" s="353"/>
      <c r="CEJ10" s="353"/>
      <c r="CEK10" s="353"/>
      <c r="CEL10" s="353"/>
      <c r="CEM10" s="353"/>
      <c r="CEN10" s="353"/>
      <c r="CEO10" s="353"/>
      <c r="CEP10" s="353"/>
      <c r="CEQ10" s="353"/>
      <c r="CER10" s="353"/>
      <c r="CES10" s="353"/>
      <c r="CET10" s="353"/>
      <c r="CEU10" s="353"/>
      <c r="CEV10" s="353"/>
      <c r="CEW10" s="353"/>
      <c r="CEX10" s="353"/>
      <c r="CEY10" s="353"/>
      <c r="CEZ10" s="353"/>
      <c r="CFA10" s="353"/>
      <c r="CFB10" s="353"/>
      <c r="CFC10" s="353"/>
      <c r="CFD10" s="353"/>
      <c r="CFE10" s="353"/>
      <c r="CFF10" s="353"/>
      <c r="CFG10" s="353"/>
      <c r="CFH10" s="353"/>
      <c r="CFI10" s="353"/>
      <c r="CFJ10" s="353"/>
      <c r="CFK10" s="353"/>
      <c r="CFL10" s="353"/>
      <c r="CFM10" s="353"/>
      <c r="CFN10" s="353"/>
      <c r="CFO10" s="353"/>
      <c r="CFP10" s="353"/>
      <c r="CFQ10" s="353"/>
      <c r="CFR10" s="353"/>
      <c r="CFS10" s="353"/>
      <c r="CFT10" s="353"/>
      <c r="CFU10" s="353"/>
      <c r="CFV10" s="353"/>
      <c r="CFW10" s="353"/>
      <c r="CFX10" s="353"/>
      <c r="CFY10" s="353"/>
      <c r="CFZ10" s="353"/>
      <c r="CGA10" s="353"/>
      <c r="CGB10" s="353"/>
      <c r="CGC10" s="353"/>
      <c r="CGD10" s="353"/>
      <c r="CGE10" s="353"/>
      <c r="CGF10" s="353"/>
      <c r="CGG10" s="353"/>
      <c r="CGH10" s="353"/>
      <c r="CGI10" s="353"/>
      <c r="CGJ10" s="353"/>
      <c r="CGK10" s="353"/>
      <c r="CGL10" s="353"/>
      <c r="CGM10" s="353"/>
      <c r="CGN10" s="353"/>
      <c r="CGO10" s="353"/>
      <c r="CGP10" s="353"/>
      <c r="CGQ10" s="353"/>
      <c r="CGR10" s="353"/>
      <c r="CGS10" s="353"/>
      <c r="CGT10" s="353"/>
      <c r="CGU10" s="353"/>
      <c r="CGV10" s="353"/>
      <c r="CGW10" s="353"/>
      <c r="CGX10" s="353"/>
      <c r="CGY10" s="353"/>
      <c r="CGZ10" s="353"/>
      <c r="CHA10" s="353"/>
      <c r="CHB10" s="353"/>
      <c r="CHC10" s="353"/>
      <c r="CHD10" s="353"/>
      <c r="CHE10" s="353"/>
      <c r="CHF10" s="353"/>
      <c r="CHG10" s="353"/>
      <c r="CHH10" s="353"/>
      <c r="CHI10" s="353"/>
      <c r="CHJ10" s="353"/>
      <c r="CHK10" s="353"/>
      <c r="CHL10" s="353"/>
      <c r="CHM10" s="353"/>
      <c r="CHN10" s="353"/>
      <c r="CHO10" s="353"/>
      <c r="CHP10" s="353"/>
      <c r="CHQ10" s="353"/>
      <c r="CHR10" s="353"/>
      <c r="CHS10" s="353"/>
      <c r="CHT10" s="353"/>
      <c r="CHU10" s="353"/>
      <c r="CHV10" s="353"/>
      <c r="CHW10" s="353"/>
      <c r="CHX10" s="353"/>
      <c r="CHY10" s="353"/>
      <c r="CHZ10" s="353"/>
      <c r="CIA10" s="353"/>
      <c r="CIB10" s="353"/>
      <c r="CIC10" s="353"/>
      <c r="CID10" s="353"/>
      <c r="CIE10" s="353"/>
      <c r="CIF10" s="353"/>
      <c r="CIG10" s="353"/>
      <c r="CIH10" s="353"/>
      <c r="CII10" s="353"/>
      <c r="CIJ10" s="353"/>
      <c r="CIK10" s="353"/>
      <c r="CIL10" s="353"/>
      <c r="CIM10" s="353"/>
      <c r="CIN10" s="353"/>
      <c r="CIO10" s="353"/>
      <c r="CIP10" s="353"/>
      <c r="CIQ10" s="353"/>
      <c r="CIR10" s="353"/>
      <c r="CIS10" s="353"/>
      <c r="CIT10" s="353"/>
      <c r="CIU10" s="353"/>
      <c r="CIV10" s="353"/>
      <c r="CIW10" s="353"/>
      <c r="CIX10" s="353"/>
      <c r="CIY10" s="353"/>
      <c r="CIZ10" s="353"/>
      <c r="CJA10" s="353"/>
      <c r="CJB10" s="353"/>
      <c r="CJC10" s="353"/>
      <c r="CJD10" s="353"/>
      <c r="CJE10" s="353"/>
      <c r="CJF10" s="353"/>
      <c r="CJG10" s="353"/>
      <c r="CJH10" s="353"/>
      <c r="CJI10" s="353"/>
      <c r="CJJ10" s="353"/>
      <c r="CJK10" s="353"/>
      <c r="CJL10" s="353"/>
      <c r="CJM10" s="353"/>
      <c r="CJN10" s="353"/>
      <c r="CJO10" s="353"/>
      <c r="CJP10" s="353"/>
      <c r="CJQ10" s="353"/>
      <c r="CJR10" s="353"/>
      <c r="CJS10" s="353"/>
      <c r="CJT10" s="353"/>
      <c r="CJU10" s="353"/>
      <c r="CJV10" s="353"/>
      <c r="CJW10" s="353"/>
      <c r="CJX10" s="353"/>
      <c r="CJY10" s="353"/>
      <c r="CJZ10" s="353"/>
      <c r="CKA10" s="353"/>
      <c r="CKB10" s="353"/>
      <c r="CKC10" s="353"/>
      <c r="CKD10" s="353"/>
      <c r="CKE10" s="353"/>
      <c r="CKF10" s="353"/>
      <c r="CKG10" s="353"/>
      <c r="CKH10" s="353"/>
      <c r="CKI10" s="353"/>
      <c r="CKJ10" s="353"/>
      <c r="CKK10" s="353"/>
      <c r="CKL10" s="353"/>
      <c r="CKM10" s="353"/>
      <c r="CKN10" s="353"/>
      <c r="CKO10" s="353"/>
      <c r="CKP10" s="353"/>
      <c r="CKQ10" s="353"/>
      <c r="CKR10" s="353"/>
      <c r="CKS10" s="353"/>
      <c r="CKT10" s="353"/>
      <c r="CKU10" s="353"/>
      <c r="CKV10" s="353"/>
      <c r="CKW10" s="353"/>
      <c r="CKX10" s="353"/>
      <c r="CKY10" s="353"/>
      <c r="CKZ10" s="353"/>
      <c r="CLA10" s="353"/>
      <c r="CLB10" s="353"/>
      <c r="CLC10" s="353"/>
      <c r="CLD10" s="353"/>
      <c r="CLE10" s="353"/>
      <c r="CLF10" s="353"/>
      <c r="CLG10" s="353"/>
      <c r="CLH10" s="353"/>
      <c r="CLI10" s="353"/>
      <c r="CLJ10" s="353"/>
      <c r="CLK10" s="353"/>
      <c r="CLL10" s="353"/>
      <c r="CLM10" s="353"/>
      <c r="CLN10" s="353"/>
      <c r="CLO10" s="353"/>
      <c r="CLP10" s="353"/>
      <c r="CLQ10" s="353"/>
      <c r="CLR10" s="353"/>
      <c r="CLS10" s="353"/>
      <c r="CLT10" s="353"/>
      <c r="CLU10" s="353"/>
      <c r="CLV10" s="353"/>
      <c r="CLW10" s="353"/>
      <c r="CLX10" s="353"/>
      <c r="CLY10" s="353"/>
      <c r="CLZ10" s="353"/>
      <c r="CMA10" s="353"/>
      <c r="CMB10" s="353"/>
      <c r="CMC10" s="353"/>
      <c r="CMD10" s="353"/>
      <c r="CME10" s="353"/>
      <c r="CMF10" s="353"/>
      <c r="CMG10" s="353"/>
      <c r="CMH10" s="353"/>
      <c r="CMI10" s="353"/>
      <c r="CMJ10" s="353"/>
      <c r="CMK10" s="353"/>
      <c r="CML10" s="353"/>
      <c r="CMM10" s="353"/>
      <c r="CMN10" s="353"/>
      <c r="CMO10" s="353"/>
      <c r="CMP10" s="353"/>
      <c r="CMQ10" s="353"/>
      <c r="CMR10" s="353"/>
      <c r="CMS10" s="353"/>
      <c r="CMT10" s="353"/>
      <c r="CMU10" s="353"/>
      <c r="CMV10" s="353"/>
      <c r="CMW10" s="353"/>
      <c r="CMX10" s="353"/>
      <c r="CMY10" s="353"/>
      <c r="CMZ10" s="353"/>
      <c r="CNA10" s="353"/>
      <c r="CNB10" s="353"/>
      <c r="CNC10" s="353"/>
      <c r="CND10" s="353"/>
      <c r="CNE10" s="353"/>
      <c r="CNF10" s="353"/>
      <c r="CNG10" s="353"/>
      <c r="CNH10" s="353"/>
      <c r="CNI10" s="353"/>
      <c r="CNJ10" s="353"/>
      <c r="CNK10" s="353"/>
      <c r="CNL10" s="353"/>
      <c r="CNM10" s="353"/>
      <c r="CNN10" s="353"/>
      <c r="CNO10" s="353"/>
      <c r="CNP10" s="353"/>
      <c r="CNQ10" s="353"/>
      <c r="CNR10" s="353"/>
      <c r="CNS10" s="353"/>
      <c r="CNT10" s="353"/>
      <c r="CNU10" s="353"/>
      <c r="CNV10" s="353"/>
      <c r="CNW10" s="353"/>
      <c r="CNX10" s="353"/>
      <c r="CNY10" s="353"/>
      <c r="CNZ10" s="353"/>
      <c r="COA10" s="353"/>
      <c r="COB10" s="353"/>
      <c r="COC10" s="353"/>
      <c r="COD10" s="353"/>
      <c r="COE10" s="353"/>
      <c r="COF10" s="353"/>
      <c r="COG10" s="353"/>
      <c r="COH10" s="353"/>
      <c r="COI10" s="353"/>
      <c r="COJ10" s="353"/>
      <c r="COK10" s="353"/>
      <c r="COL10" s="353"/>
      <c r="COM10" s="353"/>
      <c r="CON10" s="353"/>
      <c r="COO10" s="353"/>
      <c r="COP10" s="353"/>
      <c r="COQ10" s="353"/>
      <c r="COR10" s="353"/>
      <c r="COS10" s="353"/>
      <c r="COT10" s="353"/>
      <c r="COU10" s="353"/>
      <c r="COV10" s="353"/>
      <c r="COW10" s="353"/>
      <c r="COX10" s="353"/>
      <c r="COY10" s="353"/>
      <c r="COZ10" s="353"/>
      <c r="CPA10" s="353"/>
      <c r="CPB10" s="353"/>
      <c r="CPC10" s="353"/>
      <c r="CPD10" s="353"/>
      <c r="CPE10" s="353"/>
      <c r="CPF10" s="353"/>
      <c r="CPG10" s="353"/>
      <c r="CPH10" s="353"/>
      <c r="CPI10" s="353"/>
      <c r="CPJ10" s="353"/>
      <c r="CPK10" s="353"/>
      <c r="CPL10" s="353"/>
      <c r="CPM10" s="353"/>
      <c r="CPN10" s="353"/>
      <c r="CPO10" s="353"/>
      <c r="CPP10" s="353"/>
      <c r="CPQ10" s="353"/>
      <c r="CPR10" s="353"/>
      <c r="CPS10" s="353"/>
      <c r="CPT10" s="353"/>
      <c r="CPU10" s="353"/>
      <c r="CPV10" s="353"/>
      <c r="CPW10" s="353"/>
      <c r="CPX10" s="353"/>
      <c r="CPY10" s="353"/>
      <c r="CPZ10" s="353"/>
      <c r="CQA10" s="353"/>
      <c r="CQB10" s="353"/>
      <c r="CQC10" s="353"/>
      <c r="CQD10" s="353"/>
      <c r="CQE10" s="353"/>
      <c r="CQF10" s="353"/>
      <c r="CQG10" s="353"/>
      <c r="CQH10" s="353"/>
      <c r="CQI10" s="353"/>
      <c r="CQJ10" s="353"/>
      <c r="CQK10" s="353"/>
      <c r="CQL10" s="353"/>
      <c r="CQM10" s="353"/>
      <c r="CQN10" s="353"/>
      <c r="CQO10" s="353"/>
      <c r="CQP10" s="353"/>
      <c r="CQQ10" s="353"/>
      <c r="CQR10" s="353"/>
      <c r="CQS10" s="353"/>
      <c r="CQT10" s="353"/>
      <c r="CQU10" s="353"/>
      <c r="CQV10" s="353"/>
      <c r="CQW10" s="353"/>
      <c r="CQX10" s="353"/>
      <c r="CQY10" s="353"/>
      <c r="CQZ10" s="353"/>
      <c r="CRA10" s="353"/>
      <c r="CRB10" s="353"/>
      <c r="CRC10" s="353"/>
      <c r="CRD10" s="353"/>
      <c r="CRE10" s="353"/>
      <c r="CRF10" s="353"/>
      <c r="CRG10" s="353"/>
      <c r="CRH10" s="353"/>
      <c r="CRI10" s="353"/>
      <c r="CRJ10" s="353"/>
      <c r="CRK10" s="353"/>
      <c r="CRL10" s="353"/>
      <c r="CRM10" s="353"/>
      <c r="CRN10" s="353"/>
      <c r="CRO10" s="353"/>
      <c r="CRP10" s="353"/>
      <c r="CRQ10" s="353"/>
      <c r="CRR10" s="353"/>
      <c r="CRS10" s="353"/>
      <c r="CRT10" s="353"/>
      <c r="CRU10" s="353"/>
      <c r="CRV10" s="353"/>
      <c r="CRW10" s="353"/>
      <c r="CRX10" s="353"/>
      <c r="CRY10" s="353"/>
      <c r="CRZ10" s="353"/>
      <c r="CSA10" s="353"/>
      <c r="CSB10" s="353"/>
      <c r="CSC10" s="353"/>
      <c r="CSD10" s="353"/>
      <c r="CSE10" s="353"/>
      <c r="CSF10" s="353"/>
      <c r="CSG10" s="353"/>
      <c r="CSH10" s="353"/>
      <c r="CSI10" s="353"/>
      <c r="CSJ10" s="353"/>
      <c r="CSK10" s="353"/>
      <c r="CSL10" s="353"/>
      <c r="CSM10" s="353"/>
      <c r="CSN10" s="353"/>
      <c r="CSO10" s="353"/>
      <c r="CSP10" s="353"/>
      <c r="CSQ10" s="353"/>
      <c r="CSR10" s="353"/>
      <c r="CSS10" s="353"/>
      <c r="CST10" s="353"/>
      <c r="CSU10" s="353"/>
      <c r="CSV10" s="353"/>
      <c r="CSW10" s="353"/>
      <c r="CSX10" s="353"/>
      <c r="CSY10" s="353"/>
      <c r="CSZ10" s="353"/>
      <c r="CTA10" s="353"/>
      <c r="CTB10" s="353"/>
      <c r="CTC10" s="353"/>
      <c r="CTD10" s="353"/>
      <c r="CTE10" s="353"/>
      <c r="CTF10" s="353"/>
      <c r="CTG10" s="353"/>
      <c r="CTH10" s="353"/>
      <c r="CTI10" s="353"/>
      <c r="CTJ10" s="353"/>
      <c r="CTK10" s="353"/>
      <c r="CTL10" s="353"/>
      <c r="CTM10" s="353"/>
      <c r="CTN10" s="353"/>
      <c r="CTO10" s="353"/>
      <c r="CTP10" s="353"/>
      <c r="CTQ10" s="353"/>
      <c r="CTR10" s="353"/>
      <c r="CTS10" s="353"/>
      <c r="CTT10" s="353"/>
      <c r="CTU10" s="353"/>
      <c r="CTV10" s="353"/>
      <c r="CTW10" s="353"/>
      <c r="CTX10" s="353"/>
      <c r="CTY10" s="353"/>
      <c r="CTZ10" s="353"/>
      <c r="CUA10" s="353"/>
      <c r="CUB10" s="353"/>
      <c r="CUC10" s="353"/>
      <c r="CUD10" s="353"/>
      <c r="CUE10" s="353"/>
      <c r="CUF10" s="353"/>
      <c r="CUG10" s="353"/>
      <c r="CUH10" s="353"/>
      <c r="CUI10" s="353"/>
      <c r="CUJ10" s="353"/>
      <c r="CUK10" s="353"/>
      <c r="CUL10" s="353"/>
      <c r="CUM10" s="353"/>
      <c r="CUN10" s="353"/>
      <c r="CUO10" s="353"/>
      <c r="CUP10" s="353"/>
      <c r="CUQ10" s="353"/>
      <c r="CUR10" s="353"/>
      <c r="CUS10" s="353"/>
      <c r="CUT10" s="353"/>
      <c r="CUU10" s="353"/>
      <c r="CUV10" s="353"/>
      <c r="CUW10" s="353"/>
      <c r="CUX10" s="353"/>
      <c r="CUY10" s="353"/>
      <c r="CUZ10" s="353"/>
      <c r="CVA10" s="353"/>
      <c r="CVB10" s="353"/>
      <c r="CVC10" s="353"/>
      <c r="CVD10" s="353"/>
      <c r="CVE10" s="353"/>
      <c r="CVF10" s="353"/>
      <c r="CVG10" s="353"/>
      <c r="CVH10" s="353"/>
      <c r="CVI10" s="353"/>
      <c r="CVJ10" s="353"/>
      <c r="CVK10" s="353"/>
      <c r="CVL10" s="353"/>
      <c r="CVM10" s="353"/>
      <c r="CVN10" s="353"/>
      <c r="CVO10" s="353"/>
      <c r="CVP10" s="353"/>
      <c r="CVQ10" s="353"/>
      <c r="CVR10" s="353"/>
      <c r="CVS10" s="353"/>
      <c r="CVT10" s="353"/>
      <c r="CVU10" s="353"/>
      <c r="CVV10" s="353"/>
      <c r="CVW10" s="353"/>
      <c r="CVX10" s="353"/>
      <c r="CVY10" s="353"/>
      <c r="CVZ10" s="353"/>
      <c r="CWA10" s="353"/>
      <c r="CWB10" s="353"/>
      <c r="CWC10" s="353"/>
      <c r="CWD10" s="353"/>
      <c r="CWE10" s="353"/>
      <c r="CWF10" s="353"/>
      <c r="CWG10" s="353"/>
      <c r="CWH10" s="353"/>
      <c r="CWI10" s="353"/>
      <c r="CWJ10" s="353"/>
      <c r="CWK10" s="353"/>
      <c r="CWL10" s="353"/>
      <c r="CWM10" s="353"/>
      <c r="CWN10" s="353"/>
      <c r="CWO10" s="353"/>
      <c r="CWP10" s="353"/>
      <c r="CWQ10" s="353"/>
      <c r="CWR10" s="353"/>
      <c r="CWS10" s="353"/>
      <c r="CWT10" s="353"/>
      <c r="CWU10" s="353"/>
      <c r="CWV10" s="353"/>
      <c r="CWW10" s="353"/>
      <c r="CWX10" s="353"/>
      <c r="CWY10" s="353"/>
      <c r="CWZ10" s="353"/>
      <c r="CXA10" s="353"/>
      <c r="CXB10" s="353"/>
      <c r="CXC10" s="353"/>
      <c r="CXD10" s="353"/>
      <c r="CXE10" s="353"/>
      <c r="CXF10" s="353"/>
      <c r="CXG10" s="353"/>
      <c r="CXH10" s="353"/>
      <c r="CXI10" s="353"/>
      <c r="CXJ10" s="353"/>
      <c r="CXK10" s="353"/>
      <c r="CXL10" s="353"/>
      <c r="CXM10" s="353"/>
      <c r="CXN10" s="353"/>
      <c r="CXO10" s="353"/>
      <c r="CXP10" s="353"/>
      <c r="CXQ10" s="353"/>
      <c r="CXR10" s="353"/>
      <c r="CXS10" s="353"/>
      <c r="CXT10" s="353"/>
      <c r="CXU10" s="353"/>
      <c r="CXV10" s="353"/>
      <c r="CXW10" s="353"/>
      <c r="CXX10" s="353"/>
      <c r="CXY10" s="353"/>
      <c r="CXZ10" s="353"/>
      <c r="CYA10" s="353"/>
      <c r="CYB10" s="353"/>
      <c r="CYC10" s="353"/>
      <c r="CYD10" s="353"/>
      <c r="CYE10" s="353"/>
      <c r="CYF10" s="353"/>
      <c r="CYG10" s="353"/>
      <c r="CYH10" s="353"/>
      <c r="CYI10" s="353"/>
      <c r="CYJ10" s="353"/>
      <c r="CYK10" s="353"/>
      <c r="CYL10" s="353"/>
      <c r="CYM10" s="353"/>
      <c r="CYN10" s="353"/>
      <c r="CYO10" s="353"/>
      <c r="CYP10" s="353"/>
      <c r="CYQ10" s="353"/>
      <c r="CYR10" s="353"/>
      <c r="CYS10" s="353"/>
      <c r="CYT10" s="353"/>
      <c r="CYU10" s="353"/>
      <c r="CYV10" s="353"/>
      <c r="CYW10" s="353"/>
      <c r="CYX10" s="353"/>
      <c r="CYY10" s="353"/>
      <c r="CYZ10" s="353"/>
      <c r="CZA10" s="353"/>
      <c r="CZB10" s="353"/>
      <c r="CZC10" s="353"/>
      <c r="CZD10" s="353"/>
      <c r="CZE10" s="353"/>
      <c r="CZF10" s="353"/>
      <c r="CZG10" s="353"/>
      <c r="CZH10" s="353"/>
      <c r="CZI10" s="353"/>
      <c r="CZJ10" s="353"/>
      <c r="CZK10" s="353"/>
      <c r="CZL10" s="353"/>
      <c r="CZM10" s="353"/>
      <c r="CZN10" s="353"/>
      <c r="CZO10" s="353"/>
      <c r="CZP10" s="353"/>
      <c r="CZQ10" s="353"/>
      <c r="CZR10" s="353"/>
      <c r="CZS10" s="353"/>
      <c r="CZT10" s="353"/>
      <c r="CZU10" s="353"/>
      <c r="CZV10" s="353"/>
      <c r="CZW10" s="353"/>
      <c r="CZX10" s="353"/>
      <c r="CZY10" s="353"/>
      <c r="CZZ10" s="353"/>
      <c r="DAA10" s="353"/>
      <c r="DAB10" s="353"/>
      <c r="DAC10" s="353"/>
      <c r="DAD10" s="353"/>
      <c r="DAE10" s="353"/>
      <c r="DAF10" s="353"/>
      <c r="DAG10" s="353"/>
      <c r="DAH10" s="353"/>
      <c r="DAI10" s="353"/>
      <c r="DAJ10" s="353"/>
      <c r="DAK10" s="353"/>
      <c r="DAL10" s="353"/>
      <c r="DAM10" s="353"/>
      <c r="DAN10" s="353"/>
      <c r="DAO10" s="353"/>
      <c r="DAP10" s="353"/>
      <c r="DAQ10" s="353"/>
      <c r="DAR10" s="353"/>
      <c r="DAS10" s="353"/>
      <c r="DAT10" s="353"/>
      <c r="DAU10" s="353"/>
      <c r="DAV10" s="353"/>
      <c r="DAW10" s="353"/>
      <c r="DAX10" s="353"/>
      <c r="DAY10" s="353"/>
      <c r="DAZ10" s="353"/>
      <c r="DBA10" s="353"/>
      <c r="DBB10" s="353"/>
      <c r="DBC10" s="353"/>
      <c r="DBD10" s="353"/>
      <c r="DBE10" s="353"/>
      <c r="DBF10" s="353"/>
      <c r="DBG10" s="353"/>
      <c r="DBH10" s="353"/>
      <c r="DBI10" s="353"/>
      <c r="DBJ10" s="353"/>
      <c r="DBK10" s="353"/>
      <c r="DBL10" s="353"/>
      <c r="DBM10" s="353"/>
      <c r="DBN10" s="353"/>
      <c r="DBO10" s="353"/>
      <c r="DBP10" s="353"/>
      <c r="DBQ10" s="353"/>
      <c r="DBR10" s="353"/>
      <c r="DBS10" s="353"/>
      <c r="DBT10" s="353"/>
      <c r="DBU10" s="353"/>
      <c r="DBV10" s="353"/>
      <c r="DBW10" s="353"/>
      <c r="DBX10" s="353"/>
      <c r="DBY10" s="353"/>
      <c r="DBZ10" s="353"/>
      <c r="DCA10" s="353"/>
      <c r="DCB10" s="353"/>
      <c r="DCC10" s="353"/>
      <c r="DCD10" s="353"/>
      <c r="DCE10" s="353"/>
      <c r="DCF10" s="353"/>
      <c r="DCG10" s="353"/>
      <c r="DCH10" s="353"/>
      <c r="DCI10" s="353"/>
      <c r="DCJ10" s="353"/>
      <c r="DCK10" s="353"/>
      <c r="DCL10" s="353"/>
      <c r="DCM10" s="353"/>
      <c r="DCN10" s="353"/>
      <c r="DCO10" s="353"/>
      <c r="DCP10" s="353"/>
      <c r="DCQ10" s="353"/>
      <c r="DCR10" s="353"/>
      <c r="DCS10" s="353"/>
      <c r="DCT10" s="353"/>
      <c r="DCU10" s="353"/>
      <c r="DCV10" s="353"/>
      <c r="DCW10" s="353"/>
      <c r="DCX10" s="353"/>
      <c r="DCY10" s="353"/>
      <c r="DCZ10" s="353"/>
      <c r="DDA10" s="353"/>
      <c r="DDB10" s="353"/>
      <c r="DDC10" s="353"/>
      <c r="DDD10" s="353"/>
      <c r="DDE10" s="353"/>
      <c r="DDF10" s="353"/>
      <c r="DDG10" s="353"/>
      <c r="DDH10" s="353"/>
      <c r="DDI10" s="353"/>
      <c r="DDJ10" s="353"/>
      <c r="DDK10" s="353"/>
      <c r="DDL10" s="353"/>
      <c r="DDM10" s="353"/>
      <c r="DDN10" s="353"/>
      <c r="DDO10" s="353"/>
      <c r="DDP10" s="353"/>
      <c r="DDQ10" s="353"/>
      <c r="DDR10" s="353"/>
      <c r="DDS10" s="353"/>
      <c r="DDT10" s="353"/>
      <c r="DDU10" s="353"/>
      <c r="DDV10" s="353"/>
      <c r="DDW10" s="353"/>
      <c r="DDX10" s="353"/>
      <c r="DDY10" s="353"/>
      <c r="DDZ10" s="353"/>
      <c r="DEA10" s="353"/>
      <c r="DEB10" s="353"/>
      <c r="DEC10" s="353"/>
      <c r="DED10" s="353"/>
      <c r="DEE10" s="353"/>
      <c r="DEF10" s="353"/>
      <c r="DEG10" s="353"/>
      <c r="DEH10" s="353"/>
      <c r="DEI10" s="353"/>
      <c r="DEJ10" s="353"/>
      <c r="DEK10" s="353"/>
      <c r="DEL10" s="353"/>
      <c r="DEM10" s="353"/>
      <c r="DEN10" s="353"/>
      <c r="DEO10" s="353"/>
      <c r="DEP10" s="353"/>
      <c r="DEQ10" s="353"/>
      <c r="DER10" s="353"/>
      <c r="DES10" s="353"/>
      <c r="DET10" s="353"/>
      <c r="DEU10" s="353"/>
      <c r="DEV10" s="353"/>
      <c r="DEW10" s="353"/>
      <c r="DEX10" s="353"/>
      <c r="DEY10" s="353"/>
      <c r="DEZ10" s="353"/>
      <c r="DFA10" s="353"/>
      <c r="DFB10" s="353"/>
      <c r="DFC10" s="353"/>
      <c r="DFD10" s="353"/>
      <c r="DFE10" s="353"/>
      <c r="DFF10" s="353"/>
      <c r="DFG10" s="353"/>
      <c r="DFH10" s="353"/>
      <c r="DFI10" s="353"/>
      <c r="DFJ10" s="353"/>
      <c r="DFK10" s="353"/>
      <c r="DFL10" s="353"/>
      <c r="DFM10" s="353"/>
      <c r="DFN10" s="353"/>
      <c r="DFO10" s="353"/>
      <c r="DFP10" s="353"/>
      <c r="DFQ10" s="353"/>
      <c r="DFR10" s="353"/>
      <c r="DFS10" s="353"/>
      <c r="DFT10" s="353"/>
      <c r="DFU10" s="353"/>
      <c r="DFV10" s="353"/>
      <c r="DFW10" s="353"/>
      <c r="DFX10" s="353"/>
      <c r="DFY10" s="353"/>
      <c r="DFZ10" s="353"/>
      <c r="DGA10" s="353"/>
      <c r="DGB10" s="353"/>
      <c r="DGC10" s="353"/>
      <c r="DGD10" s="353"/>
      <c r="DGE10" s="353"/>
      <c r="DGF10" s="353"/>
      <c r="DGG10" s="353"/>
      <c r="DGH10" s="353"/>
      <c r="DGI10" s="353"/>
      <c r="DGJ10" s="353"/>
      <c r="DGK10" s="353"/>
      <c r="DGL10" s="353"/>
      <c r="DGM10" s="353"/>
      <c r="DGN10" s="353"/>
      <c r="DGO10" s="353"/>
      <c r="DGP10" s="353"/>
      <c r="DGQ10" s="353"/>
      <c r="DGR10" s="353"/>
      <c r="DGS10" s="353"/>
      <c r="DGT10" s="353"/>
      <c r="DGU10" s="353"/>
      <c r="DGV10" s="353"/>
      <c r="DGW10" s="353"/>
      <c r="DGX10" s="353"/>
      <c r="DGY10" s="353"/>
      <c r="DGZ10" s="353"/>
      <c r="DHA10" s="353"/>
      <c r="DHB10" s="353"/>
      <c r="DHC10" s="353"/>
      <c r="DHD10" s="353"/>
      <c r="DHE10" s="353"/>
      <c r="DHF10" s="353"/>
      <c r="DHG10" s="353"/>
      <c r="DHH10" s="353"/>
      <c r="DHI10" s="353"/>
      <c r="DHJ10" s="353"/>
      <c r="DHK10" s="353"/>
      <c r="DHL10" s="353"/>
      <c r="DHM10" s="353"/>
      <c r="DHN10" s="353"/>
      <c r="DHO10" s="353"/>
      <c r="DHP10" s="353"/>
      <c r="DHQ10" s="353"/>
      <c r="DHR10" s="353"/>
      <c r="DHS10" s="353"/>
      <c r="DHT10" s="353"/>
      <c r="DHU10" s="353"/>
      <c r="DHV10" s="353"/>
      <c r="DHW10" s="353"/>
      <c r="DHX10" s="353"/>
      <c r="DHY10" s="353"/>
      <c r="DHZ10" s="353"/>
      <c r="DIA10" s="353"/>
      <c r="DIB10" s="353"/>
      <c r="DIC10" s="353"/>
      <c r="DID10" s="353"/>
      <c r="DIE10" s="353"/>
      <c r="DIF10" s="353"/>
      <c r="DIG10" s="353"/>
      <c r="DIH10" s="353"/>
      <c r="DII10" s="353"/>
      <c r="DIJ10" s="353"/>
      <c r="DIK10" s="353"/>
      <c r="DIL10" s="353"/>
      <c r="DIM10" s="353"/>
      <c r="DIN10" s="353"/>
      <c r="DIO10" s="353"/>
      <c r="DIP10" s="353"/>
      <c r="DIQ10" s="353"/>
      <c r="DIR10" s="353"/>
      <c r="DIS10" s="353"/>
      <c r="DIT10" s="353"/>
      <c r="DIU10" s="353"/>
      <c r="DIV10" s="353"/>
      <c r="DIW10" s="353"/>
      <c r="DIX10" s="353"/>
      <c r="DIY10" s="353"/>
      <c r="DIZ10" s="353"/>
      <c r="DJA10" s="353"/>
      <c r="DJB10" s="353"/>
      <c r="DJC10" s="353"/>
      <c r="DJD10" s="353"/>
      <c r="DJE10" s="353"/>
      <c r="DJF10" s="353"/>
      <c r="DJG10" s="353"/>
      <c r="DJH10" s="353"/>
      <c r="DJI10" s="353"/>
      <c r="DJJ10" s="353"/>
      <c r="DJK10" s="353"/>
      <c r="DJL10" s="353"/>
      <c r="DJM10" s="353"/>
      <c r="DJN10" s="353"/>
      <c r="DJO10" s="353"/>
      <c r="DJP10" s="353"/>
      <c r="DJQ10" s="353"/>
      <c r="DJR10" s="353"/>
      <c r="DJS10" s="353"/>
      <c r="DJT10" s="353"/>
      <c r="DJU10" s="353"/>
      <c r="DJV10" s="353"/>
      <c r="DJW10" s="353"/>
      <c r="DJX10" s="353"/>
      <c r="DJY10" s="353"/>
      <c r="DJZ10" s="353"/>
      <c r="DKA10" s="353"/>
      <c r="DKB10" s="353"/>
      <c r="DKC10" s="353"/>
      <c r="DKD10" s="353"/>
      <c r="DKE10" s="353"/>
      <c r="DKF10" s="353"/>
      <c r="DKG10" s="353"/>
      <c r="DKH10" s="353"/>
      <c r="DKI10" s="353"/>
      <c r="DKJ10" s="353"/>
      <c r="DKK10" s="353"/>
      <c r="DKL10" s="353"/>
      <c r="DKM10" s="353"/>
      <c r="DKN10" s="353"/>
      <c r="DKO10" s="353"/>
      <c r="DKP10" s="353"/>
      <c r="DKQ10" s="353"/>
      <c r="DKR10" s="353"/>
      <c r="DKS10" s="353"/>
      <c r="DKT10" s="353"/>
      <c r="DKU10" s="353"/>
      <c r="DKV10" s="353"/>
      <c r="DKW10" s="353"/>
      <c r="DKX10" s="353"/>
      <c r="DKY10" s="353"/>
      <c r="DKZ10" s="353"/>
      <c r="DLA10" s="353"/>
      <c r="DLB10" s="353"/>
      <c r="DLC10" s="353"/>
      <c r="DLD10" s="353"/>
      <c r="DLE10" s="353"/>
      <c r="DLF10" s="353"/>
      <c r="DLG10" s="353"/>
      <c r="DLH10" s="353"/>
      <c r="DLI10" s="353"/>
      <c r="DLJ10" s="353"/>
      <c r="DLK10" s="353"/>
      <c r="DLL10" s="353"/>
      <c r="DLM10" s="353"/>
      <c r="DLN10" s="353"/>
      <c r="DLO10" s="353"/>
      <c r="DLP10" s="353"/>
      <c r="DLQ10" s="353"/>
      <c r="DLR10" s="353"/>
      <c r="DLS10" s="353"/>
      <c r="DLT10" s="353"/>
      <c r="DLU10" s="353"/>
      <c r="DLV10" s="353"/>
      <c r="DLW10" s="353"/>
      <c r="DLX10" s="353"/>
      <c r="DLY10" s="353"/>
      <c r="DLZ10" s="353"/>
      <c r="DMA10" s="353"/>
      <c r="DMB10" s="353"/>
      <c r="DMC10" s="353"/>
      <c r="DMD10" s="353"/>
      <c r="DME10" s="353"/>
      <c r="DMF10" s="353"/>
      <c r="DMG10" s="353"/>
      <c r="DMH10" s="353"/>
      <c r="DMI10" s="353"/>
      <c r="DMJ10" s="353"/>
      <c r="DMK10" s="353"/>
      <c r="DML10" s="353"/>
      <c r="DMM10" s="353"/>
      <c r="DMN10" s="353"/>
      <c r="DMO10" s="353"/>
      <c r="DMP10" s="353"/>
      <c r="DMQ10" s="353"/>
      <c r="DMR10" s="353"/>
      <c r="DMS10" s="353"/>
      <c r="DMT10" s="353"/>
      <c r="DMU10" s="353"/>
      <c r="DMV10" s="353"/>
      <c r="DMW10" s="353"/>
      <c r="DMX10" s="353"/>
      <c r="DMY10" s="353"/>
      <c r="DMZ10" s="353"/>
      <c r="DNA10" s="353"/>
      <c r="DNB10" s="353"/>
      <c r="DNC10" s="353"/>
      <c r="DND10" s="353"/>
      <c r="DNE10" s="353"/>
      <c r="DNF10" s="353"/>
      <c r="DNG10" s="353"/>
      <c r="DNH10" s="353"/>
      <c r="DNI10" s="353"/>
      <c r="DNJ10" s="353"/>
      <c r="DNK10" s="353"/>
      <c r="DNL10" s="353"/>
      <c r="DNM10" s="353"/>
      <c r="DNN10" s="353"/>
      <c r="DNO10" s="353"/>
      <c r="DNP10" s="353"/>
      <c r="DNQ10" s="353"/>
      <c r="DNR10" s="353"/>
      <c r="DNS10" s="353"/>
      <c r="DNT10" s="353"/>
      <c r="DNU10" s="353"/>
      <c r="DNV10" s="353"/>
      <c r="DNW10" s="353"/>
      <c r="DNX10" s="353"/>
      <c r="DNY10" s="353"/>
      <c r="DNZ10" s="353"/>
      <c r="DOA10" s="353"/>
      <c r="DOB10" s="353"/>
      <c r="DOC10" s="353"/>
      <c r="DOD10" s="353"/>
      <c r="DOE10" s="353"/>
      <c r="DOF10" s="353"/>
      <c r="DOG10" s="353"/>
      <c r="DOH10" s="353"/>
      <c r="DOI10" s="353"/>
      <c r="DOJ10" s="353"/>
      <c r="DOK10" s="353"/>
      <c r="DOL10" s="353"/>
      <c r="DOM10" s="353"/>
      <c r="DON10" s="353"/>
      <c r="DOO10" s="353"/>
      <c r="DOP10" s="353"/>
      <c r="DOQ10" s="353"/>
      <c r="DOR10" s="353"/>
      <c r="DOS10" s="353"/>
      <c r="DOT10" s="353"/>
      <c r="DOU10" s="353"/>
      <c r="DOV10" s="353"/>
      <c r="DOW10" s="353"/>
      <c r="DOX10" s="353"/>
      <c r="DOY10" s="353"/>
      <c r="DOZ10" s="353"/>
      <c r="DPA10" s="353"/>
      <c r="DPB10" s="353"/>
      <c r="DPC10" s="353"/>
      <c r="DPD10" s="353"/>
      <c r="DPE10" s="353"/>
      <c r="DPF10" s="353"/>
      <c r="DPG10" s="353"/>
      <c r="DPH10" s="353"/>
      <c r="DPI10" s="353"/>
      <c r="DPJ10" s="353"/>
      <c r="DPK10" s="353"/>
      <c r="DPL10" s="353"/>
      <c r="DPM10" s="353"/>
      <c r="DPN10" s="353"/>
      <c r="DPO10" s="353"/>
      <c r="DPP10" s="353"/>
      <c r="DPQ10" s="353"/>
      <c r="DPR10" s="353"/>
      <c r="DPS10" s="353"/>
      <c r="DPT10" s="353"/>
      <c r="DPU10" s="353"/>
      <c r="DPV10" s="353"/>
      <c r="DPW10" s="353"/>
      <c r="DPX10" s="353"/>
      <c r="DPY10" s="353"/>
      <c r="DPZ10" s="353"/>
      <c r="DQA10" s="353"/>
      <c r="DQB10" s="353"/>
      <c r="DQC10" s="353"/>
      <c r="DQD10" s="353"/>
      <c r="DQE10" s="353"/>
      <c r="DQF10" s="353"/>
      <c r="DQG10" s="353"/>
      <c r="DQH10" s="353"/>
      <c r="DQI10" s="353"/>
      <c r="DQJ10" s="353"/>
      <c r="DQK10" s="353"/>
      <c r="DQL10" s="353"/>
      <c r="DQM10" s="353"/>
      <c r="DQN10" s="353"/>
      <c r="DQO10" s="353"/>
      <c r="DQP10" s="353"/>
      <c r="DQQ10" s="353"/>
      <c r="DQR10" s="353"/>
      <c r="DQS10" s="353"/>
      <c r="DQT10" s="353"/>
      <c r="DQU10" s="353"/>
      <c r="DQV10" s="353"/>
      <c r="DQW10" s="353"/>
      <c r="DQX10" s="353"/>
      <c r="DQY10" s="353"/>
      <c r="DQZ10" s="353"/>
      <c r="DRA10" s="353"/>
      <c r="DRB10" s="353"/>
      <c r="DRC10" s="353"/>
      <c r="DRD10" s="353"/>
      <c r="DRE10" s="353"/>
      <c r="DRF10" s="353"/>
      <c r="DRG10" s="353"/>
      <c r="DRH10" s="353"/>
      <c r="DRI10" s="353"/>
      <c r="DRJ10" s="353"/>
      <c r="DRK10" s="353"/>
      <c r="DRL10" s="353"/>
      <c r="DRM10" s="353"/>
      <c r="DRN10" s="353"/>
      <c r="DRO10" s="353"/>
      <c r="DRP10" s="353"/>
      <c r="DRQ10" s="353"/>
      <c r="DRR10" s="353"/>
      <c r="DRS10" s="353"/>
      <c r="DRT10" s="353"/>
      <c r="DRU10" s="353"/>
      <c r="DRV10" s="353"/>
      <c r="DRW10" s="353"/>
      <c r="DRX10" s="353"/>
      <c r="DRY10" s="353"/>
      <c r="DRZ10" s="353"/>
      <c r="DSA10" s="353"/>
      <c r="DSB10" s="353"/>
      <c r="DSC10" s="353"/>
      <c r="DSD10" s="353"/>
      <c r="DSE10" s="353"/>
      <c r="DSF10" s="353"/>
      <c r="DSG10" s="353"/>
      <c r="DSH10" s="353"/>
      <c r="DSI10" s="353"/>
      <c r="DSJ10" s="353"/>
      <c r="DSK10" s="353"/>
      <c r="DSL10" s="353"/>
      <c r="DSM10" s="353"/>
      <c r="DSN10" s="353"/>
      <c r="DSO10" s="353"/>
      <c r="DSP10" s="353"/>
      <c r="DSQ10" s="353"/>
      <c r="DSR10" s="353"/>
      <c r="DSS10" s="353"/>
      <c r="DST10" s="353"/>
      <c r="DSU10" s="353"/>
      <c r="DSV10" s="353"/>
      <c r="DSW10" s="353"/>
      <c r="DSX10" s="353"/>
      <c r="DSY10" s="353"/>
      <c r="DSZ10" s="353"/>
      <c r="DTA10" s="353"/>
      <c r="DTB10" s="353"/>
      <c r="DTC10" s="353"/>
      <c r="DTD10" s="353"/>
      <c r="DTE10" s="353"/>
      <c r="DTF10" s="353"/>
      <c r="DTG10" s="353"/>
      <c r="DTH10" s="353"/>
      <c r="DTI10" s="353"/>
      <c r="DTJ10" s="353"/>
      <c r="DTK10" s="353"/>
      <c r="DTL10" s="353"/>
      <c r="DTM10" s="353"/>
      <c r="DTN10" s="353"/>
      <c r="DTO10" s="353"/>
      <c r="DTP10" s="353"/>
      <c r="DTQ10" s="353"/>
      <c r="DTR10" s="353"/>
      <c r="DTS10" s="353"/>
      <c r="DTT10" s="353"/>
      <c r="DTU10" s="353"/>
      <c r="DTV10" s="353"/>
      <c r="DTW10" s="353"/>
      <c r="DTX10" s="353"/>
      <c r="DTY10" s="353"/>
      <c r="DTZ10" s="353"/>
      <c r="DUA10" s="353"/>
      <c r="DUB10" s="353"/>
      <c r="DUC10" s="353"/>
      <c r="DUD10" s="353"/>
      <c r="DUE10" s="353"/>
      <c r="DUF10" s="353"/>
      <c r="DUG10" s="353"/>
      <c r="DUH10" s="353"/>
      <c r="DUI10" s="353"/>
      <c r="DUJ10" s="353"/>
      <c r="DUK10" s="353"/>
      <c r="DUL10" s="353"/>
      <c r="DUM10" s="353"/>
      <c r="DUN10" s="353"/>
      <c r="DUO10" s="353"/>
      <c r="DUP10" s="353"/>
      <c r="DUQ10" s="353"/>
      <c r="DUR10" s="353"/>
      <c r="DUS10" s="353"/>
      <c r="DUT10" s="353"/>
      <c r="DUU10" s="353"/>
      <c r="DUV10" s="353"/>
      <c r="DUW10" s="353"/>
      <c r="DUX10" s="353"/>
      <c r="DUY10" s="353"/>
      <c r="DUZ10" s="353"/>
      <c r="DVA10" s="353"/>
      <c r="DVB10" s="353"/>
      <c r="DVC10" s="353"/>
      <c r="DVD10" s="353"/>
      <c r="DVE10" s="353"/>
      <c r="DVF10" s="353"/>
      <c r="DVG10" s="353"/>
      <c r="DVH10" s="353"/>
      <c r="DVI10" s="353"/>
      <c r="DVJ10" s="353"/>
      <c r="DVK10" s="353"/>
      <c r="DVL10" s="353"/>
      <c r="DVM10" s="353"/>
      <c r="DVN10" s="353"/>
      <c r="DVO10" s="353"/>
      <c r="DVP10" s="353"/>
      <c r="DVQ10" s="353"/>
      <c r="DVR10" s="353"/>
      <c r="DVS10" s="353"/>
      <c r="DVT10" s="353"/>
      <c r="DVU10" s="353"/>
      <c r="DVV10" s="353"/>
      <c r="DVW10" s="353"/>
      <c r="DVX10" s="353"/>
      <c r="DVY10" s="353"/>
      <c r="DVZ10" s="353"/>
      <c r="DWA10" s="353"/>
      <c r="DWB10" s="353"/>
      <c r="DWC10" s="353"/>
      <c r="DWD10" s="353"/>
      <c r="DWE10" s="353"/>
      <c r="DWF10" s="353"/>
      <c r="DWG10" s="353"/>
      <c r="DWH10" s="353"/>
      <c r="DWI10" s="353"/>
      <c r="DWJ10" s="353"/>
      <c r="DWK10" s="353"/>
      <c r="DWL10" s="353"/>
      <c r="DWM10" s="353"/>
      <c r="DWN10" s="353"/>
      <c r="DWO10" s="353"/>
      <c r="DWP10" s="353"/>
      <c r="DWQ10" s="353"/>
      <c r="DWR10" s="353"/>
      <c r="DWS10" s="353"/>
      <c r="DWT10" s="353"/>
      <c r="DWU10" s="353"/>
      <c r="DWV10" s="353"/>
      <c r="DWW10" s="353"/>
      <c r="DWX10" s="353"/>
      <c r="DWY10" s="353"/>
      <c r="DWZ10" s="353"/>
      <c r="DXA10" s="353"/>
      <c r="DXB10" s="353"/>
      <c r="DXC10" s="353"/>
      <c r="DXD10" s="353"/>
      <c r="DXE10" s="353"/>
      <c r="DXF10" s="353"/>
      <c r="DXG10" s="353"/>
      <c r="DXH10" s="353"/>
      <c r="DXI10" s="353"/>
      <c r="DXJ10" s="353"/>
      <c r="DXK10" s="353"/>
      <c r="DXL10" s="353"/>
      <c r="DXM10" s="353"/>
      <c r="DXN10" s="353"/>
      <c r="DXO10" s="353"/>
      <c r="DXP10" s="353"/>
      <c r="DXQ10" s="353"/>
      <c r="DXR10" s="353"/>
      <c r="DXS10" s="353"/>
      <c r="DXT10" s="353"/>
      <c r="DXU10" s="353"/>
      <c r="DXV10" s="353"/>
      <c r="DXW10" s="353"/>
      <c r="DXX10" s="353"/>
      <c r="DXY10" s="353"/>
      <c r="DXZ10" s="353"/>
      <c r="DYA10" s="353"/>
      <c r="DYB10" s="353"/>
      <c r="DYC10" s="353"/>
      <c r="DYD10" s="353"/>
      <c r="DYE10" s="353"/>
      <c r="DYF10" s="353"/>
      <c r="DYG10" s="353"/>
      <c r="DYH10" s="353"/>
      <c r="DYI10" s="353"/>
      <c r="DYJ10" s="353"/>
      <c r="DYK10" s="353"/>
      <c r="DYL10" s="353"/>
      <c r="DYM10" s="353"/>
      <c r="DYN10" s="353"/>
      <c r="DYO10" s="353"/>
      <c r="DYP10" s="353"/>
      <c r="DYQ10" s="353"/>
      <c r="DYR10" s="353"/>
      <c r="DYS10" s="353"/>
      <c r="DYT10" s="353"/>
      <c r="DYU10" s="353"/>
      <c r="DYV10" s="353"/>
      <c r="DYW10" s="353"/>
      <c r="DYX10" s="353"/>
      <c r="DYY10" s="353"/>
      <c r="DYZ10" s="353"/>
      <c r="DZA10" s="353"/>
      <c r="DZB10" s="353"/>
      <c r="DZC10" s="353"/>
      <c r="DZD10" s="353"/>
      <c r="DZE10" s="353"/>
      <c r="DZF10" s="353"/>
      <c r="DZG10" s="353"/>
      <c r="DZH10" s="353"/>
      <c r="DZI10" s="353"/>
      <c r="DZJ10" s="353"/>
      <c r="DZK10" s="353"/>
      <c r="DZL10" s="353"/>
      <c r="DZM10" s="353"/>
      <c r="DZN10" s="353"/>
      <c r="DZO10" s="353"/>
      <c r="DZP10" s="353"/>
      <c r="DZQ10" s="353"/>
      <c r="DZR10" s="353"/>
      <c r="DZS10" s="353"/>
      <c r="DZT10" s="353"/>
      <c r="DZU10" s="353"/>
      <c r="DZV10" s="353"/>
      <c r="DZW10" s="353"/>
      <c r="DZX10" s="353"/>
      <c r="DZY10" s="353"/>
      <c r="DZZ10" s="353"/>
      <c r="EAA10" s="353"/>
      <c r="EAB10" s="353"/>
      <c r="EAC10" s="353"/>
      <c r="EAD10" s="353"/>
      <c r="EAE10" s="353"/>
      <c r="EAF10" s="353"/>
      <c r="EAG10" s="353"/>
      <c r="EAH10" s="353"/>
      <c r="EAI10" s="353"/>
      <c r="EAJ10" s="353"/>
      <c r="EAK10" s="353"/>
      <c r="EAL10" s="353"/>
      <c r="EAM10" s="353"/>
      <c r="EAN10" s="353"/>
      <c r="EAO10" s="353"/>
      <c r="EAP10" s="353"/>
      <c r="EAQ10" s="353"/>
      <c r="EAR10" s="353"/>
      <c r="EAS10" s="353"/>
      <c r="EAT10" s="353"/>
      <c r="EAU10" s="353"/>
      <c r="EAV10" s="353"/>
      <c r="EAW10" s="353"/>
      <c r="EAX10" s="353"/>
      <c r="EAY10" s="353"/>
      <c r="EAZ10" s="353"/>
      <c r="EBA10" s="353"/>
      <c r="EBB10" s="353"/>
      <c r="EBC10" s="353"/>
      <c r="EBD10" s="353"/>
      <c r="EBE10" s="353"/>
      <c r="EBF10" s="353"/>
      <c r="EBG10" s="353"/>
      <c r="EBH10" s="353"/>
      <c r="EBI10" s="353"/>
      <c r="EBJ10" s="353"/>
      <c r="EBK10" s="353"/>
      <c r="EBL10" s="353"/>
      <c r="EBM10" s="353"/>
      <c r="EBN10" s="353"/>
      <c r="EBO10" s="353"/>
      <c r="EBP10" s="353"/>
      <c r="EBQ10" s="353"/>
      <c r="EBR10" s="353"/>
      <c r="EBS10" s="353"/>
      <c r="EBT10" s="353"/>
      <c r="EBU10" s="353"/>
      <c r="EBV10" s="353"/>
      <c r="EBW10" s="353"/>
      <c r="EBX10" s="353"/>
      <c r="EBY10" s="353"/>
      <c r="EBZ10" s="353"/>
      <c r="ECA10" s="353"/>
      <c r="ECB10" s="353"/>
      <c r="ECC10" s="353"/>
      <c r="ECD10" s="353"/>
      <c r="ECE10" s="353"/>
      <c r="ECF10" s="353"/>
      <c r="ECG10" s="353"/>
      <c r="ECH10" s="353"/>
      <c r="ECI10" s="353"/>
      <c r="ECJ10" s="353"/>
      <c r="ECK10" s="353"/>
      <c r="ECL10" s="353"/>
      <c r="ECM10" s="353"/>
      <c r="ECN10" s="353"/>
      <c r="ECO10" s="353"/>
      <c r="ECP10" s="353"/>
      <c r="ECQ10" s="353"/>
      <c r="ECR10" s="353"/>
      <c r="ECS10" s="353"/>
      <c r="ECT10" s="353"/>
      <c r="ECU10" s="353"/>
      <c r="ECV10" s="353"/>
      <c r="ECW10" s="353"/>
      <c r="ECX10" s="353"/>
      <c r="ECY10" s="353"/>
      <c r="ECZ10" s="353"/>
      <c r="EDA10" s="353"/>
      <c r="EDB10" s="353"/>
      <c r="EDC10" s="353"/>
      <c r="EDD10" s="353"/>
      <c r="EDE10" s="353"/>
      <c r="EDF10" s="353"/>
      <c r="EDG10" s="353"/>
      <c r="EDH10" s="353"/>
      <c r="EDI10" s="353"/>
      <c r="EDJ10" s="353"/>
      <c r="EDK10" s="353"/>
      <c r="EDL10" s="353"/>
      <c r="EDM10" s="353"/>
      <c r="EDN10" s="353"/>
      <c r="EDO10" s="353"/>
      <c r="EDP10" s="353"/>
      <c r="EDQ10" s="353"/>
      <c r="EDR10" s="353"/>
      <c r="EDS10" s="353"/>
      <c r="EDT10" s="353"/>
      <c r="EDU10" s="353"/>
      <c r="EDV10" s="353"/>
      <c r="EDW10" s="353"/>
      <c r="EDX10" s="353"/>
      <c r="EDY10" s="353"/>
      <c r="EDZ10" s="353"/>
      <c r="EEA10" s="353"/>
      <c r="EEB10" s="353"/>
      <c r="EEC10" s="353"/>
      <c r="EED10" s="353"/>
      <c r="EEE10" s="353"/>
      <c r="EEF10" s="353"/>
      <c r="EEG10" s="353"/>
      <c r="EEH10" s="353"/>
      <c r="EEI10" s="353"/>
      <c r="EEJ10" s="353"/>
      <c r="EEK10" s="353"/>
      <c r="EEL10" s="353"/>
      <c r="EEM10" s="353"/>
      <c r="EEN10" s="353"/>
      <c r="EEO10" s="353"/>
      <c r="EEP10" s="353"/>
      <c r="EEQ10" s="353"/>
      <c r="EER10" s="353"/>
      <c r="EES10" s="353"/>
      <c r="EET10" s="353"/>
      <c r="EEU10" s="353"/>
      <c r="EEV10" s="353"/>
      <c r="EEW10" s="353"/>
      <c r="EEX10" s="353"/>
      <c r="EEY10" s="353"/>
      <c r="EEZ10" s="353"/>
      <c r="EFA10" s="353"/>
      <c r="EFB10" s="353"/>
      <c r="EFC10" s="353"/>
      <c r="EFD10" s="353"/>
      <c r="EFE10" s="353"/>
      <c r="EFF10" s="353"/>
      <c r="EFG10" s="353"/>
      <c r="EFH10" s="353"/>
      <c r="EFI10" s="353"/>
      <c r="EFJ10" s="353"/>
      <c r="EFK10" s="353"/>
      <c r="EFL10" s="353"/>
      <c r="EFM10" s="353"/>
      <c r="EFN10" s="353"/>
      <c r="EFO10" s="353"/>
      <c r="EFP10" s="353"/>
      <c r="EFQ10" s="353"/>
      <c r="EFR10" s="353"/>
      <c r="EFS10" s="353"/>
      <c r="EFT10" s="353"/>
      <c r="EFU10" s="353"/>
      <c r="EFV10" s="353"/>
      <c r="EFW10" s="353"/>
      <c r="EFX10" s="353"/>
      <c r="EFY10" s="353"/>
      <c r="EFZ10" s="353"/>
      <c r="EGA10" s="353"/>
      <c r="EGB10" s="353"/>
      <c r="EGC10" s="353"/>
      <c r="EGD10" s="353"/>
      <c r="EGE10" s="353"/>
      <c r="EGF10" s="353"/>
      <c r="EGG10" s="353"/>
      <c r="EGH10" s="353"/>
      <c r="EGI10" s="353"/>
      <c r="EGJ10" s="353"/>
      <c r="EGK10" s="353"/>
      <c r="EGL10" s="353"/>
      <c r="EGM10" s="353"/>
      <c r="EGN10" s="353"/>
      <c r="EGO10" s="353"/>
      <c r="EGP10" s="353"/>
      <c r="EGQ10" s="353"/>
      <c r="EGR10" s="353"/>
      <c r="EGS10" s="353"/>
      <c r="EGT10" s="353"/>
      <c r="EGU10" s="353"/>
      <c r="EGV10" s="353"/>
      <c r="EGW10" s="353"/>
      <c r="EGX10" s="353"/>
      <c r="EGY10" s="353"/>
      <c r="EGZ10" s="353"/>
      <c r="EHA10" s="353"/>
      <c r="EHB10" s="353"/>
      <c r="EHC10" s="353"/>
      <c r="EHD10" s="353"/>
      <c r="EHE10" s="353"/>
      <c r="EHF10" s="353"/>
      <c r="EHG10" s="353"/>
      <c r="EHH10" s="353"/>
      <c r="EHI10" s="353"/>
      <c r="EHJ10" s="353"/>
      <c r="EHK10" s="353"/>
      <c r="EHL10" s="353"/>
      <c r="EHM10" s="353"/>
      <c r="EHN10" s="353"/>
      <c r="EHO10" s="353"/>
      <c r="EHP10" s="353"/>
      <c r="EHQ10" s="353"/>
      <c r="EHR10" s="353"/>
      <c r="EHS10" s="353"/>
      <c r="EHT10" s="353"/>
      <c r="EHU10" s="353"/>
      <c r="EHV10" s="353"/>
      <c r="EHW10" s="353"/>
      <c r="EHX10" s="353"/>
      <c r="EHY10" s="353"/>
      <c r="EHZ10" s="353"/>
      <c r="EIA10" s="353"/>
      <c r="EIB10" s="353"/>
      <c r="EIC10" s="353"/>
      <c r="EID10" s="353"/>
      <c r="EIE10" s="353"/>
      <c r="EIF10" s="353"/>
      <c r="EIG10" s="353"/>
      <c r="EIH10" s="353"/>
      <c r="EII10" s="353"/>
      <c r="EIJ10" s="353"/>
      <c r="EIK10" s="353"/>
      <c r="EIL10" s="353"/>
      <c r="EIM10" s="353"/>
      <c r="EIN10" s="353"/>
      <c r="EIO10" s="353"/>
      <c r="EIP10" s="353"/>
      <c r="EIQ10" s="353"/>
      <c r="EIR10" s="353"/>
      <c r="EIS10" s="353"/>
      <c r="EIT10" s="353"/>
      <c r="EIU10" s="353"/>
      <c r="EIV10" s="353"/>
      <c r="EIW10" s="353"/>
      <c r="EIX10" s="353"/>
      <c r="EIY10" s="353"/>
      <c r="EIZ10" s="353"/>
      <c r="EJA10" s="353"/>
      <c r="EJB10" s="353"/>
      <c r="EJC10" s="353"/>
      <c r="EJD10" s="353"/>
      <c r="EJE10" s="353"/>
      <c r="EJF10" s="353"/>
      <c r="EJG10" s="353"/>
      <c r="EJH10" s="353"/>
      <c r="EJI10" s="353"/>
      <c r="EJJ10" s="353"/>
      <c r="EJK10" s="353"/>
      <c r="EJL10" s="353"/>
      <c r="EJM10" s="353"/>
      <c r="EJN10" s="353"/>
      <c r="EJO10" s="353"/>
      <c r="EJP10" s="353"/>
      <c r="EJQ10" s="353"/>
      <c r="EJR10" s="353"/>
      <c r="EJS10" s="353"/>
      <c r="EJT10" s="353"/>
      <c r="EJU10" s="353"/>
      <c r="EJV10" s="353"/>
      <c r="EJW10" s="353"/>
      <c r="EJX10" s="353"/>
      <c r="EJY10" s="353"/>
      <c r="EJZ10" s="353"/>
      <c r="EKA10" s="353"/>
      <c r="EKB10" s="353"/>
      <c r="EKC10" s="353"/>
      <c r="EKD10" s="353"/>
      <c r="EKE10" s="353"/>
      <c r="EKF10" s="353"/>
      <c r="EKG10" s="353"/>
      <c r="EKH10" s="353"/>
      <c r="EKI10" s="353"/>
      <c r="EKJ10" s="353"/>
      <c r="EKK10" s="353"/>
      <c r="EKL10" s="353"/>
      <c r="EKM10" s="353"/>
      <c r="EKN10" s="353"/>
      <c r="EKO10" s="353"/>
      <c r="EKP10" s="353"/>
      <c r="EKQ10" s="353"/>
      <c r="EKR10" s="353"/>
      <c r="EKS10" s="353"/>
      <c r="EKT10" s="353"/>
      <c r="EKU10" s="353"/>
      <c r="EKV10" s="353"/>
      <c r="EKW10" s="353"/>
      <c r="EKX10" s="353"/>
      <c r="EKY10" s="353"/>
      <c r="EKZ10" s="353"/>
      <c r="ELA10" s="353"/>
      <c r="ELB10" s="353"/>
      <c r="ELC10" s="353"/>
      <c r="ELD10" s="353"/>
      <c r="ELE10" s="353"/>
      <c r="ELF10" s="353"/>
      <c r="ELG10" s="353"/>
      <c r="ELH10" s="353"/>
      <c r="ELI10" s="353"/>
      <c r="ELJ10" s="353"/>
      <c r="ELK10" s="353"/>
      <c r="ELL10" s="353"/>
      <c r="ELM10" s="353"/>
      <c r="ELN10" s="353"/>
      <c r="ELO10" s="353"/>
      <c r="ELP10" s="353"/>
      <c r="ELQ10" s="353"/>
      <c r="ELR10" s="353"/>
      <c r="ELS10" s="353"/>
      <c r="ELT10" s="353"/>
      <c r="ELU10" s="353"/>
      <c r="ELV10" s="353"/>
      <c r="ELW10" s="353"/>
      <c r="ELX10" s="353"/>
      <c r="ELY10" s="353"/>
      <c r="ELZ10" s="353"/>
      <c r="EMA10" s="353"/>
      <c r="EMB10" s="353"/>
      <c r="EMC10" s="353"/>
      <c r="EMD10" s="353"/>
      <c r="EME10" s="353"/>
      <c r="EMF10" s="353"/>
      <c r="EMG10" s="353"/>
      <c r="EMH10" s="353"/>
      <c r="EMI10" s="353"/>
      <c r="EMJ10" s="353"/>
      <c r="EMK10" s="353"/>
      <c r="EML10" s="353"/>
      <c r="EMM10" s="353"/>
      <c r="EMN10" s="353"/>
      <c r="EMO10" s="353"/>
      <c r="EMP10" s="353"/>
      <c r="EMQ10" s="353"/>
      <c r="EMR10" s="353"/>
      <c r="EMS10" s="353"/>
      <c r="EMT10" s="353"/>
      <c r="EMU10" s="353"/>
      <c r="EMV10" s="353"/>
      <c r="EMW10" s="353"/>
      <c r="EMX10" s="353"/>
      <c r="EMY10" s="353"/>
      <c r="EMZ10" s="353"/>
      <c r="ENA10" s="353"/>
      <c r="ENB10" s="353"/>
      <c r="ENC10" s="353"/>
      <c r="END10" s="353"/>
      <c r="ENE10" s="353"/>
      <c r="ENF10" s="353"/>
      <c r="ENG10" s="353"/>
      <c r="ENH10" s="353"/>
      <c r="ENI10" s="353"/>
      <c r="ENJ10" s="353"/>
      <c r="ENK10" s="353"/>
      <c r="ENL10" s="353"/>
      <c r="ENM10" s="353"/>
      <c r="ENN10" s="353"/>
      <c r="ENO10" s="353"/>
      <c r="ENP10" s="353"/>
      <c r="ENQ10" s="353"/>
      <c r="ENR10" s="353"/>
      <c r="ENS10" s="353"/>
      <c r="ENT10" s="353"/>
      <c r="ENU10" s="353"/>
      <c r="ENV10" s="353"/>
      <c r="ENW10" s="353"/>
      <c r="ENX10" s="353"/>
      <c r="ENY10" s="353"/>
      <c r="ENZ10" s="353"/>
      <c r="EOA10" s="353"/>
      <c r="EOB10" s="353"/>
      <c r="EOC10" s="353"/>
      <c r="EOD10" s="353"/>
      <c r="EOE10" s="353"/>
      <c r="EOF10" s="353"/>
      <c r="EOG10" s="353"/>
      <c r="EOH10" s="353"/>
      <c r="EOI10" s="353"/>
      <c r="EOJ10" s="353"/>
      <c r="EOK10" s="353"/>
      <c r="EOL10" s="353"/>
      <c r="EOM10" s="353"/>
      <c r="EON10" s="353"/>
      <c r="EOO10" s="353"/>
      <c r="EOP10" s="353"/>
      <c r="EOQ10" s="353"/>
      <c r="EOR10" s="353"/>
      <c r="EOS10" s="353"/>
      <c r="EOT10" s="353"/>
      <c r="EOU10" s="353"/>
      <c r="EOV10" s="353"/>
      <c r="EOW10" s="353"/>
      <c r="EOX10" s="353"/>
      <c r="EOY10" s="353"/>
      <c r="EOZ10" s="353"/>
      <c r="EPA10" s="353"/>
      <c r="EPB10" s="353"/>
      <c r="EPC10" s="353"/>
      <c r="EPD10" s="353"/>
      <c r="EPE10" s="353"/>
      <c r="EPF10" s="353"/>
      <c r="EPG10" s="353"/>
      <c r="EPH10" s="353"/>
      <c r="EPI10" s="353"/>
      <c r="EPJ10" s="353"/>
      <c r="EPK10" s="353"/>
      <c r="EPL10" s="353"/>
      <c r="EPM10" s="353"/>
      <c r="EPN10" s="353"/>
      <c r="EPO10" s="353"/>
      <c r="EPP10" s="353"/>
      <c r="EPQ10" s="353"/>
      <c r="EPR10" s="353"/>
      <c r="EPS10" s="353"/>
      <c r="EPT10" s="353"/>
      <c r="EPU10" s="353"/>
      <c r="EPV10" s="353"/>
      <c r="EPW10" s="353"/>
      <c r="EPX10" s="353"/>
      <c r="EPY10" s="353"/>
      <c r="EPZ10" s="353"/>
      <c r="EQA10" s="353"/>
      <c r="EQB10" s="353"/>
      <c r="EQC10" s="353"/>
      <c r="EQD10" s="353"/>
      <c r="EQE10" s="353"/>
      <c r="EQF10" s="353"/>
      <c r="EQG10" s="353"/>
      <c r="EQH10" s="353"/>
      <c r="EQI10" s="353"/>
      <c r="EQJ10" s="353"/>
      <c r="EQK10" s="353"/>
      <c r="EQL10" s="353"/>
      <c r="EQM10" s="353"/>
      <c r="EQN10" s="353"/>
      <c r="EQO10" s="353"/>
      <c r="EQP10" s="353"/>
      <c r="EQQ10" s="353"/>
      <c r="EQR10" s="353"/>
      <c r="EQS10" s="353"/>
      <c r="EQT10" s="353"/>
      <c r="EQU10" s="353"/>
      <c r="EQV10" s="353"/>
      <c r="EQW10" s="353"/>
      <c r="EQX10" s="353"/>
      <c r="EQY10" s="353"/>
      <c r="EQZ10" s="353"/>
      <c r="ERA10" s="353"/>
      <c r="ERB10" s="353"/>
      <c r="ERC10" s="353"/>
      <c r="ERD10" s="353"/>
      <c r="ERE10" s="353"/>
      <c r="ERF10" s="353"/>
      <c r="ERG10" s="353"/>
      <c r="ERH10" s="353"/>
      <c r="ERI10" s="353"/>
      <c r="ERJ10" s="353"/>
      <c r="ERK10" s="353"/>
      <c r="ERL10" s="353"/>
      <c r="ERM10" s="353"/>
      <c r="ERN10" s="353"/>
      <c r="ERO10" s="353"/>
      <c r="ERP10" s="353"/>
      <c r="ERQ10" s="353"/>
      <c r="ERR10" s="353"/>
      <c r="ERS10" s="353"/>
      <c r="ERT10" s="353"/>
      <c r="ERU10" s="353"/>
      <c r="ERV10" s="353"/>
      <c r="ERW10" s="353"/>
      <c r="ERX10" s="353"/>
      <c r="ERY10" s="353"/>
      <c r="ERZ10" s="353"/>
      <c r="ESA10" s="353"/>
      <c r="ESB10" s="353"/>
      <c r="ESC10" s="353"/>
      <c r="ESD10" s="353"/>
      <c r="ESE10" s="353"/>
      <c r="ESF10" s="353"/>
      <c r="ESG10" s="353"/>
      <c r="ESH10" s="353"/>
      <c r="ESI10" s="353"/>
      <c r="ESJ10" s="353"/>
      <c r="ESK10" s="353"/>
      <c r="ESL10" s="353"/>
      <c r="ESM10" s="353"/>
      <c r="ESN10" s="353"/>
      <c r="ESO10" s="353"/>
      <c r="ESP10" s="353"/>
      <c r="ESQ10" s="353"/>
      <c r="ESR10" s="353"/>
      <c r="ESS10" s="353"/>
      <c r="EST10" s="353"/>
      <c r="ESU10" s="353"/>
      <c r="ESV10" s="353"/>
      <c r="ESW10" s="353"/>
      <c r="ESX10" s="353"/>
      <c r="ESY10" s="353"/>
      <c r="ESZ10" s="353"/>
      <c r="ETA10" s="353"/>
      <c r="ETB10" s="353"/>
      <c r="ETC10" s="353"/>
      <c r="ETD10" s="353"/>
      <c r="ETE10" s="353"/>
      <c r="ETF10" s="353"/>
      <c r="ETG10" s="353"/>
      <c r="ETH10" s="353"/>
      <c r="ETI10" s="353"/>
      <c r="ETJ10" s="353"/>
      <c r="ETK10" s="353"/>
      <c r="ETL10" s="353"/>
      <c r="ETM10" s="353"/>
      <c r="ETN10" s="353"/>
      <c r="ETO10" s="353"/>
      <c r="ETP10" s="353"/>
      <c r="ETQ10" s="353"/>
      <c r="ETR10" s="353"/>
      <c r="ETS10" s="353"/>
      <c r="ETT10" s="353"/>
      <c r="ETU10" s="353"/>
      <c r="ETV10" s="353"/>
      <c r="ETW10" s="353"/>
      <c r="ETX10" s="353"/>
      <c r="ETY10" s="353"/>
      <c r="ETZ10" s="353"/>
      <c r="EUA10" s="353"/>
      <c r="EUB10" s="353"/>
      <c r="EUC10" s="353"/>
      <c r="EUD10" s="353"/>
      <c r="EUE10" s="353"/>
      <c r="EUF10" s="353"/>
      <c r="EUG10" s="353"/>
      <c r="EUH10" s="353"/>
      <c r="EUI10" s="353"/>
      <c r="EUJ10" s="353"/>
      <c r="EUK10" s="353"/>
      <c r="EUL10" s="353"/>
      <c r="EUM10" s="353"/>
      <c r="EUN10" s="353"/>
      <c r="EUO10" s="353"/>
      <c r="EUP10" s="353"/>
      <c r="EUQ10" s="353"/>
      <c r="EUR10" s="353"/>
      <c r="EUS10" s="353"/>
      <c r="EUT10" s="353"/>
      <c r="EUU10" s="353"/>
      <c r="EUV10" s="353"/>
      <c r="EUW10" s="353"/>
      <c r="EUX10" s="353"/>
      <c r="EUY10" s="353"/>
      <c r="EUZ10" s="353"/>
      <c r="EVA10" s="353"/>
      <c r="EVB10" s="353"/>
      <c r="EVC10" s="353"/>
      <c r="EVD10" s="353"/>
      <c r="EVE10" s="353"/>
      <c r="EVF10" s="353"/>
      <c r="EVG10" s="353"/>
      <c r="EVH10" s="353"/>
      <c r="EVI10" s="353"/>
      <c r="EVJ10" s="353"/>
      <c r="EVK10" s="353"/>
      <c r="EVL10" s="353"/>
      <c r="EVM10" s="353"/>
      <c r="EVN10" s="353"/>
      <c r="EVO10" s="353"/>
      <c r="EVP10" s="353"/>
      <c r="EVQ10" s="353"/>
      <c r="EVR10" s="353"/>
      <c r="EVS10" s="353"/>
      <c r="EVT10" s="353"/>
      <c r="EVU10" s="353"/>
      <c r="EVV10" s="353"/>
      <c r="EVW10" s="353"/>
      <c r="EVX10" s="353"/>
      <c r="EVY10" s="353"/>
      <c r="EVZ10" s="353"/>
      <c r="EWA10" s="353"/>
      <c r="EWB10" s="353"/>
      <c r="EWC10" s="353"/>
      <c r="EWD10" s="353"/>
      <c r="EWE10" s="353"/>
      <c r="EWF10" s="353"/>
      <c r="EWG10" s="353"/>
      <c r="EWH10" s="353"/>
      <c r="EWI10" s="353"/>
      <c r="EWJ10" s="353"/>
      <c r="EWK10" s="353"/>
      <c r="EWL10" s="353"/>
      <c r="EWM10" s="353"/>
      <c r="EWN10" s="353"/>
      <c r="EWO10" s="353"/>
      <c r="EWP10" s="353"/>
      <c r="EWQ10" s="353"/>
      <c r="EWR10" s="353"/>
      <c r="EWS10" s="353"/>
      <c r="EWT10" s="353"/>
      <c r="EWU10" s="353"/>
      <c r="EWV10" s="353"/>
      <c r="EWW10" s="353"/>
      <c r="EWX10" s="353"/>
      <c r="EWY10" s="353"/>
      <c r="EWZ10" s="353"/>
      <c r="EXA10" s="353"/>
      <c r="EXB10" s="353"/>
      <c r="EXC10" s="353"/>
      <c r="EXD10" s="353"/>
      <c r="EXE10" s="353"/>
      <c r="EXF10" s="353"/>
      <c r="EXG10" s="353"/>
      <c r="EXH10" s="353"/>
      <c r="EXI10" s="353"/>
      <c r="EXJ10" s="353"/>
      <c r="EXK10" s="353"/>
      <c r="EXL10" s="353"/>
      <c r="EXM10" s="353"/>
      <c r="EXN10" s="353"/>
      <c r="EXO10" s="353"/>
      <c r="EXP10" s="353"/>
      <c r="EXQ10" s="353"/>
      <c r="EXR10" s="353"/>
      <c r="EXS10" s="353"/>
      <c r="EXT10" s="353"/>
      <c r="EXU10" s="353"/>
      <c r="EXV10" s="353"/>
      <c r="EXW10" s="353"/>
      <c r="EXX10" s="353"/>
      <c r="EXY10" s="353"/>
      <c r="EXZ10" s="353"/>
      <c r="EYA10" s="353"/>
      <c r="EYB10" s="353"/>
      <c r="EYC10" s="353"/>
      <c r="EYD10" s="353"/>
      <c r="EYE10" s="353"/>
      <c r="EYF10" s="353"/>
      <c r="EYG10" s="353"/>
      <c r="EYH10" s="353"/>
      <c r="EYI10" s="353"/>
      <c r="EYJ10" s="353"/>
      <c r="EYK10" s="353"/>
      <c r="EYL10" s="353"/>
      <c r="EYM10" s="353"/>
      <c r="EYN10" s="353"/>
      <c r="EYO10" s="353"/>
      <c r="EYP10" s="353"/>
      <c r="EYQ10" s="353"/>
      <c r="EYR10" s="353"/>
      <c r="EYS10" s="353"/>
      <c r="EYT10" s="353"/>
      <c r="EYU10" s="353"/>
      <c r="EYV10" s="353"/>
      <c r="EYW10" s="353"/>
      <c r="EYX10" s="353"/>
      <c r="EYY10" s="353"/>
      <c r="EYZ10" s="353"/>
      <c r="EZA10" s="353"/>
      <c r="EZB10" s="353"/>
      <c r="EZC10" s="353"/>
      <c r="EZD10" s="353"/>
      <c r="EZE10" s="353"/>
      <c r="EZF10" s="353"/>
      <c r="EZG10" s="353"/>
      <c r="EZH10" s="353"/>
      <c r="EZI10" s="353"/>
      <c r="EZJ10" s="353"/>
      <c r="EZK10" s="353"/>
      <c r="EZL10" s="353"/>
      <c r="EZM10" s="353"/>
      <c r="EZN10" s="353"/>
      <c r="EZO10" s="353"/>
      <c r="EZP10" s="353"/>
      <c r="EZQ10" s="353"/>
      <c r="EZR10" s="353"/>
      <c r="EZS10" s="353"/>
      <c r="EZT10" s="353"/>
      <c r="EZU10" s="353"/>
      <c r="EZV10" s="353"/>
      <c r="EZW10" s="353"/>
      <c r="EZX10" s="353"/>
      <c r="EZY10" s="353"/>
      <c r="EZZ10" s="353"/>
      <c r="FAA10" s="353"/>
      <c r="FAB10" s="353"/>
      <c r="FAC10" s="353"/>
      <c r="FAD10" s="353"/>
      <c r="FAE10" s="353"/>
      <c r="FAF10" s="353"/>
      <c r="FAG10" s="353"/>
      <c r="FAH10" s="353"/>
      <c r="FAI10" s="353"/>
      <c r="FAJ10" s="353"/>
      <c r="FAK10" s="353"/>
      <c r="FAL10" s="353"/>
      <c r="FAM10" s="353"/>
      <c r="FAN10" s="353"/>
      <c r="FAO10" s="353"/>
      <c r="FAP10" s="353"/>
      <c r="FAQ10" s="353"/>
      <c r="FAR10" s="353"/>
      <c r="FAS10" s="353"/>
      <c r="FAT10" s="353"/>
      <c r="FAU10" s="353"/>
      <c r="FAV10" s="353"/>
      <c r="FAW10" s="353"/>
      <c r="FAX10" s="353"/>
      <c r="FAY10" s="353"/>
      <c r="FAZ10" s="353"/>
      <c r="FBA10" s="353"/>
      <c r="FBB10" s="353"/>
      <c r="FBC10" s="353"/>
      <c r="FBD10" s="353"/>
      <c r="FBE10" s="353"/>
      <c r="FBF10" s="353"/>
      <c r="FBG10" s="353"/>
      <c r="FBH10" s="353"/>
      <c r="FBI10" s="353"/>
      <c r="FBJ10" s="353"/>
      <c r="FBK10" s="353"/>
      <c r="FBL10" s="353"/>
      <c r="FBM10" s="353"/>
      <c r="FBN10" s="353"/>
      <c r="FBO10" s="353"/>
      <c r="FBP10" s="353"/>
      <c r="FBQ10" s="353"/>
      <c r="FBR10" s="353"/>
      <c r="FBS10" s="353"/>
      <c r="FBT10" s="353"/>
      <c r="FBU10" s="353"/>
      <c r="FBV10" s="353"/>
      <c r="FBW10" s="353"/>
      <c r="FBX10" s="353"/>
      <c r="FBY10" s="353"/>
      <c r="FBZ10" s="353"/>
      <c r="FCA10" s="353"/>
      <c r="FCB10" s="353"/>
      <c r="FCC10" s="353"/>
      <c r="FCD10" s="353"/>
      <c r="FCE10" s="353"/>
      <c r="FCF10" s="353"/>
      <c r="FCG10" s="353"/>
      <c r="FCH10" s="353"/>
      <c r="FCI10" s="353"/>
      <c r="FCJ10" s="353"/>
      <c r="FCK10" s="353"/>
      <c r="FCL10" s="353"/>
      <c r="FCM10" s="353"/>
      <c r="FCN10" s="353"/>
      <c r="FCO10" s="353"/>
      <c r="FCP10" s="353"/>
      <c r="FCQ10" s="353"/>
      <c r="FCR10" s="353"/>
      <c r="FCS10" s="353"/>
      <c r="FCT10" s="353"/>
      <c r="FCU10" s="353"/>
      <c r="FCV10" s="353"/>
      <c r="FCW10" s="353"/>
      <c r="FCX10" s="353"/>
      <c r="FCY10" s="353"/>
      <c r="FCZ10" s="353"/>
      <c r="FDA10" s="353"/>
      <c r="FDB10" s="353"/>
      <c r="FDC10" s="353"/>
      <c r="FDD10" s="353"/>
      <c r="FDE10" s="353"/>
      <c r="FDF10" s="353"/>
      <c r="FDG10" s="353"/>
      <c r="FDH10" s="353"/>
      <c r="FDI10" s="353"/>
      <c r="FDJ10" s="353"/>
      <c r="FDK10" s="353"/>
      <c r="FDL10" s="353"/>
      <c r="FDM10" s="353"/>
      <c r="FDN10" s="353"/>
      <c r="FDO10" s="353"/>
      <c r="FDP10" s="353"/>
      <c r="FDQ10" s="353"/>
      <c r="FDR10" s="353"/>
      <c r="FDS10" s="353"/>
      <c r="FDT10" s="353"/>
      <c r="FDU10" s="353"/>
      <c r="FDV10" s="353"/>
      <c r="FDW10" s="353"/>
      <c r="FDX10" s="353"/>
      <c r="FDY10" s="353"/>
      <c r="FDZ10" s="353"/>
      <c r="FEA10" s="353"/>
      <c r="FEB10" s="353"/>
      <c r="FEC10" s="353"/>
      <c r="FED10" s="353"/>
      <c r="FEE10" s="353"/>
      <c r="FEF10" s="353"/>
      <c r="FEG10" s="353"/>
      <c r="FEH10" s="353"/>
      <c r="FEI10" s="353"/>
      <c r="FEJ10" s="353"/>
      <c r="FEK10" s="353"/>
      <c r="FEL10" s="353"/>
      <c r="FEM10" s="353"/>
      <c r="FEN10" s="353"/>
      <c r="FEO10" s="353"/>
      <c r="FEP10" s="353"/>
      <c r="FEQ10" s="353"/>
      <c r="FER10" s="353"/>
      <c r="FES10" s="353"/>
      <c r="FET10" s="353"/>
      <c r="FEU10" s="353"/>
      <c r="FEV10" s="353"/>
      <c r="FEW10" s="353"/>
      <c r="FEX10" s="353"/>
      <c r="FEY10" s="353"/>
      <c r="FEZ10" s="353"/>
      <c r="FFA10" s="353"/>
      <c r="FFB10" s="353"/>
      <c r="FFC10" s="353"/>
      <c r="FFD10" s="353"/>
      <c r="FFE10" s="353"/>
      <c r="FFF10" s="353"/>
      <c r="FFG10" s="353"/>
      <c r="FFH10" s="353"/>
      <c r="FFI10" s="353"/>
      <c r="FFJ10" s="353"/>
      <c r="FFK10" s="353"/>
      <c r="FFL10" s="353"/>
      <c r="FFM10" s="353"/>
      <c r="FFN10" s="353"/>
      <c r="FFO10" s="353"/>
      <c r="FFP10" s="353"/>
      <c r="FFQ10" s="353"/>
      <c r="FFR10" s="353"/>
      <c r="FFS10" s="353"/>
      <c r="FFT10" s="353"/>
      <c r="FFU10" s="353"/>
      <c r="FFV10" s="353"/>
      <c r="FFW10" s="353"/>
      <c r="FFX10" s="353"/>
      <c r="FFY10" s="353"/>
      <c r="FFZ10" s="353"/>
      <c r="FGA10" s="353"/>
      <c r="FGB10" s="353"/>
      <c r="FGC10" s="353"/>
      <c r="FGD10" s="353"/>
      <c r="FGE10" s="353"/>
      <c r="FGF10" s="353"/>
      <c r="FGG10" s="353"/>
      <c r="FGH10" s="353"/>
      <c r="FGI10" s="353"/>
      <c r="FGJ10" s="353"/>
      <c r="FGK10" s="353"/>
      <c r="FGL10" s="353"/>
      <c r="FGM10" s="353"/>
      <c r="FGN10" s="353"/>
      <c r="FGO10" s="353"/>
      <c r="FGP10" s="353"/>
      <c r="FGQ10" s="353"/>
      <c r="FGR10" s="353"/>
      <c r="FGS10" s="353"/>
      <c r="FGT10" s="353"/>
      <c r="FGU10" s="353"/>
      <c r="FGV10" s="353"/>
      <c r="FGW10" s="353"/>
      <c r="FGX10" s="353"/>
      <c r="FGY10" s="353"/>
      <c r="FGZ10" s="353"/>
      <c r="FHA10" s="353"/>
      <c r="FHB10" s="353"/>
      <c r="FHC10" s="353"/>
      <c r="FHD10" s="353"/>
      <c r="FHE10" s="353"/>
      <c r="FHF10" s="353"/>
      <c r="FHG10" s="353"/>
      <c r="FHH10" s="353"/>
      <c r="FHI10" s="353"/>
      <c r="FHJ10" s="353"/>
      <c r="FHK10" s="353"/>
      <c r="FHL10" s="353"/>
      <c r="FHM10" s="353"/>
      <c r="FHN10" s="353"/>
      <c r="FHO10" s="353"/>
      <c r="FHP10" s="353"/>
      <c r="FHQ10" s="353"/>
      <c r="FHR10" s="353"/>
      <c r="FHS10" s="353"/>
      <c r="FHT10" s="353"/>
      <c r="FHU10" s="353"/>
      <c r="FHV10" s="353"/>
      <c r="FHW10" s="353"/>
      <c r="FHX10" s="353"/>
      <c r="FHY10" s="353"/>
      <c r="FHZ10" s="353"/>
      <c r="FIA10" s="353"/>
      <c r="FIB10" s="353"/>
      <c r="FIC10" s="353"/>
      <c r="FID10" s="353"/>
      <c r="FIE10" s="353"/>
      <c r="FIF10" s="353"/>
      <c r="FIG10" s="353"/>
      <c r="FIH10" s="353"/>
      <c r="FII10" s="353"/>
      <c r="FIJ10" s="353"/>
      <c r="FIK10" s="353"/>
      <c r="FIL10" s="353"/>
      <c r="FIM10" s="353"/>
      <c r="FIN10" s="353"/>
      <c r="FIO10" s="353"/>
      <c r="FIP10" s="353"/>
      <c r="FIQ10" s="353"/>
      <c r="FIR10" s="353"/>
      <c r="FIS10" s="353"/>
      <c r="FIT10" s="353"/>
      <c r="FIU10" s="353"/>
      <c r="FIV10" s="353"/>
      <c r="FIW10" s="353"/>
      <c r="FIX10" s="353"/>
      <c r="FIY10" s="353"/>
      <c r="FIZ10" s="353"/>
      <c r="FJA10" s="353"/>
      <c r="FJB10" s="353"/>
      <c r="FJC10" s="353"/>
      <c r="FJD10" s="353"/>
      <c r="FJE10" s="353"/>
      <c r="FJF10" s="353"/>
      <c r="FJG10" s="353"/>
      <c r="FJH10" s="353"/>
      <c r="FJI10" s="353"/>
      <c r="FJJ10" s="353"/>
      <c r="FJK10" s="353"/>
      <c r="FJL10" s="353"/>
      <c r="FJM10" s="353"/>
      <c r="FJN10" s="353"/>
      <c r="FJO10" s="353"/>
      <c r="FJP10" s="353"/>
      <c r="FJQ10" s="353"/>
      <c r="FJR10" s="353"/>
      <c r="FJS10" s="353"/>
      <c r="FJT10" s="353"/>
      <c r="FJU10" s="353"/>
      <c r="FJV10" s="353"/>
      <c r="FJW10" s="353"/>
      <c r="FJX10" s="353"/>
      <c r="FJY10" s="353"/>
      <c r="FJZ10" s="353"/>
      <c r="FKA10" s="353"/>
      <c r="FKB10" s="353"/>
      <c r="FKC10" s="353"/>
      <c r="FKD10" s="353"/>
      <c r="FKE10" s="353"/>
      <c r="FKF10" s="353"/>
      <c r="FKG10" s="353"/>
      <c r="FKH10" s="353"/>
      <c r="FKI10" s="353"/>
      <c r="FKJ10" s="353"/>
      <c r="FKK10" s="353"/>
      <c r="FKL10" s="353"/>
      <c r="FKM10" s="353"/>
      <c r="FKN10" s="353"/>
      <c r="FKO10" s="353"/>
      <c r="FKP10" s="353"/>
      <c r="FKQ10" s="353"/>
      <c r="FKR10" s="353"/>
      <c r="FKS10" s="353"/>
      <c r="FKT10" s="353"/>
      <c r="FKU10" s="353"/>
      <c r="FKV10" s="353"/>
      <c r="FKW10" s="353"/>
      <c r="FKX10" s="353"/>
      <c r="FKY10" s="353"/>
      <c r="FKZ10" s="353"/>
      <c r="FLA10" s="353"/>
      <c r="FLB10" s="353"/>
      <c r="FLC10" s="353"/>
      <c r="FLD10" s="353"/>
      <c r="FLE10" s="353"/>
      <c r="FLF10" s="353"/>
      <c r="FLG10" s="353"/>
      <c r="FLH10" s="353"/>
      <c r="FLI10" s="353"/>
      <c r="FLJ10" s="353"/>
      <c r="FLK10" s="353"/>
      <c r="FLL10" s="353"/>
      <c r="FLM10" s="353"/>
      <c r="FLN10" s="353"/>
      <c r="FLO10" s="353"/>
      <c r="FLP10" s="353"/>
      <c r="FLQ10" s="353"/>
      <c r="FLR10" s="353"/>
      <c r="FLS10" s="353"/>
      <c r="FLT10" s="353"/>
      <c r="FLU10" s="353"/>
      <c r="FLV10" s="353"/>
      <c r="FLW10" s="353"/>
      <c r="FLX10" s="353"/>
      <c r="FLY10" s="353"/>
      <c r="FLZ10" s="353"/>
      <c r="FMA10" s="353"/>
      <c r="FMB10" s="353"/>
      <c r="FMC10" s="353"/>
      <c r="FMD10" s="353"/>
      <c r="FME10" s="353"/>
      <c r="FMF10" s="353"/>
      <c r="FMG10" s="353"/>
      <c r="FMH10" s="353"/>
      <c r="FMI10" s="353"/>
      <c r="FMJ10" s="353"/>
      <c r="FMK10" s="353"/>
      <c r="FML10" s="353"/>
      <c r="FMM10" s="353"/>
      <c r="FMN10" s="353"/>
      <c r="FMO10" s="353"/>
      <c r="FMP10" s="353"/>
      <c r="FMQ10" s="353"/>
      <c r="FMR10" s="353"/>
      <c r="FMS10" s="353"/>
      <c r="FMT10" s="353"/>
      <c r="FMU10" s="353"/>
      <c r="FMV10" s="353"/>
      <c r="FMW10" s="353"/>
      <c r="FMX10" s="353"/>
      <c r="FMY10" s="353"/>
      <c r="FMZ10" s="353"/>
      <c r="FNA10" s="353"/>
      <c r="FNB10" s="353"/>
      <c r="FNC10" s="353"/>
      <c r="FND10" s="353"/>
      <c r="FNE10" s="353"/>
      <c r="FNF10" s="353"/>
      <c r="FNG10" s="353"/>
      <c r="FNH10" s="353"/>
      <c r="FNI10" s="353"/>
      <c r="FNJ10" s="353"/>
      <c r="FNK10" s="353"/>
      <c r="FNL10" s="353"/>
      <c r="FNM10" s="353"/>
      <c r="FNN10" s="353"/>
      <c r="FNO10" s="353"/>
      <c r="FNP10" s="353"/>
      <c r="FNQ10" s="353"/>
      <c r="FNR10" s="353"/>
      <c r="FNS10" s="353"/>
      <c r="FNT10" s="353"/>
      <c r="FNU10" s="353"/>
      <c r="FNV10" s="353"/>
      <c r="FNW10" s="353"/>
      <c r="FNX10" s="353"/>
      <c r="FNY10" s="353"/>
      <c r="FNZ10" s="353"/>
      <c r="FOA10" s="353"/>
      <c r="FOB10" s="353"/>
      <c r="FOC10" s="353"/>
      <c r="FOD10" s="353"/>
      <c r="FOE10" s="353"/>
      <c r="FOF10" s="353"/>
      <c r="FOG10" s="353"/>
      <c r="FOH10" s="353"/>
      <c r="FOI10" s="353"/>
      <c r="FOJ10" s="353"/>
      <c r="FOK10" s="353"/>
      <c r="FOL10" s="353"/>
      <c r="FOM10" s="353"/>
      <c r="FON10" s="353"/>
      <c r="FOO10" s="353"/>
      <c r="FOP10" s="353"/>
      <c r="FOQ10" s="353"/>
      <c r="FOR10" s="353"/>
      <c r="FOS10" s="353"/>
      <c r="FOT10" s="353"/>
      <c r="FOU10" s="353"/>
      <c r="FOV10" s="353"/>
      <c r="FOW10" s="353"/>
      <c r="FOX10" s="353"/>
      <c r="FOY10" s="353"/>
      <c r="FOZ10" s="353"/>
      <c r="FPA10" s="353"/>
      <c r="FPB10" s="353"/>
      <c r="FPC10" s="353"/>
      <c r="FPD10" s="353"/>
      <c r="FPE10" s="353"/>
      <c r="FPF10" s="353"/>
      <c r="FPG10" s="353"/>
      <c r="FPH10" s="353"/>
      <c r="FPI10" s="353"/>
      <c r="FPJ10" s="353"/>
      <c r="FPK10" s="353"/>
      <c r="FPL10" s="353"/>
      <c r="FPM10" s="353"/>
      <c r="FPN10" s="353"/>
      <c r="FPO10" s="353"/>
      <c r="FPP10" s="353"/>
      <c r="FPQ10" s="353"/>
      <c r="FPR10" s="353"/>
      <c r="FPS10" s="353"/>
      <c r="FPT10" s="353"/>
      <c r="FPU10" s="353"/>
      <c r="FPV10" s="353"/>
      <c r="FPW10" s="353"/>
      <c r="FPX10" s="353"/>
      <c r="FPY10" s="353"/>
      <c r="FPZ10" s="353"/>
      <c r="FQA10" s="353"/>
      <c r="FQB10" s="353"/>
      <c r="FQC10" s="353"/>
      <c r="FQD10" s="353"/>
      <c r="FQE10" s="353"/>
      <c r="FQF10" s="353"/>
      <c r="FQG10" s="353"/>
      <c r="FQH10" s="353"/>
      <c r="FQI10" s="353"/>
      <c r="FQJ10" s="353"/>
      <c r="FQK10" s="353"/>
      <c r="FQL10" s="353"/>
      <c r="FQM10" s="353"/>
      <c r="FQN10" s="353"/>
      <c r="FQO10" s="353"/>
      <c r="FQP10" s="353"/>
      <c r="FQQ10" s="353"/>
      <c r="FQR10" s="353"/>
      <c r="FQS10" s="353"/>
      <c r="FQT10" s="353"/>
      <c r="FQU10" s="353"/>
      <c r="FQV10" s="353"/>
      <c r="FQW10" s="353"/>
      <c r="FQX10" s="353"/>
      <c r="FQY10" s="353"/>
      <c r="FQZ10" s="353"/>
      <c r="FRA10" s="353"/>
      <c r="FRB10" s="353"/>
      <c r="FRC10" s="353"/>
      <c r="FRD10" s="353"/>
      <c r="FRE10" s="353"/>
      <c r="FRF10" s="353"/>
      <c r="FRG10" s="353"/>
      <c r="FRH10" s="353"/>
      <c r="FRI10" s="353"/>
      <c r="FRJ10" s="353"/>
      <c r="FRK10" s="353"/>
      <c r="FRL10" s="353"/>
      <c r="FRM10" s="353"/>
      <c r="FRN10" s="353"/>
      <c r="FRO10" s="353"/>
      <c r="FRP10" s="353"/>
      <c r="FRQ10" s="353"/>
      <c r="FRR10" s="353"/>
      <c r="FRS10" s="353"/>
      <c r="FRT10" s="353"/>
      <c r="FRU10" s="353"/>
      <c r="FRV10" s="353"/>
      <c r="FRW10" s="353"/>
      <c r="FRX10" s="353"/>
      <c r="FRY10" s="353"/>
      <c r="FRZ10" s="353"/>
      <c r="FSA10" s="353"/>
      <c r="FSB10" s="353"/>
      <c r="FSC10" s="353"/>
      <c r="FSD10" s="353"/>
      <c r="FSE10" s="353"/>
      <c r="FSF10" s="353"/>
      <c r="FSG10" s="353"/>
      <c r="FSH10" s="353"/>
      <c r="FSI10" s="353"/>
      <c r="FSJ10" s="353"/>
      <c r="FSK10" s="353"/>
      <c r="FSL10" s="353"/>
      <c r="FSM10" s="353"/>
      <c r="FSN10" s="353"/>
      <c r="FSO10" s="353"/>
      <c r="FSP10" s="353"/>
      <c r="FSQ10" s="353"/>
      <c r="FSR10" s="353"/>
      <c r="FSS10" s="353"/>
      <c r="FST10" s="353"/>
      <c r="FSU10" s="353"/>
      <c r="FSV10" s="353"/>
      <c r="FSW10" s="353"/>
      <c r="FSX10" s="353"/>
      <c r="FSY10" s="353"/>
      <c r="FSZ10" s="353"/>
      <c r="FTA10" s="353"/>
      <c r="FTB10" s="353"/>
      <c r="FTC10" s="353"/>
      <c r="FTD10" s="353"/>
      <c r="FTE10" s="353"/>
      <c r="FTF10" s="353"/>
      <c r="FTG10" s="353"/>
      <c r="FTH10" s="353"/>
      <c r="FTI10" s="353"/>
      <c r="FTJ10" s="353"/>
      <c r="FTK10" s="353"/>
      <c r="FTL10" s="353"/>
      <c r="FTM10" s="353"/>
      <c r="FTN10" s="353"/>
      <c r="FTO10" s="353"/>
      <c r="FTP10" s="353"/>
      <c r="FTQ10" s="353"/>
      <c r="FTR10" s="353"/>
      <c r="FTS10" s="353"/>
      <c r="FTT10" s="353"/>
      <c r="FTU10" s="353"/>
      <c r="FTV10" s="353"/>
      <c r="FTW10" s="353"/>
      <c r="FTX10" s="353"/>
      <c r="FTY10" s="353"/>
      <c r="FTZ10" s="353"/>
      <c r="FUA10" s="353"/>
      <c r="FUB10" s="353"/>
      <c r="FUC10" s="353"/>
      <c r="FUD10" s="353"/>
      <c r="FUE10" s="353"/>
      <c r="FUF10" s="353"/>
      <c r="FUG10" s="353"/>
      <c r="FUH10" s="353"/>
      <c r="FUI10" s="353"/>
      <c r="FUJ10" s="353"/>
      <c r="FUK10" s="353"/>
      <c r="FUL10" s="353"/>
      <c r="FUM10" s="353"/>
      <c r="FUN10" s="353"/>
      <c r="FUO10" s="353"/>
      <c r="FUP10" s="353"/>
      <c r="FUQ10" s="353"/>
      <c r="FUR10" s="353"/>
      <c r="FUS10" s="353"/>
      <c r="FUT10" s="353"/>
      <c r="FUU10" s="353"/>
      <c r="FUV10" s="353"/>
      <c r="FUW10" s="353"/>
      <c r="FUX10" s="353"/>
      <c r="FUY10" s="353"/>
      <c r="FUZ10" s="353"/>
      <c r="FVA10" s="353"/>
      <c r="FVB10" s="353"/>
      <c r="FVC10" s="353"/>
      <c r="FVD10" s="353"/>
      <c r="FVE10" s="353"/>
      <c r="FVF10" s="353"/>
      <c r="FVG10" s="353"/>
      <c r="FVH10" s="353"/>
      <c r="FVI10" s="353"/>
      <c r="FVJ10" s="353"/>
      <c r="FVK10" s="353"/>
      <c r="FVL10" s="353"/>
      <c r="FVM10" s="353"/>
      <c r="FVN10" s="353"/>
      <c r="FVO10" s="353"/>
      <c r="FVP10" s="353"/>
      <c r="FVQ10" s="353"/>
      <c r="FVR10" s="353"/>
      <c r="FVS10" s="353"/>
      <c r="FVT10" s="353"/>
      <c r="FVU10" s="353"/>
      <c r="FVV10" s="353"/>
      <c r="FVW10" s="353"/>
      <c r="FVX10" s="353"/>
      <c r="FVY10" s="353"/>
      <c r="FVZ10" s="353"/>
      <c r="FWA10" s="353"/>
      <c r="FWB10" s="353"/>
      <c r="FWC10" s="353"/>
      <c r="FWD10" s="353"/>
      <c r="FWE10" s="353"/>
      <c r="FWF10" s="353"/>
      <c r="FWG10" s="353"/>
      <c r="FWH10" s="353"/>
      <c r="FWI10" s="353"/>
      <c r="FWJ10" s="353"/>
      <c r="FWK10" s="353"/>
      <c r="FWL10" s="353"/>
      <c r="FWM10" s="353"/>
      <c r="FWN10" s="353"/>
      <c r="FWO10" s="353"/>
      <c r="FWP10" s="353"/>
      <c r="FWQ10" s="353"/>
      <c r="FWR10" s="353"/>
      <c r="FWS10" s="353"/>
      <c r="FWT10" s="353"/>
      <c r="FWU10" s="353"/>
      <c r="FWV10" s="353"/>
      <c r="FWW10" s="353"/>
      <c r="FWX10" s="353"/>
      <c r="FWY10" s="353"/>
      <c r="FWZ10" s="353"/>
      <c r="FXA10" s="353"/>
      <c r="FXB10" s="353"/>
      <c r="FXC10" s="353"/>
      <c r="FXD10" s="353"/>
      <c r="FXE10" s="353"/>
      <c r="FXF10" s="353"/>
      <c r="FXG10" s="353"/>
      <c r="FXH10" s="353"/>
      <c r="FXI10" s="353"/>
      <c r="FXJ10" s="353"/>
      <c r="FXK10" s="353"/>
      <c r="FXL10" s="353"/>
      <c r="FXM10" s="353"/>
      <c r="FXN10" s="353"/>
      <c r="FXO10" s="353"/>
      <c r="FXP10" s="353"/>
      <c r="FXQ10" s="353"/>
      <c r="FXR10" s="353"/>
      <c r="FXS10" s="353"/>
      <c r="FXT10" s="353"/>
      <c r="FXU10" s="353"/>
      <c r="FXV10" s="353"/>
      <c r="FXW10" s="353"/>
      <c r="FXX10" s="353"/>
      <c r="FXY10" s="353"/>
      <c r="FXZ10" s="353"/>
      <c r="FYA10" s="353"/>
      <c r="FYB10" s="353"/>
      <c r="FYC10" s="353"/>
      <c r="FYD10" s="353"/>
      <c r="FYE10" s="353"/>
      <c r="FYF10" s="353"/>
      <c r="FYG10" s="353"/>
      <c r="FYH10" s="353"/>
      <c r="FYI10" s="353"/>
      <c r="FYJ10" s="353"/>
      <c r="FYK10" s="353"/>
      <c r="FYL10" s="353"/>
      <c r="FYM10" s="353"/>
      <c r="FYN10" s="353"/>
      <c r="FYO10" s="353"/>
      <c r="FYP10" s="353"/>
      <c r="FYQ10" s="353"/>
      <c r="FYR10" s="353"/>
      <c r="FYS10" s="353"/>
      <c r="FYT10" s="353"/>
      <c r="FYU10" s="353"/>
      <c r="FYV10" s="353"/>
      <c r="FYW10" s="353"/>
      <c r="FYX10" s="353"/>
      <c r="FYY10" s="353"/>
      <c r="FYZ10" s="353"/>
      <c r="FZA10" s="353"/>
      <c r="FZB10" s="353"/>
      <c r="FZC10" s="353"/>
      <c r="FZD10" s="353"/>
      <c r="FZE10" s="353"/>
      <c r="FZF10" s="353"/>
      <c r="FZG10" s="353"/>
      <c r="FZH10" s="353"/>
      <c r="FZI10" s="353"/>
      <c r="FZJ10" s="353"/>
      <c r="FZK10" s="353"/>
      <c r="FZL10" s="353"/>
      <c r="FZM10" s="353"/>
      <c r="FZN10" s="353"/>
      <c r="FZO10" s="353"/>
      <c r="FZP10" s="353"/>
      <c r="FZQ10" s="353"/>
      <c r="FZR10" s="353"/>
      <c r="FZS10" s="353"/>
      <c r="FZT10" s="353"/>
      <c r="FZU10" s="353"/>
      <c r="FZV10" s="353"/>
      <c r="FZW10" s="353"/>
      <c r="FZX10" s="353"/>
      <c r="FZY10" s="353"/>
      <c r="FZZ10" s="353"/>
      <c r="GAA10" s="353"/>
      <c r="GAB10" s="353"/>
      <c r="GAC10" s="353"/>
      <c r="GAD10" s="353"/>
      <c r="GAE10" s="353"/>
      <c r="GAF10" s="353"/>
      <c r="GAG10" s="353"/>
      <c r="GAH10" s="353"/>
      <c r="GAI10" s="353"/>
      <c r="GAJ10" s="353"/>
      <c r="GAK10" s="353"/>
      <c r="GAL10" s="353"/>
      <c r="GAM10" s="353"/>
      <c r="GAN10" s="353"/>
      <c r="GAO10" s="353"/>
      <c r="GAP10" s="353"/>
      <c r="GAQ10" s="353"/>
      <c r="GAR10" s="353"/>
      <c r="GAS10" s="353"/>
      <c r="GAT10" s="353"/>
      <c r="GAU10" s="353"/>
      <c r="GAV10" s="353"/>
      <c r="GAW10" s="353"/>
      <c r="GAX10" s="353"/>
      <c r="GAY10" s="353"/>
      <c r="GAZ10" s="353"/>
      <c r="GBA10" s="353"/>
      <c r="GBB10" s="353"/>
      <c r="GBC10" s="353"/>
      <c r="GBD10" s="353"/>
      <c r="GBE10" s="353"/>
      <c r="GBF10" s="353"/>
      <c r="GBG10" s="353"/>
      <c r="GBH10" s="353"/>
      <c r="GBI10" s="353"/>
      <c r="GBJ10" s="353"/>
      <c r="GBK10" s="353"/>
      <c r="GBL10" s="353"/>
      <c r="GBM10" s="353"/>
      <c r="GBN10" s="353"/>
      <c r="GBO10" s="353"/>
      <c r="GBP10" s="353"/>
      <c r="GBQ10" s="353"/>
      <c r="GBR10" s="353"/>
      <c r="GBS10" s="353"/>
      <c r="GBT10" s="353"/>
      <c r="GBU10" s="353"/>
      <c r="GBV10" s="353"/>
      <c r="GBW10" s="353"/>
      <c r="GBX10" s="353"/>
      <c r="GBY10" s="353"/>
      <c r="GBZ10" s="353"/>
      <c r="GCA10" s="353"/>
      <c r="GCB10" s="353"/>
      <c r="GCC10" s="353"/>
      <c r="GCD10" s="353"/>
      <c r="GCE10" s="353"/>
      <c r="GCF10" s="353"/>
      <c r="GCG10" s="353"/>
      <c r="GCH10" s="353"/>
      <c r="GCI10" s="353"/>
      <c r="GCJ10" s="353"/>
      <c r="GCK10" s="353"/>
      <c r="GCL10" s="353"/>
      <c r="GCM10" s="353"/>
      <c r="GCN10" s="353"/>
      <c r="GCO10" s="353"/>
      <c r="GCP10" s="353"/>
      <c r="GCQ10" s="353"/>
      <c r="GCR10" s="353"/>
      <c r="GCS10" s="353"/>
      <c r="GCT10" s="353"/>
      <c r="GCU10" s="353"/>
      <c r="GCV10" s="353"/>
      <c r="GCW10" s="353"/>
      <c r="GCX10" s="353"/>
      <c r="GCY10" s="353"/>
      <c r="GCZ10" s="353"/>
      <c r="GDA10" s="353"/>
      <c r="GDB10" s="353"/>
      <c r="GDC10" s="353"/>
      <c r="GDD10" s="353"/>
      <c r="GDE10" s="353"/>
      <c r="GDF10" s="353"/>
      <c r="GDG10" s="353"/>
      <c r="GDH10" s="353"/>
      <c r="GDI10" s="353"/>
      <c r="GDJ10" s="353"/>
      <c r="GDK10" s="353"/>
      <c r="GDL10" s="353"/>
      <c r="GDM10" s="353"/>
      <c r="GDN10" s="353"/>
      <c r="GDO10" s="353"/>
      <c r="GDP10" s="353"/>
      <c r="GDQ10" s="353"/>
      <c r="GDR10" s="353"/>
      <c r="GDS10" s="353"/>
      <c r="GDT10" s="353"/>
      <c r="GDU10" s="353"/>
      <c r="GDV10" s="353"/>
      <c r="GDW10" s="353"/>
      <c r="GDX10" s="353"/>
      <c r="GDY10" s="353"/>
      <c r="GDZ10" s="353"/>
      <c r="GEA10" s="353"/>
      <c r="GEB10" s="353"/>
      <c r="GEC10" s="353"/>
      <c r="GED10" s="353"/>
      <c r="GEE10" s="353"/>
      <c r="GEF10" s="353"/>
      <c r="GEG10" s="353"/>
      <c r="GEH10" s="353"/>
      <c r="GEI10" s="353"/>
      <c r="GEJ10" s="353"/>
      <c r="GEK10" s="353"/>
      <c r="GEL10" s="353"/>
      <c r="GEM10" s="353"/>
      <c r="GEN10" s="353"/>
      <c r="GEO10" s="353"/>
      <c r="GEP10" s="353"/>
      <c r="GEQ10" s="353"/>
      <c r="GER10" s="353"/>
      <c r="GES10" s="353"/>
      <c r="GET10" s="353"/>
      <c r="GEU10" s="353"/>
      <c r="GEV10" s="353"/>
      <c r="GEW10" s="353"/>
      <c r="GEX10" s="353"/>
      <c r="GEY10" s="353"/>
      <c r="GEZ10" s="353"/>
      <c r="GFA10" s="353"/>
      <c r="GFB10" s="353"/>
      <c r="GFC10" s="353"/>
      <c r="GFD10" s="353"/>
      <c r="GFE10" s="353"/>
      <c r="GFF10" s="353"/>
      <c r="GFG10" s="353"/>
      <c r="GFH10" s="353"/>
      <c r="GFI10" s="353"/>
      <c r="GFJ10" s="353"/>
      <c r="GFK10" s="353"/>
      <c r="GFL10" s="353"/>
      <c r="GFM10" s="353"/>
      <c r="GFN10" s="353"/>
      <c r="GFO10" s="353"/>
      <c r="GFP10" s="353"/>
      <c r="GFQ10" s="353"/>
      <c r="GFR10" s="353"/>
      <c r="GFS10" s="353"/>
      <c r="GFT10" s="353"/>
      <c r="GFU10" s="353"/>
      <c r="GFV10" s="353"/>
      <c r="GFW10" s="353"/>
      <c r="GFX10" s="353"/>
      <c r="GFY10" s="353"/>
      <c r="GFZ10" s="353"/>
      <c r="GGA10" s="353"/>
      <c r="GGB10" s="353"/>
      <c r="GGC10" s="353"/>
      <c r="GGD10" s="353"/>
      <c r="GGE10" s="353"/>
      <c r="GGF10" s="353"/>
      <c r="GGG10" s="353"/>
      <c r="GGH10" s="353"/>
      <c r="GGI10" s="353"/>
      <c r="GGJ10" s="353"/>
      <c r="GGK10" s="353"/>
      <c r="GGL10" s="353"/>
      <c r="GGM10" s="353"/>
      <c r="GGN10" s="353"/>
      <c r="GGO10" s="353"/>
      <c r="GGP10" s="353"/>
      <c r="GGQ10" s="353"/>
      <c r="GGR10" s="353"/>
      <c r="GGS10" s="353"/>
      <c r="GGT10" s="353"/>
      <c r="GGU10" s="353"/>
      <c r="GGV10" s="353"/>
      <c r="GGW10" s="353"/>
      <c r="GGX10" s="353"/>
      <c r="GGY10" s="353"/>
      <c r="GGZ10" s="353"/>
      <c r="GHA10" s="353"/>
      <c r="GHB10" s="353"/>
      <c r="GHC10" s="353"/>
      <c r="GHD10" s="353"/>
      <c r="GHE10" s="353"/>
      <c r="GHF10" s="353"/>
      <c r="GHG10" s="353"/>
      <c r="GHH10" s="353"/>
      <c r="GHI10" s="353"/>
      <c r="GHJ10" s="353"/>
      <c r="GHK10" s="353"/>
      <c r="GHL10" s="353"/>
      <c r="GHM10" s="353"/>
      <c r="GHN10" s="353"/>
      <c r="GHO10" s="353"/>
      <c r="GHP10" s="353"/>
      <c r="GHQ10" s="353"/>
      <c r="GHR10" s="353"/>
      <c r="GHS10" s="353"/>
      <c r="GHT10" s="353"/>
      <c r="GHU10" s="353"/>
      <c r="GHV10" s="353"/>
      <c r="GHW10" s="353"/>
      <c r="GHX10" s="353"/>
      <c r="GHY10" s="353"/>
      <c r="GHZ10" s="353"/>
      <c r="GIA10" s="353"/>
      <c r="GIB10" s="353"/>
      <c r="GIC10" s="353"/>
      <c r="GID10" s="353"/>
      <c r="GIE10" s="353"/>
      <c r="GIF10" s="353"/>
      <c r="GIG10" s="353"/>
      <c r="GIH10" s="353"/>
      <c r="GII10" s="353"/>
      <c r="GIJ10" s="353"/>
      <c r="GIK10" s="353"/>
      <c r="GIL10" s="353"/>
      <c r="GIM10" s="353"/>
      <c r="GIN10" s="353"/>
      <c r="GIO10" s="353"/>
      <c r="GIP10" s="353"/>
      <c r="GIQ10" s="353"/>
      <c r="GIR10" s="353"/>
      <c r="GIS10" s="353"/>
      <c r="GIT10" s="353"/>
      <c r="GIU10" s="353"/>
      <c r="GIV10" s="353"/>
      <c r="GIW10" s="353"/>
      <c r="GIX10" s="353"/>
      <c r="GIY10" s="353"/>
      <c r="GIZ10" s="353"/>
      <c r="GJA10" s="353"/>
      <c r="GJB10" s="353"/>
      <c r="GJC10" s="353"/>
      <c r="GJD10" s="353"/>
      <c r="GJE10" s="353"/>
      <c r="GJF10" s="353"/>
      <c r="GJG10" s="353"/>
      <c r="GJH10" s="353"/>
      <c r="GJI10" s="353"/>
      <c r="GJJ10" s="353"/>
      <c r="GJK10" s="353"/>
      <c r="GJL10" s="353"/>
      <c r="GJM10" s="353"/>
      <c r="GJN10" s="353"/>
      <c r="GJO10" s="353"/>
      <c r="GJP10" s="353"/>
      <c r="GJQ10" s="353"/>
      <c r="GJR10" s="353"/>
      <c r="GJS10" s="353"/>
      <c r="GJT10" s="353"/>
      <c r="GJU10" s="353"/>
      <c r="GJV10" s="353"/>
      <c r="GJW10" s="353"/>
      <c r="GJX10" s="353"/>
      <c r="GJY10" s="353"/>
      <c r="GJZ10" s="353"/>
      <c r="GKA10" s="353"/>
      <c r="GKB10" s="353"/>
      <c r="GKC10" s="353"/>
      <c r="GKD10" s="353"/>
      <c r="GKE10" s="353"/>
      <c r="GKF10" s="353"/>
      <c r="GKG10" s="353"/>
      <c r="GKH10" s="353"/>
      <c r="GKI10" s="353"/>
      <c r="GKJ10" s="353"/>
      <c r="GKK10" s="353"/>
      <c r="GKL10" s="353"/>
      <c r="GKM10" s="353"/>
      <c r="GKN10" s="353"/>
      <c r="GKO10" s="353"/>
      <c r="GKP10" s="353"/>
      <c r="GKQ10" s="353"/>
      <c r="GKR10" s="353"/>
      <c r="GKS10" s="353"/>
      <c r="GKT10" s="353"/>
      <c r="GKU10" s="353"/>
      <c r="GKV10" s="353"/>
      <c r="GKW10" s="353"/>
      <c r="GKX10" s="353"/>
      <c r="GKY10" s="353"/>
      <c r="GKZ10" s="353"/>
      <c r="GLA10" s="353"/>
      <c r="GLB10" s="353"/>
      <c r="GLC10" s="353"/>
      <c r="GLD10" s="353"/>
      <c r="GLE10" s="353"/>
      <c r="GLF10" s="353"/>
      <c r="GLG10" s="353"/>
      <c r="GLH10" s="353"/>
      <c r="GLI10" s="353"/>
      <c r="GLJ10" s="353"/>
      <c r="GLK10" s="353"/>
      <c r="GLL10" s="353"/>
      <c r="GLM10" s="353"/>
      <c r="GLN10" s="353"/>
      <c r="GLO10" s="353"/>
      <c r="GLP10" s="353"/>
      <c r="GLQ10" s="353"/>
      <c r="GLR10" s="353"/>
      <c r="GLS10" s="353"/>
      <c r="GLT10" s="353"/>
      <c r="GLU10" s="353"/>
      <c r="GLV10" s="353"/>
      <c r="GLW10" s="353"/>
      <c r="GLX10" s="353"/>
      <c r="GLY10" s="353"/>
      <c r="GLZ10" s="353"/>
      <c r="GMA10" s="353"/>
      <c r="GMB10" s="353"/>
      <c r="GMC10" s="353"/>
      <c r="GMD10" s="353"/>
      <c r="GME10" s="353"/>
      <c r="GMF10" s="353"/>
      <c r="GMG10" s="353"/>
      <c r="GMH10" s="353"/>
      <c r="GMI10" s="353"/>
      <c r="GMJ10" s="353"/>
      <c r="GMK10" s="353"/>
      <c r="GML10" s="353"/>
      <c r="GMM10" s="353"/>
      <c r="GMN10" s="353"/>
      <c r="GMO10" s="353"/>
      <c r="GMP10" s="353"/>
      <c r="GMQ10" s="353"/>
      <c r="GMR10" s="353"/>
      <c r="GMS10" s="353"/>
      <c r="GMT10" s="353"/>
      <c r="GMU10" s="353"/>
      <c r="GMV10" s="353"/>
      <c r="GMW10" s="353"/>
      <c r="GMX10" s="353"/>
      <c r="GMY10" s="353"/>
      <c r="GMZ10" s="353"/>
      <c r="GNA10" s="353"/>
      <c r="GNB10" s="353"/>
      <c r="GNC10" s="353"/>
      <c r="GND10" s="353"/>
      <c r="GNE10" s="353"/>
      <c r="GNF10" s="353"/>
      <c r="GNG10" s="353"/>
      <c r="GNH10" s="353"/>
      <c r="GNI10" s="353"/>
      <c r="GNJ10" s="353"/>
      <c r="GNK10" s="353"/>
      <c r="GNL10" s="353"/>
      <c r="GNM10" s="353"/>
      <c r="GNN10" s="353"/>
      <c r="GNO10" s="353"/>
      <c r="GNP10" s="353"/>
      <c r="GNQ10" s="353"/>
      <c r="GNR10" s="353"/>
      <c r="GNS10" s="353"/>
      <c r="GNT10" s="353"/>
      <c r="GNU10" s="353"/>
      <c r="GNV10" s="353"/>
      <c r="GNW10" s="353"/>
      <c r="GNX10" s="353"/>
      <c r="GNY10" s="353"/>
      <c r="GNZ10" s="353"/>
      <c r="GOA10" s="353"/>
      <c r="GOB10" s="353"/>
      <c r="GOC10" s="353"/>
      <c r="GOD10" s="353"/>
      <c r="GOE10" s="353"/>
      <c r="GOF10" s="353"/>
      <c r="GOG10" s="353"/>
      <c r="GOH10" s="353"/>
      <c r="GOI10" s="353"/>
      <c r="GOJ10" s="353"/>
      <c r="GOK10" s="353"/>
      <c r="GOL10" s="353"/>
      <c r="GOM10" s="353"/>
      <c r="GON10" s="353"/>
      <c r="GOO10" s="353"/>
      <c r="GOP10" s="353"/>
      <c r="GOQ10" s="353"/>
      <c r="GOR10" s="353"/>
      <c r="GOS10" s="353"/>
      <c r="GOT10" s="353"/>
      <c r="GOU10" s="353"/>
      <c r="GOV10" s="353"/>
      <c r="GOW10" s="353"/>
      <c r="GOX10" s="353"/>
      <c r="GOY10" s="353"/>
      <c r="GOZ10" s="353"/>
      <c r="GPA10" s="353"/>
      <c r="GPB10" s="353"/>
      <c r="GPC10" s="353"/>
      <c r="GPD10" s="353"/>
      <c r="GPE10" s="353"/>
      <c r="GPF10" s="353"/>
      <c r="GPG10" s="353"/>
      <c r="GPH10" s="353"/>
      <c r="GPI10" s="353"/>
      <c r="GPJ10" s="353"/>
      <c r="GPK10" s="353"/>
      <c r="GPL10" s="353"/>
      <c r="GPM10" s="353"/>
      <c r="GPN10" s="353"/>
      <c r="GPO10" s="353"/>
      <c r="GPP10" s="353"/>
      <c r="GPQ10" s="353"/>
      <c r="GPR10" s="353"/>
      <c r="GPS10" s="353"/>
      <c r="GPT10" s="353"/>
      <c r="GPU10" s="353"/>
      <c r="GPV10" s="353"/>
      <c r="GPW10" s="353"/>
      <c r="GPX10" s="353"/>
      <c r="GPY10" s="353"/>
      <c r="GPZ10" s="353"/>
      <c r="GQA10" s="353"/>
      <c r="GQB10" s="353"/>
      <c r="GQC10" s="353"/>
      <c r="GQD10" s="353"/>
      <c r="GQE10" s="353"/>
      <c r="GQF10" s="353"/>
      <c r="GQG10" s="353"/>
      <c r="GQH10" s="353"/>
      <c r="GQI10" s="353"/>
      <c r="GQJ10" s="353"/>
      <c r="GQK10" s="353"/>
      <c r="GQL10" s="353"/>
      <c r="GQM10" s="353"/>
      <c r="GQN10" s="353"/>
      <c r="GQO10" s="353"/>
      <c r="GQP10" s="353"/>
      <c r="GQQ10" s="353"/>
      <c r="GQR10" s="353"/>
      <c r="GQS10" s="353"/>
      <c r="GQT10" s="353"/>
      <c r="GQU10" s="353"/>
      <c r="GQV10" s="353"/>
      <c r="GQW10" s="353"/>
      <c r="GQX10" s="353"/>
      <c r="GQY10" s="353"/>
      <c r="GQZ10" s="353"/>
      <c r="GRA10" s="353"/>
      <c r="GRB10" s="353"/>
      <c r="GRC10" s="353"/>
      <c r="GRD10" s="353"/>
      <c r="GRE10" s="353"/>
      <c r="GRF10" s="353"/>
      <c r="GRG10" s="353"/>
      <c r="GRH10" s="353"/>
      <c r="GRI10" s="353"/>
      <c r="GRJ10" s="353"/>
      <c r="GRK10" s="353"/>
      <c r="GRL10" s="353"/>
      <c r="GRM10" s="353"/>
      <c r="GRN10" s="353"/>
      <c r="GRO10" s="353"/>
      <c r="GRP10" s="353"/>
      <c r="GRQ10" s="353"/>
      <c r="GRR10" s="353"/>
      <c r="GRS10" s="353"/>
      <c r="GRT10" s="353"/>
      <c r="GRU10" s="353"/>
      <c r="GRV10" s="353"/>
      <c r="GRW10" s="353"/>
      <c r="GRX10" s="353"/>
      <c r="GRY10" s="353"/>
      <c r="GRZ10" s="353"/>
      <c r="GSA10" s="353"/>
      <c r="GSB10" s="353"/>
      <c r="GSC10" s="353"/>
      <c r="GSD10" s="353"/>
      <c r="GSE10" s="353"/>
      <c r="GSF10" s="353"/>
      <c r="GSG10" s="353"/>
      <c r="GSH10" s="353"/>
      <c r="GSI10" s="353"/>
      <c r="GSJ10" s="353"/>
      <c r="GSK10" s="353"/>
      <c r="GSL10" s="353"/>
      <c r="GSM10" s="353"/>
      <c r="GSN10" s="353"/>
      <c r="GSO10" s="353"/>
      <c r="GSP10" s="353"/>
      <c r="GSQ10" s="353"/>
      <c r="GSR10" s="353"/>
      <c r="GSS10" s="353"/>
      <c r="GST10" s="353"/>
      <c r="GSU10" s="353"/>
      <c r="GSV10" s="353"/>
      <c r="GSW10" s="353"/>
      <c r="GSX10" s="353"/>
      <c r="GSY10" s="353"/>
      <c r="GSZ10" s="353"/>
      <c r="GTA10" s="353"/>
      <c r="GTB10" s="353"/>
      <c r="GTC10" s="353"/>
      <c r="GTD10" s="353"/>
      <c r="GTE10" s="353"/>
      <c r="GTF10" s="353"/>
      <c r="GTG10" s="353"/>
      <c r="GTH10" s="353"/>
      <c r="GTI10" s="353"/>
      <c r="GTJ10" s="353"/>
      <c r="GTK10" s="353"/>
      <c r="GTL10" s="353"/>
      <c r="GTM10" s="353"/>
      <c r="GTN10" s="353"/>
      <c r="GTO10" s="353"/>
      <c r="GTP10" s="353"/>
      <c r="GTQ10" s="353"/>
      <c r="GTR10" s="353"/>
      <c r="GTS10" s="353"/>
      <c r="GTT10" s="353"/>
      <c r="GTU10" s="353"/>
      <c r="GTV10" s="353"/>
      <c r="GTW10" s="353"/>
      <c r="GTX10" s="353"/>
      <c r="GTY10" s="353"/>
      <c r="GTZ10" s="353"/>
      <c r="GUA10" s="353"/>
      <c r="GUB10" s="353"/>
      <c r="GUC10" s="353"/>
      <c r="GUD10" s="353"/>
      <c r="GUE10" s="353"/>
      <c r="GUF10" s="353"/>
      <c r="GUG10" s="353"/>
      <c r="GUH10" s="353"/>
      <c r="GUI10" s="353"/>
      <c r="GUJ10" s="353"/>
      <c r="GUK10" s="353"/>
      <c r="GUL10" s="353"/>
      <c r="GUM10" s="353"/>
      <c r="GUN10" s="353"/>
      <c r="GUO10" s="353"/>
      <c r="GUP10" s="353"/>
      <c r="GUQ10" s="353"/>
      <c r="GUR10" s="353"/>
      <c r="GUS10" s="353"/>
      <c r="GUT10" s="353"/>
      <c r="GUU10" s="353"/>
      <c r="GUV10" s="353"/>
      <c r="GUW10" s="353"/>
      <c r="GUX10" s="353"/>
      <c r="GUY10" s="353"/>
      <c r="GUZ10" s="353"/>
      <c r="GVA10" s="353"/>
      <c r="GVB10" s="353"/>
      <c r="GVC10" s="353"/>
      <c r="GVD10" s="353"/>
      <c r="GVE10" s="353"/>
      <c r="GVF10" s="353"/>
      <c r="GVG10" s="353"/>
      <c r="GVH10" s="353"/>
      <c r="GVI10" s="353"/>
      <c r="GVJ10" s="353"/>
      <c r="GVK10" s="353"/>
      <c r="GVL10" s="353"/>
      <c r="GVM10" s="353"/>
      <c r="GVN10" s="353"/>
      <c r="GVO10" s="353"/>
      <c r="GVP10" s="353"/>
      <c r="GVQ10" s="353"/>
      <c r="GVR10" s="353"/>
      <c r="GVS10" s="353"/>
      <c r="GVT10" s="353"/>
      <c r="GVU10" s="353"/>
      <c r="GVV10" s="353"/>
      <c r="GVW10" s="353"/>
      <c r="GVX10" s="353"/>
      <c r="GVY10" s="353"/>
      <c r="GVZ10" s="353"/>
      <c r="GWA10" s="353"/>
      <c r="GWB10" s="353"/>
      <c r="GWC10" s="353"/>
      <c r="GWD10" s="353"/>
      <c r="GWE10" s="353"/>
      <c r="GWF10" s="353"/>
      <c r="GWG10" s="353"/>
      <c r="GWH10" s="353"/>
      <c r="GWI10" s="353"/>
      <c r="GWJ10" s="353"/>
      <c r="GWK10" s="353"/>
      <c r="GWL10" s="353"/>
      <c r="GWM10" s="353"/>
      <c r="GWN10" s="353"/>
      <c r="GWO10" s="353"/>
      <c r="GWP10" s="353"/>
      <c r="GWQ10" s="353"/>
      <c r="GWR10" s="353"/>
      <c r="GWS10" s="353"/>
      <c r="GWT10" s="353"/>
      <c r="GWU10" s="353"/>
      <c r="GWV10" s="353"/>
      <c r="GWW10" s="353"/>
      <c r="GWX10" s="353"/>
      <c r="GWY10" s="353"/>
      <c r="GWZ10" s="353"/>
      <c r="GXA10" s="353"/>
      <c r="GXB10" s="353"/>
      <c r="GXC10" s="353"/>
      <c r="GXD10" s="353"/>
      <c r="GXE10" s="353"/>
      <c r="GXF10" s="353"/>
      <c r="GXG10" s="353"/>
      <c r="GXH10" s="353"/>
      <c r="GXI10" s="353"/>
      <c r="GXJ10" s="353"/>
      <c r="GXK10" s="353"/>
      <c r="GXL10" s="353"/>
      <c r="GXM10" s="353"/>
      <c r="GXN10" s="353"/>
      <c r="GXO10" s="353"/>
      <c r="GXP10" s="353"/>
      <c r="GXQ10" s="353"/>
      <c r="GXR10" s="353"/>
      <c r="GXS10" s="353"/>
      <c r="GXT10" s="353"/>
      <c r="GXU10" s="353"/>
      <c r="GXV10" s="353"/>
      <c r="GXW10" s="353"/>
      <c r="GXX10" s="353"/>
      <c r="GXY10" s="353"/>
      <c r="GXZ10" s="353"/>
      <c r="GYA10" s="353"/>
      <c r="GYB10" s="353"/>
      <c r="GYC10" s="353"/>
      <c r="GYD10" s="353"/>
      <c r="GYE10" s="353"/>
      <c r="GYF10" s="353"/>
      <c r="GYG10" s="353"/>
      <c r="GYH10" s="353"/>
      <c r="GYI10" s="353"/>
      <c r="GYJ10" s="353"/>
      <c r="GYK10" s="353"/>
      <c r="GYL10" s="353"/>
      <c r="GYM10" s="353"/>
      <c r="GYN10" s="353"/>
      <c r="GYO10" s="353"/>
      <c r="GYP10" s="353"/>
      <c r="GYQ10" s="353"/>
      <c r="GYR10" s="353"/>
      <c r="GYS10" s="353"/>
      <c r="GYT10" s="353"/>
      <c r="GYU10" s="353"/>
      <c r="GYV10" s="353"/>
      <c r="GYW10" s="353"/>
      <c r="GYX10" s="353"/>
      <c r="GYY10" s="353"/>
      <c r="GYZ10" s="353"/>
      <c r="GZA10" s="353"/>
      <c r="GZB10" s="353"/>
      <c r="GZC10" s="353"/>
      <c r="GZD10" s="353"/>
      <c r="GZE10" s="353"/>
      <c r="GZF10" s="353"/>
      <c r="GZG10" s="353"/>
      <c r="GZH10" s="353"/>
      <c r="GZI10" s="353"/>
      <c r="GZJ10" s="353"/>
      <c r="GZK10" s="353"/>
      <c r="GZL10" s="353"/>
      <c r="GZM10" s="353"/>
      <c r="GZN10" s="353"/>
      <c r="GZO10" s="353"/>
      <c r="GZP10" s="353"/>
      <c r="GZQ10" s="353"/>
      <c r="GZR10" s="353"/>
      <c r="GZS10" s="353"/>
      <c r="GZT10" s="353"/>
      <c r="GZU10" s="353"/>
      <c r="GZV10" s="353"/>
      <c r="GZW10" s="353"/>
      <c r="GZX10" s="353"/>
      <c r="GZY10" s="353"/>
      <c r="GZZ10" s="353"/>
      <c r="HAA10" s="353"/>
      <c r="HAB10" s="353"/>
      <c r="HAC10" s="353"/>
      <c r="HAD10" s="353"/>
      <c r="HAE10" s="353"/>
      <c r="HAF10" s="353"/>
      <c r="HAG10" s="353"/>
      <c r="HAH10" s="353"/>
      <c r="HAI10" s="353"/>
      <c r="HAJ10" s="353"/>
      <c r="HAK10" s="353"/>
      <c r="HAL10" s="353"/>
      <c r="HAM10" s="353"/>
      <c r="HAN10" s="353"/>
      <c r="HAO10" s="353"/>
      <c r="HAP10" s="353"/>
      <c r="HAQ10" s="353"/>
      <c r="HAR10" s="353"/>
      <c r="HAS10" s="353"/>
      <c r="HAT10" s="353"/>
      <c r="HAU10" s="353"/>
      <c r="HAV10" s="353"/>
      <c r="HAW10" s="353"/>
      <c r="HAX10" s="353"/>
      <c r="HAY10" s="353"/>
      <c r="HAZ10" s="353"/>
      <c r="HBA10" s="353"/>
      <c r="HBB10" s="353"/>
      <c r="HBC10" s="353"/>
      <c r="HBD10" s="353"/>
      <c r="HBE10" s="353"/>
      <c r="HBF10" s="353"/>
      <c r="HBG10" s="353"/>
      <c r="HBH10" s="353"/>
      <c r="HBI10" s="353"/>
      <c r="HBJ10" s="353"/>
      <c r="HBK10" s="353"/>
      <c r="HBL10" s="353"/>
      <c r="HBM10" s="353"/>
      <c r="HBN10" s="353"/>
      <c r="HBO10" s="353"/>
      <c r="HBP10" s="353"/>
      <c r="HBQ10" s="353"/>
      <c r="HBR10" s="353"/>
      <c r="HBS10" s="353"/>
      <c r="HBT10" s="353"/>
      <c r="HBU10" s="353"/>
      <c r="HBV10" s="353"/>
      <c r="HBW10" s="353"/>
      <c r="HBX10" s="353"/>
      <c r="HBY10" s="353"/>
      <c r="HBZ10" s="353"/>
      <c r="HCA10" s="353"/>
      <c r="HCB10" s="353"/>
      <c r="HCC10" s="353"/>
      <c r="HCD10" s="353"/>
      <c r="HCE10" s="353"/>
      <c r="HCF10" s="353"/>
      <c r="HCG10" s="353"/>
      <c r="HCH10" s="353"/>
      <c r="HCI10" s="353"/>
      <c r="HCJ10" s="353"/>
      <c r="HCK10" s="353"/>
      <c r="HCL10" s="353"/>
      <c r="HCM10" s="353"/>
      <c r="HCN10" s="353"/>
      <c r="HCO10" s="353"/>
      <c r="HCP10" s="353"/>
      <c r="HCQ10" s="353"/>
      <c r="HCR10" s="353"/>
      <c r="HCS10" s="353"/>
      <c r="HCT10" s="353"/>
      <c r="HCU10" s="353"/>
      <c r="HCV10" s="353"/>
      <c r="HCW10" s="353"/>
      <c r="HCX10" s="353"/>
      <c r="HCY10" s="353"/>
      <c r="HCZ10" s="353"/>
      <c r="HDA10" s="353"/>
      <c r="HDB10" s="353"/>
      <c r="HDC10" s="353"/>
      <c r="HDD10" s="353"/>
      <c r="HDE10" s="353"/>
      <c r="HDF10" s="353"/>
      <c r="HDG10" s="353"/>
      <c r="HDH10" s="353"/>
      <c r="HDI10" s="353"/>
      <c r="HDJ10" s="353"/>
      <c r="HDK10" s="353"/>
      <c r="HDL10" s="353"/>
      <c r="HDM10" s="353"/>
      <c r="HDN10" s="353"/>
      <c r="HDO10" s="353"/>
      <c r="HDP10" s="353"/>
      <c r="HDQ10" s="353"/>
      <c r="HDR10" s="353"/>
      <c r="HDS10" s="353"/>
      <c r="HDT10" s="353"/>
      <c r="HDU10" s="353"/>
      <c r="HDV10" s="353"/>
      <c r="HDW10" s="353"/>
      <c r="HDX10" s="353"/>
      <c r="HDY10" s="353"/>
      <c r="HDZ10" s="353"/>
      <c r="HEA10" s="353"/>
      <c r="HEB10" s="353"/>
      <c r="HEC10" s="353"/>
      <c r="HED10" s="353"/>
      <c r="HEE10" s="353"/>
      <c r="HEF10" s="353"/>
      <c r="HEG10" s="353"/>
      <c r="HEH10" s="353"/>
      <c r="HEI10" s="353"/>
      <c r="HEJ10" s="353"/>
      <c r="HEK10" s="353"/>
      <c r="HEL10" s="353"/>
      <c r="HEM10" s="353"/>
      <c r="HEN10" s="353"/>
      <c r="HEO10" s="353"/>
      <c r="HEP10" s="353"/>
      <c r="HEQ10" s="353"/>
      <c r="HER10" s="353"/>
      <c r="HES10" s="353"/>
      <c r="HET10" s="353"/>
      <c r="HEU10" s="353"/>
      <c r="HEV10" s="353"/>
      <c r="HEW10" s="353"/>
      <c r="HEX10" s="353"/>
      <c r="HEY10" s="353"/>
      <c r="HEZ10" s="353"/>
      <c r="HFA10" s="353"/>
      <c r="HFB10" s="353"/>
      <c r="HFC10" s="353"/>
      <c r="HFD10" s="353"/>
      <c r="HFE10" s="353"/>
      <c r="HFF10" s="353"/>
      <c r="HFG10" s="353"/>
      <c r="HFH10" s="353"/>
      <c r="HFI10" s="353"/>
      <c r="HFJ10" s="353"/>
      <c r="HFK10" s="353"/>
      <c r="HFL10" s="353"/>
      <c r="HFM10" s="353"/>
      <c r="HFN10" s="353"/>
      <c r="HFO10" s="353"/>
      <c r="HFP10" s="353"/>
      <c r="HFQ10" s="353"/>
      <c r="HFR10" s="353"/>
      <c r="HFS10" s="353"/>
      <c r="HFT10" s="353"/>
      <c r="HFU10" s="353"/>
      <c r="HFV10" s="353"/>
      <c r="HFW10" s="353"/>
      <c r="HFX10" s="353"/>
      <c r="HFY10" s="353"/>
      <c r="HFZ10" s="353"/>
      <c r="HGA10" s="353"/>
      <c r="HGB10" s="353"/>
      <c r="HGC10" s="353"/>
      <c r="HGD10" s="353"/>
      <c r="HGE10" s="353"/>
      <c r="HGF10" s="353"/>
      <c r="HGG10" s="353"/>
      <c r="HGH10" s="353"/>
      <c r="HGI10" s="353"/>
      <c r="HGJ10" s="353"/>
      <c r="HGK10" s="353"/>
      <c r="HGL10" s="353"/>
      <c r="HGM10" s="353"/>
      <c r="HGN10" s="353"/>
      <c r="HGO10" s="353"/>
      <c r="HGP10" s="353"/>
      <c r="HGQ10" s="353"/>
      <c r="HGR10" s="353"/>
      <c r="HGS10" s="353"/>
      <c r="HGT10" s="353"/>
      <c r="HGU10" s="353"/>
      <c r="HGV10" s="353"/>
      <c r="HGW10" s="353"/>
      <c r="HGX10" s="353"/>
      <c r="HGY10" s="353"/>
      <c r="HGZ10" s="353"/>
      <c r="HHA10" s="353"/>
      <c r="HHB10" s="353"/>
      <c r="HHC10" s="353"/>
      <c r="HHD10" s="353"/>
      <c r="HHE10" s="353"/>
      <c r="HHF10" s="353"/>
      <c r="HHG10" s="353"/>
      <c r="HHH10" s="353"/>
      <c r="HHI10" s="353"/>
      <c r="HHJ10" s="353"/>
      <c r="HHK10" s="353"/>
      <c r="HHL10" s="353"/>
      <c r="HHM10" s="353"/>
      <c r="HHN10" s="353"/>
      <c r="HHO10" s="353"/>
      <c r="HHP10" s="353"/>
      <c r="HHQ10" s="353"/>
      <c r="HHR10" s="353"/>
      <c r="HHS10" s="353"/>
      <c r="HHT10" s="353"/>
      <c r="HHU10" s="353"/>
      <c r="HHV10" s="353"/>
      <c r="HHW10" s="353"/>
      <c r="HHX10" s="353"/>
      <c r="HHY10" s="353"/>
      <c r="HHZ10" s="353"/>
      <c r="HIA10" s="353"/>
      <c r="HIB10" s="353"/>
      <c r="HIC10" s="353"/>
      <c r="HID10" s="353"/>
      <c r="HIE10" s="353"/>
      <c r="HIF10" s="353"/>
      <c r="HIG10" s="353"/>
      <c r="HIH10" s="353"/>
      <c r="HII10" s="353"/>
      <c r="HIJ10" s="353"/>
      <c r="HIK10" s="353"/>
      <c r="HIL10" s="353"/>
      <c r="HIM10" s="353"/>
      <c r="HIN10" s="353"/>
      <c r="HIO10" s="353"/>
      <c r="HIP10" s="353"/>
      <c r="HIQ10" s="353"/>
      <c r="HIR10" s="353"/>
      <c r="HIS10" s="353"/>
      <c r="HIT10" s="353"/>
      <c r="HIU10" s="353"/>
      <c r="HIV10" s="353"/>
      <c r="HIW10" s="353"/>
      <c r="HIX10" s="353"/>
      <c r="HIY10" s="353"/>
      <c r="HIZ10" s="353"/>
      <c r="HJA10" s="353"/>
      <c r="HJB10" s="353"/>
      <c r="HJC10" s="353"/>
      <c r="HJD10" s="353"/>
      <c r="HJE10" s="353"/>
      <c r="HJF10" s="353"/>
      <c r="HJG10" s="353"/>
      <c r="HJH10" s="353"/>
      <c r="HJI10" s="353"/>
      <c r="HJJ10" s="353"/>
      <c r="HJK10" s="353"/>
      <c r="HJL10" s="353"/>
      <c r="HJM10" s="353"/>
      <c r="HJN10" s="353"/>
      <c r="HJO10" s="353"/>
      <c r="HJP10" s="353"/>
      <c r="HJQ10" s="353"/>
      <c r="HJR10" s="353"/>
      <c r="HJS10" s="353"/>
      <c r="HJT10" s="353"/>
      <c r="HJU10" s="353"/>
      <c r="HJV10" s="353"/>
      <c r="HJW10" s="353"/>
      <c r="HJX10" s="353"/>
      <c r="HJY10" s="353"/>
      <c r="HJZ10" s="353"/>
      <c r="HKA10" s="353"/>
      <c r="HKB10" s="353"/>
      <c r="HKC10" s="353"/>
      <c r="HKD10" s="353"/>
      <c r="HKE10" s="353"/>
      <c r="HKF10" s="353"/>
      <c r="HKG10" s="353"/>
      <c r="HKH10" s="353"/>
      <c r="HKI10" s="353"/>
      <c r="HKJ10" s="353"/>
      <c r="HKK10" s="353"/>
      <c r="HKL10" s="353"/>
      <c r="HKM10" s="353"/>
      <c r="HKN10" s="353"/>
      <c r="HKO10" s="353"/>
      <c r="HKP10" s="353"/>
      <c r="HKQ10" s="353"/>
      <c r="HKR10" s="353"/>
      <c r="HKS10" s="353"/>
      <c r="HKT10" s="353"/>
      <c r="HKU10" s="353"/>
      <c r="HKV10" s="353"/>
      <c r="HKW10" s="353"/>
      <c r="HKX10" s="353"/>
      <c r="HKY10" s="353"/>
      <c r="HKZ10" s="353"/>
      <c r="HLA10" s="353"/>
      <c r="HLB10" s="353"/>
      <c r="HLC10" s="353"/>
      <c r="HLD10" s="353"/>
      <c r="HLE10" s="353"/>
      <c r="HLF10" s="353"/>
      <c r="HLG10" s="353"/>
      <c r="HLH10" s="353"/>
      <c r="HLI10" s="353"/>
      <c r="HLJ10" s="353"/>
      <c r="HLK10" s="353"/>
      <c r="HLL10" s="353"/>
      <c r="HLM10" s="353"/>
      <c r="HLN10" s="353"/>
      <c r="HLO10" s="353"/>
      <c r="HLP10" s="353"/>
      <c r="HLQ10" s="353"/>
      <c r="HLR10" s="353"/>
      <c r="HLS10" s="353"/>
      <c r="HLT10" s="353"/>
      <c r="HLU10" s="353"/>
      <c r="HLV10" s="353"/>
      <c r="HLW10" s="353"/>
      <c r="HLX10" s="353"/>
      <c r="HLY10" s="353"/>
      <c r="HLZ10" s="353"/>
      <c r="HMA10" s="353"/>
      <c r="HMB10" s="353"/>
      <c r="HMC10" s="353"/>
      <c r="HMD10" s="353"/>
      <c r="HME10" s="353"/>
      <c r="HMF10" s="353"/>
      <c r="HMG10" s="353"/>
      <c r="HMH10" s="353"/>
      <c r="HMI10" s="353"/>
      <c r="HMJ10" s="353"/>
      <c r="HMK10" s="353"/>
      <c r="HML10" s="353"/>
      <c r="HMM10" s="353"/>
      <c r="HMN10" s="353"/>
      <c r="HMO10" s="353"/>
      <c r="HMP10" s="353"/>
      <c r="HMQ10" s="353"/>
      <c r="HMR10" s="353"/>
      <c r="HMS10" s="353"/>
      <c r="HMT10" s="353"/>
      <c r="HMU10" s="353"/>
      <c r="HMV10" s="353"/>
      <c r="HMW10" s="353"/>
      <c r="HMX10" s="353"/>
      <c r="HMY10" s="353"/>
      <c r="HMZ10" s="353"/>
      <c r="HNA10" s="353"/>
      <c r="HNB10" s="353"/>
      <c r="HNC10" s="353"/>
      <c r="HND10" s="353"/>
      <c r="HNE10" s="353"/>
      <c r="HNF10" s="353"/>
      <c r="HNG10" s="353"/>
      <c r="HNH10" s="353"/>
      <c r="HNI10" s="353"/>
      <c r="HNJ10" s="353"/>
      <c r="HNK10" s="353"/>
      <c r="HNL10" s="353"/>
      <c r="HNM10" s="353"/>
      <c r="HNN10" s="353"/>
      <c r="HNO10" s="353"/>
      <c r="HNP10" s="353"/>
      <c r="HNQ10" s="353"/>
      <c r="HNR10" s="353"/>
      <c r="HNS10" s="353"/>
      <c r="HNT10" s="353"/>
      <c r="HNU10" s="353"/>
      <c r="HNV10" s="353"/>
      <c r="HNW10" s="353"/>
      <c r="HNX10" s="353"/>
      <c r="HNY10" s="353"/>
      <c r="HNZ10" s="353"/>
      <c r="HOA10" s="353"/>
      <c r="HOB10" s="353"/>
      <c r="HOC10" s="353"/>
      <c r="HOD10" s="353"/>
      <c r="HOE10" s="353"/>
      <c r="HOF10" s="353"/>
      <c r="HOG10" s="353"/>
      <c r="HOH10" s="353"/>
      <c r="HOI10" s="353"/>
      <c r="HOJ10" s="353"/>
      <c r="HOK10" s="353"/>
      <c r="HOL10" s="353"/>
      <c r="HOM10" s="353"/>
      <c r="HON10" s="353"/>
      <c r="HOO10" s="353"/>
      <c r="HOP10" s="353"/>
      <c r="HOQ10" s="353"/>
      <c r="HOR10" s="353"/>
      <c r="HOS10" s="353"/>
      <c r="HOT10" s="353"/>
      <c r="HOU10" s="353"/>
      <c r="HOV10" s="353"/>
      <c r="HOW10" s="353"/>
      <c r="HOX10" s="353"/>
      <c r="HOY10" s="353"/>
      <c r="HOZ10" s="353"/>
      <c r="HPA10" s="353"/>
      <c r="HPB10" s="353"/>
      <c r="HPC10" s="353"/>
      <c r="HPD10" s="353"/>
      <c r="HPE10" s="353"/>
      <c r="HPF10" s="353"/>
      <c r="HPG10" s="353"/>
      <c r="HPH10" s="353"/>
      <c r="HPI10" s="353"/>
      <c r="HPJ10" s="353"/>
      <c r="HPK10" s="353"/>
      <c r="HPL10" s="353"/>
      <c r="HPM10" s="353"/>
      <c r="HPN10" s="353"/>
      <c r="HPO10" s="353"/>
      <c r="HPP10" s="353"/>
      <c r="HPQ10" s="353"/>
      <c r="HPR10" s="353"/>
      <c r="HPS10" s="353"/>
      <c r="HPT10" s="353"/>
      <c r="HPU10" s="353"/>
      <c r="HPV10" s="353"/>
      <c r="HPW10" s="353"/>
      <c r="HPX10" s="353"/>
      <c r="HPY10" s="353"/>
      <c r="HPZ10" s="353"/>
      <c r="HQA10" s="353"/>
      <c r="HQB10" s="353"/>
      <c r="HQC10" s="353"/>
      <c r="HQD10" s="353"/>
      <c r="HQE10" s="353"/>
      <c r="HQF10" s="353"/>
      <c r="HQG10" s="353"/>
      <c r="HQH10" s="353"/>
      <c r="HQI10" s="353"/>
      <c r="HQJ10" s="353"/>
      <c r="HQK10" s="353"/>
      <c r="HQL10" s="353"/>
      <c r="HQM10" s="353"/>
      <c r="HQN10" s="353"/>
      <c r="HQO10" s="353"/>
      <c r="HQP10" s="353"/>
      <c r="HQQ10" s="353"/>
      <c r="HQR10" s="353"/>
      <c r="HQS10" s="353"/>
      <c r="HQT10" s="353"/>
      <c r="HQU10" s="353"/>
      <c r="HQV10" s="353"/>
      <c r="HQW10" s="353"/>
      <c r="HQX10" s="353"/>
      <c r="HQY10" s="353"/>
      <c r="HQZ10" s="353"/>
      <c r="HRA10" s="353"/>
      <c r="HRB10" s="353"/>
      <c r="HRC10" s="353"/>
      <c r="HRD10" s="353"/>
      <c r="HRE10" s="353"/>
      <c r="HRF10" s="353"/>
      <c r="HRG10" s="353"/>
      <c r="HRH10" s="353"/>
      <c r="HRI10" s="353"/>
      <c r="HRJ10" s="353"/>
      <c r="HRK10" s="353"/>
      <c r="HRL10" s="353"/>
      <c r="HRM10" s="353"/>
      <c r="HRN10" s="353"/>
      <c r="HRO10" s="353"/>
      <c r="HRP10" s="353"/>
      <c r="HRQ10" s="353"/>
      <c r="HRR10" s="353"/>
      <c r="HRS10" s="353"/>
      <c r="HRT10" s="353"/>
      <c r="HRU10" s="353"/>
      <c r="HRV10" s="353"/>
      <c r="HRW10" s="353"/>
      <c r="HRX10" s="353"/>
      <c r="HRY10" s="353"/>
      <c r="HRZ10" s="353"/>
      <c r="HSA10" s="353"/>
      <c r="HSB10" s="353"/>
      <c r="HSC10" s="353"/>
      <c r="HSD10" s="353"/>
      <c r="HSE10" s="353"/>
      <c r="HSF10" s="353"/>
      <c r="HSG10" s="353"/>
      <c r="HSH10" s="353"/>
      <c r="HSI10" s="353"/>
      <c r="HSJ10" s="353"/>
      <c r="HSK10" s="353"/>
      <c r="HSL10" s="353"/>
      <c r="HSM10" s="353"/>
      <c r="HSN10" s="353"/>
      <c r="HSO10" s="353"/>
      <c r="HSP10" s="353"/>
      <c r="HSQ10" s="353"/>
      <c r="HSR10" s="353"/>
      <c r="HSS10" s="353"/>
      <c r="HST10" s="353"/>
      <c r="HSU10" s="353"/>
      <c r="HSV10" s="353"/>
      <c r="HSW10" s="353"/>
      <c r="HSX10" s="353"/>
      <c r="HSY10" s="353"/>
      <c r="HSZ10" s="353"/>
      <c r="HTA10" s="353"/>
      <c r="HTB10" s="353"/>
      <c r="HTC10" s="353"/>
      <c r="HTD10" s="353"/>
      <c r="HTE10" s="353"/>
      <c r="HTF10" s="353"/>
      <c r="HTG10" s="353"/>
      <c r="HTH10" s="353"/>
      <c r="HTI10" s="353"/>
      <c r="HTJ10" s="353"/>
      <c r="HTK10" s="353"/>
      <c r="HTL10" s="353"/>
      <c r="HTM10" s="353"/>
      <c r="HTN10" s="353"/>
      <c r="HTO10" s="353"/>
      <c r="HTP10" s="353"/>
      <c r="HTQ10" s="353"/>
      <c r="HTR10" s="353"/>
      <c r="HTS10" s="353"/>
      <c r="HTT10" s="353"/>
      <c r="HTU10" s="353"/>
      <c r="HTV10" s="353"/>
      <c r="HTW10" s="353"/>
      <c r="HTX10" s="353"/>
      <c r="HTY10" s="353"/>
      <c r="HTZ10" s="353"/>
      <c r="HUA10" s="353"/>
      <c r="HUB10" s="353"/>
      <c r="HUC10" s="353"/>
      <c r="HUD10" s="353"/>
      <c r="HUE10" s="353"/>
      <c r="HUF10" s="353"/>
      <c r="HUG10" s="353"/>
      <c r="HUH10" s="353"/>
      <c r="HUI10" s="353"/>
      <c r="HUJ10" s="353"/>
      <c r="HUK10" s="353"/>
      <c r="HUL10" s="353"/>
      <c r="HUM10" s="353"/>
      <c r="HUN10" s="353"/>
      <c r="HUO10" s="353"/>
      <c r="HUP10" s="353"/>
      <c r="HUQ10" s="353"/>
      <c r="HUR10" s="353"/>
      <c r="HUS10" s="353"/>
      <c r="HUT10" s="353"/>
      <c r="HUU10" s="353"/>
      <c r="HUV10" s="353"/>
      <c r="HUW10" s="353"/>
      <c r="HUX10" s="353"/>
      <c r="HUY10" s="353"/>
      <c r="HUZ10" s="353"/>
      <c r="HVA10" s="353"/>
      <c r="HVB10" s="353"/>
      <c r="HVC10" s="353"/>
      <c r="HVD10" s="353"/>
      <c r="HVE10" s="353"/>
      <c r="HVF10" s="353"/>
      <c r="HVG10" s="353"/>
      <c r="HVH10" s="353"/>
      <c r="HVI10" s="353"/>
      <c r="HVJ10" s="353"/>
      <c r="HVK10" s="353"/>
      <c r="HVL10" s="353"/>
      <c r="HVM10" s="353"/>
      <c r="HVN10" s="353"/>
      <c r="HVO10" s="353"/>
      <c r="HVP10" s="353"/>
      <c r="HVQ10" s="353"/>
      <c r="HVR10" s="353"/>
      <c r="HVS10" s="353"/>
      <c r="HVT10" s="353"/>
      <c r="HVU10" s="353"/>
      <c r="HVV10" s="353"/>
      <c r="HVW10" s="353"/>
      <c r="HVX10" s="353"/>
      <c r="HVY10" s="353"/>
      <c r="HVZ10" s="353"/>
      <c r="HWA10" s="353"/>
      <c r="HWB10" s="353"/>
      <c r="HWC10" s="353"/>
      <c r="HWD10" s="353"/>
      <c r="HWE10" s="353"/>
      <c r="HWF10" s="353"/>
      <c r="HWG10" s="353"/>
      <c r="HWH10" s="353"/>
      <c r="HWI10" s="353"/>
      <c r="HWJ10" s="353"/>
      <c r="HWK10" s="353"/>
      <c r="HWL10" s="353"/>
      <c r="HWM10" s="353"/>
      <c r="HWN10" s="353"/>
      <c r="HWO10" s="353"/>
      <c r="HWP10" s="353"/>
      <c r="HWQ10" s="353"/>
      <c r="HWR10" s="353"/>
      <c r="HWS10" s="353"/>
      <c r="HWT10" s="353"/>
      <c r="HWU10" s="353"/>
      <c r="HWV10" s="353"/>
      <c r="HWW10" s="353"/>
      <c r="HWX10" s="353"/>
      <c r="HWY10" s="353"/>
      <c r="HWZ10" s="353"/>
      <c r="HXA10" s="353"/>
      <c r="HXB10" s="353"/>
      <c r="HXC10" s="353"/>
      <c r="HXD10" s="353"/>
      <c r="HXE10" s="353"/>
      <c r="HXF10" s="353"/>
      <c r="HXG10" s="353"/>
      <c r="HXH10" s="353"/>
      <c r="HXI10" s="353"/>
      <c r="HXJ10" s="353"/>
      <c r="HXK10" s="353"/>
      <c r="HXL10" s="353"/>
      <c r="HXM10" s="353"/>
      <c r="HXN10" s="353"/>
      <c r="HXO10" s="353"/>
      <c r="HXP10" s="353"/>
      <c r="HXQ10" s="353"/>
      <c r="HXR10" s="353"/>
      <c r="HXS10" s="353"/>
      <c r="HXT10" s="353"/>
      <c r="HXU10" s="353"/>
      <c r="HXV10" s="353"/>
      <c r="HXW10" s="353"/>
      <c r="HXX10" s="353"/>
      <c r="HXY10" s="353"/>
      <c r="HXZ10" s="353"/>
      <c r="HYA10" s="353"/>
      <c r="HYB10" s="353"/>
      <c r="HYC10" s="353"/>
      <c r="HYD10" s="353"/>
      <c r="HYE10" s="353"/>
      <c r="HYF10" s="353"/>
      <c r="HYG10" s="353"/>
      <c r="HYH10" s="353"/>
      <c r="HYI10" s="353"/>
      <c r="HYJ10" s="353"/>
      <c r="HYK10" s="353"/>
      <c r="HYL10" s="353"/>
      <c r="HYM10" s="353"/>
      <c r="HYN10" s="353"/>
      <c r="HYO10" s="353"/>
      <c r="HYP10" s="353"/>
      <c r="HYQ10" s="353"/>
      <c r="HYR10" s="353"/>
      <c r="HYS10" s="353"/>
      <c r="HYT10" s="353"/>
      <c r="HYU10" s="353"/>
      <c r="HYV10" s="353"/>
      <c r="HYW10" s="353"/>
      <c r="HYX10" s="353"/>
      <c r="HYY10" s="353"/>
      <c r="HYZ10" s="353"/>
      <c r="HZA10" s="353"/>
      <c r="HZB10" s="353"/>
      <c r="HZC10" s="353"/>
      <c r="HZD10" s="353"/>
      <c r="HZE10" s="353"/>
      <c r="HZF10" s="353"/>
      <c r="HZG10" s="353"/>
      <c r="HZH10" s="353"/>
      <c r="HZI10" s="353"/>
      <c r="HZJ10" s="353"/>
      <c r="HZK10" s="353"/>
      <c r="HZL10" s="353"/>
      <c r="HZM10" s="353"/>
      <c r="HZN10" s="353"/>
      <c r="HZO10" s="353"/>
      <c r="HZP10" s="353"/>
      <c r="HZQ10" s="353"/>
      <c r="HZR10" s="353"/>
      <c r="HZS10" s="353"/>
      <c r="HZT10" s="353"/>
      <c r="HZU10" s="353"/>
      <c r="HZV10" s="353"/>
      <c r="HZW10" s="353"/>
      <c r="HZX10" s="353"/>
      <c r="HZY10" s="353"/>
      <c r="HZZ10" s="353"/>
      <c r="IAA10" s="353"/>
      <c r="IAB10" s="353"/>
      <c r="IAC10" s="353"/>
      <c r="IAD10" s="353"/>
      <c r="IAE10" s="353"/>
      <c r="IAF10" s="353"/>
      <c r="IAG10" s="353"/>
      <c r="IAH10" s="353"/>
      <c r="IAI10" s="353"/>
      <c r="IAJ10" s="353"/>
      <c r="IAK10" s="353"/>
      <c r="IAL10" s="353"/>
      <c r="IAM10" s="353"/>
      <c r="IAN10" s="353"/>
      <c r="IAO10" s="353"/>
      <c r="IAP10" s="353"/>
      <c r="IAQ10" s="353"/>
      <c r="IAR10" s="353"/>
      <c r="IAS10" s="353"/>
      <c r="IAT10" s="353"/>
      <c r="IAU10" s="353"/>
      <c r="IAV10" s="353"/>
      <c r="IAW10" s="353"/>
      <c r="IAX10" s="353"/>
      <c r="IAY10" s="353"/>
      <c r="IAZ10" s="353"/>
      <c r="IBA10" s="353"/>
      <c r="IBB10" s="353"/>
      <c r="IBC10" s="353"/>
      <c r="IBD10" s="353"/>
      <c r="IBE10" s="353"/>
      <c r="IBF10" s="353"/>
      <c r="IBG10" s="353"/>
      <c r="IBH10" s="353"/>
      <c r="IBI10" s="353"/>
      <c r="IBJ10" s="353"/>
      <c r="IBK10" s="353"/>
      <c r="IBL10" s="353"/>
      <c r="IBM10" s="353"/>
      <c r="IBN10" s="353"/>
      <c r="IBO10" s="353"/>
      <c r="IBP10" s="353"/>
      <c r="IBQ10" s="353"/>
      <c r="IBR10" s="353"/>
      <c r="IBS10" s="353"/>
      <c r="IBT10" s="353"/>
      <c r="IBU10" s="353"/>
      <c r="IBV10" s="353"/>
      <c r="IBW10" s="353"/>
      <c r="IBX10" s="353"/>
      <c r="IBY10" s="353"/>
      <c r="IBZ10" s="353"/>
      <c r="ICA10" s="353"/>
      <c r="ICB10" s="353"/>
      <c r="ICC10" s="353"/>
      <c r="ICD10" s="353"/>
      <c r="ICE10" s="353"/>
      <c r="ICF10" s="353"/>
      <c r="ICG10" s="353"/>
      <c r="ICH10" s="353"/>
      <c r="ICI10" s="353"/>
      <c r="ICJ10" s="353"/>
      <c r="ICK10" s="353"/>
      <c r="ICL10" s="353"/>
      <c r="ICM10" s="353"/>
      <c r="ICN10" s="353"/>
      <c r="ICO10" s="353"/>
      <c r="ICP10" s="353"/>
      <c r="ICQ10" s="353"/>
      <c r="ICR10" s="353"/>
      <c r="ICS10" s="353"/>
      <c r="ICT10" s="353"/>
      <c r="ICU10" s="353"/>
      <c r="ICV10" s="353"/>
      <c r="ICW10" s="353"/>
      <c r="ICX10" s="353"/>
      <c r="ICY10" s="353"/>
      <c r="ICZ10" s="353"/>
      <c r="IDA10" s="353"/>
      <c r="IDB10" s="353"/>
      <c r="IDC10" s="353"/>
      <c r="IDD10" s="353"/>
      <c r="IDE10" s="353"/>
      <c r="IDF10" s="353"/>
      <c r="IDG10" s="353"/>
      <c r="IDH10" s="353"/>
      <c r="IDI10" s="353"/>
      <c r="IDJ10" s="353"/>
      <c r="IDK10" s="353"/>
      <c r="IDL10" s="353"/>
      <c r="IDM10" s="353"/>
      <c r="IDN10" s="353"/>
      <c r="IDO10" s="353"/>
      <c r="IDP10" s="353"/>
      <c r="IDQ10" s="353"/>
      <c r="IDR10" s="353"/>
      <c r="IDS10" s="353"/>
      <c r="IDT10" s="353"/>
      <c r="IDU10" s="353"/>
      <c r="IDV10" s="353"/>
      <c r="IDW10" s="353"/>
      <c r="IDX10" s="353"/>
      <c r="IDY10" s="353"/>
      <c r="IDZ10" s="353"/>
      <c r="IEA10" s="353"/>
      <c r="IEB10" s="353"/>
      <c r="IEC10" s="353"/>
      <c r="IED10" s="353"/>
      <c r="IEE10" s="353"/>
      <c r="IEF10" s="353"/>
      <c r="IEG10" s="353"/>
      <c r="IEH10" s="353"/>
      <c r="IEI10" s="353"/>
      <c r="IEJ10" s="353"/>
      <c r="IEK10" s="353"/>
      <c r="IEL10" s="353"/>
      <c r="IEM10" s="353"/>
      <c r="IEN10" s="353"/>
      <c r="IEO10" s="353"/>
      <c r="IEP10" s="353"/>
      <c r="IEQ10" s="353"/>
      <c r="IER10" s="353"/>
      <c r="IES10" s="353"/>
      <c r="IET10" s="353"/>
      <c r="IEU10" s="353"/>
      <c r="IEV10" s="353"/>
      <c r="IEW10" s="353"/>
      <c r="IEX10" s="353"/>
      <c r="IEY10" s="353"/>
      <c r="IEZ10" s="353"/>
      <c r="IFA10" s="353"/>
      <c r="IFB10" s="353"/>
      <c r="IFC10" s="353"/>
      <c r="IFD10" s="353"/>
      <c r="IFE10" s="353"/>
      <c r="IFF10" s="353"/>
      <c r="IFG10" s="353"/>
      <c r="IFH10" s="353"/>
      <c r="IFI10" s="353"/>
      <c r="IFJ10" s="353"/>
      <c r="IFK10" s="353"/>
      <c r="IFL10" s="353"/>
      <c r="IFM10" s="353"/>
      <c r="IFN10" s="353"/>
      <c r="IFO10" s="353"/>
      <c r="IFP10" s="353"/>
      <c r="IFQ10" s="353"/>
      <c r="IFR10" s="353"/>
      <c r="IFS10" s="353"/>
      <c r="IFT10" s="353"/>
      <c r="IFU10" s="353"/>
      <c r="IFV10" s="353"/>
      <c r="IFW10" s="353"/>
      <c r="IFX10" s="353"/>
      <c r="IFY10" s="353"/>
      <c r="IFZ10" s="353"/>
      <c r="IGA10" s="353"/>
      <c r="IGB10" s="353"/>
      <c r="IGC10" s="353"/>
      <c r="IGD10" s="353"/>
      <c r="IGE10" s="353"/>
      <c r="IGF10" s="353"/>
      <c r="IGG10" s="353"/>
      <c r="IGH10" s="353"/>
      <c r="IGI10" s="353"/>
      <c r="IGJ10" s="353"/>
      <c r="IGK10" s="353"/>
      <c r="IGL10" s="353"/>
      <c r="IGM10" s="353"/>
      <c r="IGN10" s="353"/>
      <c r="IGO10" s="353"/>
      <c r="IGP10" s="353"/>
      <c r="IGQ10" s="353"/>
      <c r="IGR10" s="353"/>
      <c r="IGS10" s="353"/>
      <c r="IGT10" s="353"/>
      <c r="IGU10" s="353"/>
      <c r="IGV10" s="353"/>
      <c r="IGW10" s="353"/>
      <c r="IGX10" s="353"/>
      <c r="IGY10" s="353"/>
      <c r="IGZ10" s="353"/>
      <c r="IHA10" s="353"/>
      <c r="IHB10" s="353"/>
      <c r="IHC10" s="353"/>
      <c r="IHD10" s="353"/>
      <c r="IHE10" s="353"/>
      <c r="IHF10" s="353"/>
      <c r="IHG10" s="353"/>
      <c r="IHH10" s="353"/>
      <c r="IHI10" s="353"/>
      <c r="IHJ10" s="353"/>
      <c r="IHK10" s="353"/>
      <c r="IHL10" s="353"/>
      <c r="IHM10" s="353"/>
      <c r="IHN10" s="353"/>
      <c r="IHO10" s="353"/>
      <c r="IHP10" s="353"/>
      <c r="IHQ10" s="353"/>
      <c r="IHR10" s="353"/>
      <c r="IHS10" s="353"/>
      <c r="IHT10" s="353"/>
      <c r="IHU10" s="353"/>
      <c r="IHV10" s="353"/>
      <c r="IHW10" s="353"/>
      <c r="IHX10" s="353"/>
      <c r="IHY10" s="353"/>
      <c r="IHZ10" s="353"/>
      <c r="IIA10" s="353"/>
      <c r="IIB10" s="353"/>
      <c r="IIC10" s="353"/>
      <c r="IID10" s="353"/>
      <c r="IIE10" s="353"/>
      <c r="IIF10" s="353"/>
      <c r="IIG10" s="353"/>
      <c r="IIH10" s="353"/>
      <c r="III10" s="353"/>
      <c r="IIJ10" s="353"/>
      <c r="IIK10" s="353"/>
      <c r="IIL10" s="353"/>
      <c r="IIM10" s="353"/>
      <c r="IIN10" s="353"/>
      <c r="IIO10" s="353"/>
      <c r="IIP10" s="353"/>
      <c r="IIQ10" s="353"/>
      <c r="IIR10" s="353"/>
      <c r="IIS10" s="353"/>
      <c r="IIT10" s="353"/>
      <c r="IIU10" s="353"/>
      <c r="IIV10" s="353"/>
      <c r="IIW10" s="353"/>
      <c r="IIX10" s="353"/>
      <c r="IIY10" s="353"/>
      <c r="IIZ10" s="353"/>
      <c r="IJA10" s="353"/>
      <c r="IJB10" s="353"/>
      <c r="IJC10" s="353"/>
      <c r="IJD10" s="353"/>
      <c r="IJE10" s="353"/>
      <c r="IJF10" s="353"/>
      <c r="IJG10" s="353"/>
      <c r="IJH10" s="353"/>
      <c r="IJI10" s="353"/>
      <c r="IJJ10" s="353"/>
      <c r="IJK10" s="353"/>
      <c r="IJL10" s="353"/>
      <c r="IJM10" s="353"/>
      <c r="IJN10" s="353"/>
      <c r="IJO10" s="353"/>
      <c r="IJP10" s="353"/>
      <c r="IJQ10" s="353"/>
      <c r="IJR10" s="353"/>
      <c r="IJS10" s="353"/>
      <c r="IJT10" s="353"/>
      <c r="IJU10" s="353"/>
      <c r="IJV10" s="353"/>
      <c r="IJW10" s="353"/>
      <c r="IJX10" s="353"/>
      <c r="IJY10" s="353"/>
      <c r="IJZ10" s="353"/>
      <c r="IKA10" s="353"/>
      <c r="IKB10" s="353"/>
      <c r="IKC10" s="353"/>
      <c r="IKD10" s="353"/>
      <c r="IKE10" s="353"/>
      <c r="IKF10" s="353"/>
      <c r="IKG10" s="353"/>
      <c r="IKH10" s="353"/>
      <c r="IKI10" s="353"/>
      <c r="IKJ10" s="353"/>
      <c r="IKK10" s="353"/>
      <c r="IKL10" s="353"/>
      <c r="IKM10" s="353"/>
      <c r="IKN10" s="353"/>
      <c r="IKO10" s="353"/>
      <c r="IKP10" s="353"/>
      <c r="IKQ10" s="353"/>
      <c r="IKR10" s="353"/>
      <c r="IKS10" s="353"/>
      <c r="IKT10" s="353"/>
      <c r="IKU10" s="353"/>
      <c r="IKV10" s="353"/>
      <c r="IKW10" s="353"/>
      <c r="IKX10" s="353"/>
      <c r="IKY10" s="353"/>
      <c r="IKZ10" s="353"/>
      <c r="ILA10" s="353"/>
      <c r="ILB10" s="353"/>
      <c r="ILC10" s="353"/>
      <c r="ILD10" s="353"/>
      <c r="ILE10" s="353"/>
      <c r="ILF10" s="353"/>
      <c r="ILG10" s="353"/>
      <c r="ILH10" s="353"/>
      <c r="ILI10" s="353"/>
      <c r="ILJ10" s="353"/>
      <c r="ILK10" s="353"/>
      <c r="ILL10" s="353"/>
      <c r="ILM10" s="353"/>
      <c r="ILN10" s="353"/>
      <c r="ILO10" s="353"/>
      <c r="ILP10" s="353"/>
      <c r="ILQ10" s="353"/>
      <c r="ILR10" s="353"/>
      <c r="ILS10" s="353"/>
      <c r="ILT10" s="353"/>
      <c r="ILU10" s="353"/>
      <c r="ILV10" s="353"/>
      <c r="ILW10" s="353"/>
      <c r="ILX10" s="353"/>
      <c r="ILY10" s="353"/>
      <c r="ILZ10" s="353"/>
      <c r="IMA10" s="353"/>
      <c r="IMB10" s="353"/>
      <c r="IMC10" s="353"/>
      <c r="IMD10" s="353"/>
      <c r="IME10" s="353"/>
      <c r="IMF10" s="353"/>
      <c r="IMG10" s="353"/>
      <c r="IMH10" s="353"/>
      <c r="IMI10" s="353"/>
      <c r="IMJ10" s="353"/>
      <c r="IMK10" s="353"/>
      <c r="IML10" s="353"/>
      <c r="IMM10" s="353"/>
      <c r="IMN10" s="353"/>
      <c r="IMO10" s="353"/>
      <c r="IMP10" s="353"/>
      <c r="IMQ10" s="353"/>
      <c r="IMR10" s="353"/>
      <c r="IMS10" s="353"/>
      <c r="IMT10" s="353"/>
      <c r="IMU10" s="353"/>
      <c r="IMV10" s="353"/>
      <c r="IMW10" s="353"/>
      <c r="IMX10" s="353"/>
      <c r="IMY10" s="353"/>
      <c r="IMZ10" s="353"/>
      <c r="INA10" s="353"/>
      <c r="INB10" s="353"/>
      <c r="INC10" s="353"/>
      <c r="IND10" s="353"/>
      <c r="INE10" s="353"/>
      <c r="INF10" s="353"/>
      <c r="ING10" s="353"/>
      <c r="INH10" s="353"/>
      <c r="INI10" s="353"/>
      <c r="INJ10" s="353"/>
      <c r="INK10" s="353"/>
      <c r="INL10" s="353"/>
      <c r="INM10" s="353"/>
      <c r="INN10" s="353"/>
      <c r="INO10" s="353"/>
      <c r="INP10" s="353"/>
      <c r="INQ10" s="353"/>
      <c r="INR10" s="353"/>
      <c r="INS10" s="353"/>
      <c r="INT10" s="353"/>
      <c r="INU10" s="353"/>
      <c r="INV10" s="353"/>
      <c r="INW10" s="353"/>
      <c r="INX10" s="353"/>
      <c r="INY10" s="353"/>
      <c r="INZ10" s="353"/>
      <c r="IOA10" s="353"/>
      <c r="IOB10" s="353"/>
      <c r="IOC10" s="353"/>
      <c r="IOD10" s="353"/>
      <c r="IOE10" s="353"/>
      <c r="IOF10" s="353"/>
      <c r="IOG10" s="353"/>
      <c r="IOH10" s="353"/>
      <c r="IOI10" s="353"/>
      <c r="IOJ10" s="353"/>
      <c r="IOK10" s="353"/>
      <c r="IOL10" s="353"/>
      <c r="IOM10" s="353"/>
      <c r="ION10" s="353"/>
      <c r="IOO10" s="353"/>
      <c r="IOP10" s="353"/>
      <c r="IOQ10" s="353"/>
      <c r="IOR10" s="353"/>
      <c r="IOS10" s="353"/>
      <c r="IOT10" s="353"/>
      <c r="IOU10" s="353"/>
      <c r="IOV10" s="353"/>
      <c r="IOW10" s="353"/>
      <c r="IOX10" s="353"/>
      <c r="IOY10" s="353"/>
      <c r="IOZ10" s="353"/>
      <c r="IPA10" s="353"/>
      <c r="IPB10" s="353"/>
      <c r="IPC10" s="353"/>
      <c r="IPD10" s="353"/>
      <c r="IPE10" s="353"/>
      <c r="IPF10" s="353"/>
      <c r="IPG10" s="353"/>
      <c r="IPH10" s="353"/>
      <c r="IPI10" s="353"/>
      <c r="IPJ10" s="353"/>
      <c r="IPK10" s="353"/>
      <c r="IPL10" s="353"/>
      <c r="IPM10" s="353"/>
      <c r="IPN10" s="353"/>
      <c r="IPO10" s="353"/>
      <c r="IPP10" s="353"/>
      <c r="IPQ10" s="353"/>
      <c r="IPR10" s="353"/>
      <c r="IPS10" s="353"/>
      <c r="IPT10" s="353"/>
      <c r="IPU10" s="353"/>
      <c r="IPV10" s="353"/>
      <c r="IPW10" s="353"/>
      <c r="IPX10" s="353"/>
      <c r="IPY10" s="353"/>
      <c r="IPZ10" s="353"/>
      <c r="IQA10" s="353"/>
      <c r="IQB10" s="353"/>
      <c r="IQC10" s="353"/>
      <c r="IQD10" s="353"/>
      <c r="IQE10" s="353"/>
      <c r="IQF10" s="353"/>
      <c r="IQG10" s="353"/>
      <c r="IQH10" s="353"/>
      <c r="IQI10" s="353"/>
      <c r="IQJ10" s="353"/>
      <c r="IQK10" s="353"/>
      <c r="IQL10" s="353"/>
      <c r="IQM10" s="353"/>
      <c r="IQN10" s="353"/>
      <c r="IQO10" s="353"/>
      <c r="IQP10" s="353"/>
      <c r="IQQ10" s="353"/>
      <c r="IQR10" s="353"/>
      <c r="IQS10" s="353"/>
      <c r="IQT10" s="353"/>
      <c r="IQU10" s="353"/>
      <c r="IQV10" s="353"/>
      <c r="IQW10" s="353"/>
      <c r="IQX10" s="353"/>
      <c r="IQY10" s="353"/>
      <c r="IQZ10" s="353"/>
      <c r="IRA10" s="353"/>
      <c r="IRB10" s="353"/>
      <c r="IRC10" s="353"/>
      <c r="IRD10" s="353"/>
      <c r="IRE10" s="353"/>
      <c r="IRF10" s="353"/>
      <c r="IRG10" s="353"/>
      <c r="IRH10" s="353"/>
      <c r="IRI10" s="353"/>
      <c r="IRJ10" s="353"/>
      <c r="IRK10" s="353"/>
      <c r="IRL10" s="353"/>
      <c r="IRM10" s="353"/>
      <c r="IRN10" s="353"/>
      <c r="IRO10" s="353"/>
      <c r="IRP10" s="353"/>
      <c r="IRQ10" s="353"/>
      <c r="IRR10" s="353"/>
      <c r="IRS10" s="353"/>
      <c r="IRT10" s="353"/>
      <c r="IRU10" s="353"/>
      <c r="IRV10" s="353"/>
      <c r="IRW10" s="353"/>
      <c r="IRX10" s="353"/>
      <c r="IRY10" s="353"/>
      <c r="IRZ10" s="353"/>
      <c r="ISA10" s="353"/>
      <c r="ISB10" s="353"/>
      <c r="ISC10" s="353"/>
      <c r="ISD10" s="353"/>
      <c r="ISE10" s="353"/>
      <c r="ISF10" s="353"/>
      <c r="ISG10" s="353"/>
      <c r="ISH10" s="353"/>
      <c r="ISI10" s="353"/>
      <c r="ISJ10" s="353"/>
      <c r="ISK10" s="353"/>
      <c r="ISL10" s="353"/>
      <c r="ISM10" s="353"/>
      <c r="ISN10" s="353"/>
      <c r="ISO10" s="353"/>
      <c r="ISP10" s="353"/>
      <c r="ISQ10" s="353"/>
      <c r="ISR10" s="353"/>
      <c r="ISS10" s="353"/>
      <c r="IST10" s="353"/>
      <c r="ISU10" s="353"/>
      <c r="ISV10" s="353"/>
      <c r="ISW10" s="353"/>
      <c r="ISX10" s="353"/>
      <c r="ISY10" s="353"/>
      <c r="ISZ10" s="353"/>
      <c r="ITA10" s="353"/>
      <c r="ITB10" s="353"/>
      <c r="ITC10" s="353"/>
      <c r="ITD10" s="353"/>
      <c r="ITE10" s="353"/>
      <c r="ITF10" s="353"/>
      <c r="ITG10" s="353"/>
      <c r="ITH10" s="353"/>
      <c r="ITI10" s="353"/>
      <c r="ITJ10" s="353"/>
      <c r="ITK10" s="353"/>
      <c r="ITL10" s="353"/>
      <c r="ITM10" s="353"/>
      <c r="ITN10" s="353"/>
      <c r="ITO10" s="353"/>
      <c r="ITP10" s="353"/>
      <c r="ITQ10" s="353"/>
      <c r="ITR10" s="353"/>
      <c r="ITS10" s="353"/>
      <c r="ITT10" s="353"/>
      <c r="ITU10" s="353"/>
      <c r="ITV10" s="353"/>
      <c r="ITW10" s="353"/>
      <c r="ITX10" s="353"/>
      <c r="ITY10" s="353"/>
      <c r="ITZ10" s="353"/>
      <c r="IUA10" s="353"/>
      <c r="IUB10" s="353"/>
      <c r="IUC10" s="353"/>
      <c r="IUD10" s="353"/>
      <c r="IUE10" s="353"/>
      <c r="IUF10" s="353"/>
      <c r="IUG10" s="353"/>
      <c r="IUH10" s="353"/>
      <c r="IUI10" s="353"/>
      <c r="IUJ10" s="353"/>
      <c r="IUK10" s="353"/>
      <c r="IUL10" s="353"/>
      <c r="IUM10" s="353"/>
      <c r="IUN10" s="353"/>
      <c r="IUO10" s="353"/>
      <c r="IUP10" s="353"/>
      <c r="IUQ10" s="353"/>
      <c r="IUR10" s="353"/>
      <c r="IUS10" s="353"/>
      <c r="IUT10" s="353"/>
      <c r="IUU10" s="353"/>
      <c r="IUV10" s="353"/>
      <c r="IUW10" s="353"/>
      <c r="IUX10" s="353"/>
      <c r="IUY10" s="353"/>
      <c r="IUZ10" s="353"/>
      <c r="IVA10" s="353"/>
      <c r="IVB10" s="353"/>
      <c r="IVC10" s="353"/>
      <c r="IVD10" s="353"/>
      <c r="IVE10" s="353"/>
      <c r="IVF10" s="353"/>
      <c r="IVG10" s="353"/>
      <c r="IVH10" s="353"/>
      <c r="IVI10" s="353"/>
      <c r="IVJ10" s="353"/>
      <c r="IVK10" s="353"/>
      <c r="IVL10" s="353"/>
      <c r="IVM10" s="353"/>
      <c r="IVN10" s="353"/>
      <c r="IVO10" s="353"/>
      <c r="IVP10" s="353"/>
      <c r="IVQ10" s="353"/>
      <c r="IVR10" s="353"/>
      <c r="IVS10" s="353"/>
      <c r="IVT10" s="353"/>
      <c r="IVU10" s="353"/>
      <c r="IVV10" s="353"/>
      <c r="IVW10" s="353"/>
      <c r="IVX10" s="353"/>
      <c r="IVY10" s="353"/>
      <c r="IVZ10" s="353"/>
      <c r="IWA10" s="353"/>
      <c r="IWB10" s="353"/>
      <c r="IWC10" s="353"/>
      <c r="IWD10" s="353"/>
      <c r="IWE10" s="353"/>
      <c r="IWF10" s="353"/>
      <c r="IWG10" s="353"/>
      <c r="IWH10" s="353"/>
      <c r="IWI10" s="353"/>
      <c r="IWJ10" s="353"/>
      <c r="IWK10" s="353"/>
      <c r="IWL10" s="353"/>
      <c r="IWM10" s="353"/>
      <c r="IWN10" s="353"/>
      <c r="IWO10" s="353"/>
      <c r="IWP10" s="353"/>
      <c r="IWQ10" s="353"/>
      <c r="IWR10" s="353"/>
      <c r="IWS10" s="353"/>
      <c r="IWT10" s="353"/>
      <c r="IWU10" s="353"/>
      <c r="IWV10" s="353"/>
      <c r="IWW10" s="353"/>
      <c r="IWX10" s="353"/>
      <c r="IWY10" s="353"/>
      <c r="IWZ10" s="353"/>
      <c r="IXA10" s="353"/>
      <c r="IXB10" s="353"/>
      <c r="IXC10" s="353"/>
      <c r="IXD10" s="353"/>
      <c r="IXE10" s="353"/>
      <c r="IXF10" s="353"/>
      <c r="IXG10" s="353"/>
      <c r="IXH10" s="353"/>
      <c r="IXI10" s="353"/>
      <c r="IXJ10" s="353"/>
      <c r="IXK10" s="353"/>
      <c r="IXL10" s="353"/>
      <c r="IXM10" s="353"/>
      <c r="IXN10" s="353"/>
      <c r="IXO10" s="353"/>
      <c r="IXP10" s="353"/>
      <c r="IXQ10" s="353"/>
      <c r="IXR10" s="353"/>
      <c r="IXS10" s="353"/>
      <c r="IXT10" s="353"/>
      <c r="IXU10" s="353"/>
      <c r="IXV10" s="353"/>
      <c r="IXW10" s="353"/>
      <c r="IXX10" s="353"/>
      <c r="IXY10" s="353"/>
      <c r="IXZ10" s="353"/>
      <c r="IYA10" s="353"/>
      <c r="IYB10" s="353"/>
      <c r="IYC10" s="353"/>
      <c r="IYD10" s="353"/>
      <c r="IYE10" s="353"/>
      <c r="IYF10" s="353"/>
      <c r="IYG10" s="353"/>
      <c r="IYH10" s="353"/>
      <c r="IYI10" s="353"/>
      <c r="IYJ10" s="353"/>
      <c r="IYK10" s="353"/>
      <c r="IYL10" s="353"/>
      <c r="IYM10" s="353"/>
      <c r="IYN10" s="353"/>
      <c r="IYO10" s="353"/>
      <c r="IYP10" s="353"/>
      <c r="IYQ10" s="353"/>
      <c r="IYR10" s="353"/>
      <c r="IYS10" s="353"/>
      <c r="IYT10" s="353"/>
      <c r="IYU10" s="353"/>
      <c r="IYV10" s="353"/>
      <c r="IYW10" s="353"/>
      <c r="IYX10" s="353"/>
      <c r="IYY10" s="353"/>
      <c r="IYZ10" s="353"/>
      <c r="IZA10" s="353"/>
      <c r="IZB10" s="353"/>
      <c r="IZC10" s="353"/>
      <c r="IZD10" s="353"/>
      <c r="IZE10" s="353"/>
      <c r="IZF10" s="353"/>
      <c r="IZG10" s="353"/>
      <c r="IZH10" s="353"/>
      <c r="IZI10" s="353"/>
      <c r="IZJ10" s="353"/>
      <c r="IZK10" s="353"/>
      <c r="IZL10" s="353"/>
      <c r="IZM10" s="353"/>
      <c r="IZN10" s="353"/>
      <c r="IZO10" s="353"/>
      <c r="IZP10" s="353"/>
      <c r="IZQ10" s="353"/>
      <c r="IZR10" s="353"/>
      <c r="IZS10" s="353"/>
      <c r="IZT10" s="353"/>
      <c r="IZU10" s="353"/>
      <c r="IZV10" s="353"/>
      <c r="IZW10" s="353"/>
      <c r="IZX10" s="353"/>
      <c r="IZY10" s="353"/>
      <c r="IZZ10" s="353"/>
      <c r="JAA10" s="353"/>
      <c r="JAB10" s="353"/>
      <c r="JAC10" s="353"/>
      <c r="JAD10" s="353"/>
      <c r="JAE10" s="353"/>
      <c r="JAF10" s="353"/>
      <c r="JAG10" s="353"/>
      <c r="JAH10" s="353"/>
      <c r="JAI10" s="353"/>
      <c r="JAJ10" s="353"/>
      <c r="JAK10" s="353"/>
      <c r="JAL10" s="353"/>
      <c r="JAM10" s="353"/>
      <c r="JAN10" s="353"/>
      <c r="JAO10" s="353"/>
      <c r="JAP10" s="353"/>
      <c r="JAQ10" s="353"/>
      <c r="JAR10" s="353"/>
      <c r="JAS10" s="353"/>
      <c r="JAT10" s="353"/>
      <c r="JAU10" s="353"/>
      <c r="JAV10" s="353"/>
      <c r="JAW10" s="353"/>
      <c r="JAX10" s="353"/>
      <c r="JAY10" s="353"/>
      <c r="JAZ10" s="353"/>
      <c r="JBA10" s="353"/>
      <c r="JBB10" s="353"/>
      <c r="JBC10" s="353"/>
      <c r="JBD10" s="353"/>
      <c r="JBE10" s="353"/>
      <c r="JBF10" s="353"/>
      <c r="JBG10" s="353"/>
      <c r="JBH10" s="353"/>
      <c r="JBI10" s="353"/>
      <c r="JBJ10" s="353"/>
      <c r="JBK10" s="353"/>
      <c r="JBL10" s="353"/>
      <c r="JBM10" s="353"/>
      <c r="JBN10" s="353"/>
      <c r="JBO10" s="353"/>
      <c r="JBP10" s="353"/>
      <c r="JBQ10" s="353"/>
      <c r="JBR10" s="353"/>
      <c r="JBS10" s="353"/>
      <c r="JBT10" s="353"/>
      <c r="JBU10" s="353"/>
      <c r="JBV10" s="353"/>
      <c r="JBW10" s="353"/>
      <c r="JBX10" s="353"/>
      <c r="JBY10" s="353"/>
      <c r="JBZ10" s="353"/>
      <c r="JCA10" s="353"/>
      <c r="JCB10" s="353"/>
      <c r="JCC10" s="353"/>
      <c r="JCD10" s="353"/>
      <c r="JCE10" s="353"/>
      <c r="JCF10" s="353"/>
      <c r="JCG10" s="353"/>
      <c r="JCH10" s="353"/>
      <c r="JCI10" s="353"/>
      <c r="JCJ10" s="353"/>
      <c r="JCK10" s="353"/>
      <c r="JCL10" s="353"/>
      <c r="JCM10" s="353"/>
      <c r="JCN10" s="353"/>
      <c r="JCO10" s="353"/>
      <c r="JCP10" s="353"/>
      <c r="JCQ10" s="353"/>
      <c r="JCR10" s="353"/>
      <c r="JCS10" s="353"/>
      <c r="JCT10" s="353"/>
      <c r="JCU10" s="353"/>
      <c r="JCV10" s="353"/>
      <c r="JCW10" s="353"/>
      <c r="JCX10" s="353"/>
      <c r="JCY10" s="353"/>
      <c r="JCZ10" s="353"/>
      <c r="JDA10" s="353"/>
      <c r="JDB10" s="353"/>
      <c r="JDC10" s="353"/>
      <c r="JDD10" s="353"/>
      <c r="JDE10" s="353"/>
      <c r="JDF10" s="353"/>
      <c r="JDG10" s="353"/>
      <c r="JDH10" s="353"/>
      <c r="JDI10" s="353"/>
      <c r="JDJ10" s="353"/>
      <c r="JDK10" s="353"/>
      <c r="JDL10" s="353"/>
      <c r="JDM10" s="353"/>
      <c r="JDN10" s="353"/>
      <c r="JDO10" s="353"/>
      <c r="JDP10" s="353"/>
      <c r="JDQ10" s="353"/>
      <c r="JDR10" s="353"/>
      <c r="JDS10" s="353"/>
      <c r="JDT10" s="353"/>
      <c r="JDU10" s="353"/>
      <c r="JDV10" s="353"/>
      <c r="JDW10" s="353"/>
      <c r="JDX10" s="353"/>
      <c r="JDY10" s="353"/>
      <c r="JDZ10" s="353"/>
      <c r="JEA10" s="353"/>
      <c r="JEB10" s="353"/>
      <c r="JEC10" s="353"/>
      <c r="JED10" s="353"/>
      <c r="JEE10" s="353"/>
      <c r="JEF10" s="353"/>
      <c r="JEG10" s="353"/>
      <c r="JEH10" s="353"/>
      <c r="JEI10" s="353"/>
      <c r="JEJ10" s="353"/>
      <c r="JEK10" s="353"/>
      <c r="JEL10" s="353"/>
      <c r="JEM10" s="353"/>
      <c r="JEN10" s="353"/>
      <c r="JEO10" s="353"/>
      <c r="JEP10" s="353"/>
      <c r="JEQ10" s="353"/>
      <c r="JER10" s="353"/>
      <c r="JES10" s="353"/>
      <c r="JET10" s="353"/>
      <c r="JEU10" s="353"/>
      <c r="JEV10" s="353"/>
      <c r="JEW10" s="353"/>
      <c r="JEX10" s="353"/>
      <c r="JEY10" s="353"/>
      <c r="JEZ10" s="353"/>
      <c r="JFA10" s="353"/>
      <c r="JFB10" s="353"/>
      <c r="JFC10" s="353"/>
      <c r="JFD10" s="353"/>
      <c r="JFE10" s="353"/>
      <c r="JFF10" s="353"/>
      <c r="JFG10" s="353"/>
      <c r="JFH10" s="353"/>
      <c r="JFI10" s="353"/>
      <c r="JFJ10" s="353"/>
      <c r="JFK10" s="353"/>
      <c r="JFL10" s="353"/>
      <c r="JFM10" s="353"/>
      <c r="JFN10" s="353"/>
      <c r="JFO10" s="353"/>
      <c r="JFP10" s="353"/>
      <c r="JFQ10" s="353"/>
      <c r="JFR10" s="353"/>
      <c r="JFS10" s="353"/>
      <c r="JFT10" s="353"/>
      <c r="JFU10" s="353"/>
      <c r="JFV10" s="353"/>
      <c r="JFW10" s="353"/>
      <c r="JFX10" s="353"/>
      <c r="JFY10" s="353"/>
      <c r="JFZ10" s="353"/>
      <c r="JGA10" s="353"/>
      <c r="JGB10" s="353"/>
      <c r="JGC10" s="353"/>
      <c r="JGD10" s="353"/>
      <c r="JGE10" s="353"/>
      <c r="JGF10" s="353"/>
      <c r="JGG10" s="353"/>
      <c r="JGH10" s="353"/>
      <c r="JGI10" s="353"/>
      <c r="JGJ10" s="353"/>
      <c r="JGK10" s="353"/>
      <c r="JGL10" s="353"/>
      <c r="JGM10" s="353"/>
      <c r="JGN10" s="353"/>
      <c r="JGO10" s="353"/>
      <c r="JGP10" s="353"/>
      <c r="JGQ10" s="353"/>
      <c r="JGR10" s="353"/>
      <c r="JGS10" s="353"/>
      <c r="JGT10" s="353"/>
      <c r="JGU10" s="353"/>
      <c r="JGV10" s="353"/>
      <c r="JGW10" s="353"/>
      <c r="JGX10" s="353"/>
      <c r="JGY10" s="353"/>
      <c r="JGZ10" s="353"/>
      <c r="JHA10" s="353"/>
      <c r="JHB10" s="353"/>
      <c r="JHC10" s="353"/>
      <c r="JHD10" s="353"/>
      <c r="JHE10" s="353"/>
      <c r="JHF10" s="353"/>
      <c r="JHG10" s="353"/>
      <c r="JHH10" s="353"/>
      <c r="JHI10" s="353"/>
      <c r="JHJ10" s="353"/>
      <c r="JHK10" s="353"/>
      <c r="JHL10" s="353"/>
      <c r="JHM10" s="353"/>
      <c r="JHN10" s="353"/>
      <c r="JHO10" s="353"/>
      <c r="JHP10" s="353"/>
      <c r="JHQ10" s="353"/>
      <c r="JHR10" s="353"/>
      <c r="JHS10" s="353"/>
      <c r="JHT10" s="353"/>
      <c r="JHU10" s="353"/>
      <c r="JHV10" s="353"/>
      <c r="JHW10" s="353"/>
      <c r="JHX10" s="353"/>
      <c r="JHY10" s="353"/>
      <c r="JHZ10" s="353"/>
      <c r="JIA10" s="353"/>
      <c r="JIB10" s="353"/>
      <c r="JIC10" s="353"/>
      <c r="JID10" s="353"/>
      <c r="JIE10" s="353"/>
      <c r="JIF10" s="353"/>
      <c r="JIG10" s="353"/>
      <c r="JIH10" s="353"/>
      <c r="JII10" s="353"/>
      <c r="JIJ10" s="353"/>
      <c r="JIK10" s="353"/>
      <c r="JIL10" s="353"/>
      <c r="JIM10" s="353"/>
      <c r="JIN10" s="353"/>
      <c r="JIO10" s="353"/>
      <c r="JIP10" s="353"/>
      <c r="JIQ10" s="353"/>
      <c r="JIR10" s="353"/>
      <c r="JIS10" s="353"/>
      <c r="JIT10" s="353"/>
      <c r="JIU10" s="353"/>
      <c r="JIV10" s="353"/>
      <c r="JIW10" s="353"/>
      <c r="JIX10" s="353"/>
      <c r="JIY10" s="353"/>
      <c r="JIZ10" s="353"/>
      <c r="JJA10" s="353"/>
      <c r="JJB10" s="353"/>
      <c r="JJC10" s="353"/>
      <c r="JJD10" s="353"/>
      <c r="JJE10" s="353"/>
      <c r="JJF10" s="353"/>
      <c r="JJG10" s="353"/>
      <c r="JJH10" s="353"/>
      <c r="JJI10" s="353"/>
      <c r="JJJ10" s="353"/>
      <c r="JJK10" s="353"/>
      <c r="JJL10" s="353"/>
      <c r="JJM10" s="353"/>
      <c r="JJN10" s="353"/>
      <c r="JJO10" s="353"/>
      <c r="JJP10" s="353"/>
      <c r="JJQ10" s="353"/>
      <c r="JJR10" s="353"/>
      <c r="JJS10" s="353"/>
      <c r="JJT10" s="353"/>
      <c r="JJU10" s="353"/>
      <c r="JJV10" s="353"/>
      <c r="JJW10" s="353"/>
      <c r="JJX10" s="353"/>
      <c r="JJY10" s="353"/>
      <c r="JJZ10" s="353"/>
      <c r="JKA10" s="353"/>
      <c r="JKB10" s="353"/>
      <c r="JKC10" s="353"/>
      <c r="JKD10" s="353"/>
      <c r="JKE10" s="353"/>
      <c r="JKF10" s="353"/>
      <c r="JKG10" s="353"/>
      <c r="JKH10" s="353"/>
      <c r="JKI10" s="353"/>
      <c r="JKJ10" s="353"/>
      <c r="JKK10" s="353"/>
      <c r="JKL10" s="353"/>
      <c r="JKM10" s="353"/>
      <c r="JKN10" s="353"/>
      <c r="JKO10" s="353"/>
      <c r="JKP10" s="353"/>
      <c r="JKQ10" s="353"/>
      <c r="JKR10" s="353"/>
      <c r="JKS10" s="353"/>
      <c r="JKT10" s="353"/>
      <c r="JKU10" s="353"/>
      <c r="JKV10" s="353"/>
      <c r="JKW10" s="353"/>
      <c r="JKX10" s="353"/>
      <c r="JKY10" s="353"/>
      <c r="JKZ10" s="353"/>
      <c r="JLA10" s="353"/>
      <c r="JLB10" s="353"/>
      <c r="JLC10" s="353"/>
      <c r="JLD10" s="353"/>
      <c r="JLE10" s="353"/>
      <c r="JLF10" s="353"/>
      <c r="JLG10" s="353"/>
      <c r="JLH10" s="353"/>
      <c r="JLI10" s="353"/>
      <c r="JLJ10" s="353"/>
      <c r="JLK10" s="353"/>
      <c r="JLL10" s="353"/>
      <c r="JLM10" s="353"/>
      <c r="JLN10" s="353"/>
      <c r="JLO10" s="353"/>
      <c r="JLP10" s="353"/>
      <c r="JLQ10" s="353"/>
      <c r="JLR10" s="353"/>
      <c r="JLS10" s="353"/>
      <c r="JLT10" s="353"/>
      <c r="JLU10" s="353"/>
      <c r="JLV10" s="353"/>
      <c r="JLW10" s="353"/>
      <c r="JLX10" s="353"/>
      <c r="JLY10" s="353"/>
      <c r="JLZ10" s="353"/>
      <c r="JMA10" s="353"/>
      <c r="JMB10" s="353"/>
      <c r="JMC10" s="353"/>
      <c r="JMD10" s="353"/>
      <c r="JME10" s="353"/>
      <c r="JMF10" s="353"/>
      <c r="JMG10" s="353"/>
      <c r="JMH10" s="353"/>
      <c r="JMI10" s="353"/>
      <c r="JMJ10" s="353"/>
      <c r="JMK10" s="353"/>
      <c r="JML10" s="353"/>
      <c r="JMM10" s="353"/>
      <c r="JMN10" s="353"/>
      <c r="JMO10" s="353"/>
      <c r="JMP10" s="353"/>
      <c r="JMQ10" s="353"/>
      <c r="JMR10" s="353"/>
      <c r="JMS10" s="353"/>
      <c r="JMT10" s="353"/>
      <c r="JMU10" s="353"/>
      <c r="JMV10" s="353"/>
      <c r="JMW10" s="353"/>
      <c r="JMX10" s="353"/>
      <c r="JMY10" s="353"/>
      <c r="JMZ10" s="353"/>
      <c r="JNA10" s="353"/>
      <c r="JNB10" s="353"/>
      <c r="JNC10" s="353"/>
      <c r="JND10" s="353"/>
      <c r="JNE10" s="353"/>
      <c r="JNF10" s="353"/>
      <c r="JNG10" s="353"/>
      <c r="JNH10" s="353"/>
      <c r="JNI10" s="353"/>
      <c r="JNJ10" s="353"/>
      <c r="JNK10" s="353"/>
      <c r="JNL10" s="353"/>
      <c r="JNM10" s="353"/>
      <c r="JNN10" s="353"/>
      <c r="JNO10" s="353"/>
      <c r="JNP10" s="353"/>
      <c r="JNQ10" s="353"/>
      <c r="JNR10" s="353"/>
      <c r="JNS10" s="353"/>
      <c r="JNT10" s="353"/>
      <c r="JNU10" s="353"/>
      <c r="JNV10" s="353"/>
      <c r="JNW10" s="353"/>
      <c r="JNX10" s="353"/>
      <c r="JNY10" s="353"/>
      <c r="JNZ10" s="353"/>
      <c r="JOA10" s="353"/>
      <c r="JOB10" s="353"/>
      <c r="JOC10" s="353"/>
      <c r="JOD10" s="353"/>
      <c r="JOE10" s="353"/>
      <c r="JOF10" s="353"/>
      <c r="JOG10" s="353"/>
      <c r="JOH10" s="353"/>
      <c r="JOI10" s="353"/>
      <c r="JOJ10" s="353"/>
      <c r="JOK10" s="353"/>
      <c r="JOL10" s="353"/>
      <c r="JOM10" s="353"/>
      <c r="JON10" s="353"/>
      <c r="JOO10" s="353"/>
      <c r="JOP10" s="353"/>
      <c r="JOQ10" s="353"/>
      <c r="JOR10" s="353"/>
      <c r="JOS10" s="353"/>
      <c r="JOT10" s="353"/>
      <c r="JOU10" s="353"/>
      <c r="JOV10" s="353"/>
      <c r="JOW10" s="353"/>
      <c r="JOX10" s="353"/>
      <c r="JOY10" s="353"/>
      <c r="JOZ10" s="353"/>
      <c r="JPA10" s="353"/>
      <c r="JPB10" s="353"/>
      <c r="JPC10" s="353"/>
      <c r="JPD10" s="353"/>
      <c r="JPE10" s="353"/>
      <c r="JPF10" s="353"/>
      <c r="JPG10" s="353"/>
      <c r="JPH10" s="353"/>
      <c r="JPI10" s="353"/>
      <c r="JPJ10" s="353"/>
      <c r="JPK10" s="353"/>
      <c r="JPL10" s="353"/>
      <c r="JPM10" s="353"/>
      <c r="JPN10" s="353"/>
      <c r="JPO10" s="353"/>
      <c r="JPP10" s="353"/>
      <c r="JPQ10" s="353"/>
      <c r="JPR10" s="353"/>
      <c r="JPS10" s="353"/>
      <c r="JPT10" s="353"/>
      <c r="JPU10" s="353"/>
      <c r="JPV10" s="353"/>
      <c r="JPW10" s="353"/>
      <c r="JPX10" s="353"/>
      <c r="JPY10" s="353"/>
      <c r="JPZ10" s="353"/>
      <c r="JQA10" s="353"/>
      <c r="JQB10" s="353"/>
      <c r="JQC10" s="353"/>
      <c r="JQD10" s="353"/>
      <c r="JQE10" s="353"/>
      <c r="JQF10" s="353"/>
      <c r="JQG10" s="353"/>
      <c r="JQH10" s="353"/>
      <c r="JQI10" s="353"/>
      <c r="JQJ10" s="353"/>
      <c r="JQK10" s="353"/>
      <c r="JQL10" s="353"/>
      <c r="JQM10" s="353"/>
      <c r="JQN10" s="353"/>
      <c r="JQO10" s="353"/>
      <c r="JQP10" s="353"/>
      <c r="JQQ10" s="353"/>
      <c r="JQR10" s="353"/>
      <c r="JQS10" s="353"/>
      <c r="JQT10" s="353"/>
      <c r="JQU10" s="353"/>
      <c r="JQV10" s="353"/>
      <c r="JQW10" s="353"/>
      <c r="JQX10" s="353"/>
      <c r="JQY10" s="353"/>
      <c r="JQZ10" s="353"/>
      <c r="JRA10" s="353"/>
      <c r="JRB10" s="353"/>
      <c r="JRC10" s="353"/>
      <c r="JRD10" s="353"/>
      <c r="JRE10" s="353"/>
      <c r="JRF10" s="353"/>
      <c r="JRG10" s="353"/>
      <c r="JRH10" s="353"/>
      <c r="JRI10" s="353"/>
      <c r="JRJ10" s="353"/>
      <c r="JRK10" s="353"/>
      <c r="JRL10" s="353"/>
      <c r="JRM10" s="353"/>
      <c r="JRN10" s="353"/>
      <c r="JRO10" s="353"/>
      <c r="JRP10" s="353"/>
      <c r="JRQ10" s="353"/>
      <c r="JRR10" s="353"/>
      <c r="JRS10" s="353"/>
      <c r="JRT10" s="353"/>
      <c r="JRU10" s="353"/>
      <c r="JRV10" s="353"/>
      <c r="JRW10" s="353"/>
      <c r="JRX10" s="353"/>
      <c r="JRY10" s="353"/>
      <c r="JRZ10" s="353"/>
      <c r="JSA10" s="353"/>
      <c r="JSB10" s="353"/>
      <c r="JSC10" s="353"/>
      <c r="JSD10" s="353"/>
      <c r="JSE10" s="353"/>
      <c r="JSF10" s="353"/>
      <c r="JSG10" s="353"/>
      <c r="JSH10" s="353"/>
      <c r="JSI10" s="353"/>
      <c r="JSJ10" s="353"/>
      <c r="JSK10" s="353"/>
      <c r="JSL10" s="353"/>
      <c r="JSM10" s="353"/>
      <c r="JSN10" s="353"/>
      <c r="JSO10" s="353"/>
      <c r="JSP10" s="353"/>
      <c r="JSQ10" s="353"/>
      <c r="JSR10" s="353"/>
      <c r="JSS10" s="353"/>
      <c r="JST10" s="353"/>
      <c r="JSU10" s="353"/>
      <c r="JSV10" s="353"/>
      <c r="JSW10" s="353"/>
      <c r="JSX10" s="353"/>
      <c r="JSY10" s="353"/>
      <c r="JSZ10" s="353"/>
      <c r="JTA10" s="353"/>
      <c r="JTB10" s="353"/>
      <c r="JTC10" s="353"/>
      <c r="JTD10" s="353"/>
      <c r="JTE10" s="353"/>
      <c r="JTF10" s="353"/>
      <c r="JTG10" s="353"/>
      <c r="JTH10" s="353"/>
      <c r="JTI10" s="353"/>
      <c r="JTJ10" s="353"/>
      <c r="JTK10" s="353"/>
      <c r="JTL10" s="353"/>
      <c r="JTM10" s="353"/>
      <c r="JTN10" s="353"/>
      <c r="JTO10" s="353"/>
      <c r="JTP10" s="353"/>
      <c r="JTQ10" s="353"/>
      <c r="JTR10" s="353"/>
      <c r="JTS10" s="353"/>
      <c r="JTT10" s="353"/>
      <c r="JTU10" s="353"/>
      <c r="JTV10" s="353"/>
      <c r="JTW10" s="353"/>
      <c r="JTX10" s="353"/>
      <c r="JTY10" s="353"/>
      <c r="JTZ10" s="353"/>
      <c r="JUA10" s="353"/>
      <c r="JUB10" s="353"/>
      <c r="JUC10" s="353"/>
      <c r="JUD10" s="353"/>
      <c r="JUE10" s="353"/>
      <c r="JUF10" s="353"/>
      <c r="JUG10" s="353"/>
      <c r="JUH10" s="353"/>
      <c r="JUI10" s="353"/>
      <c r="JUJ10" s="353"/>
      <c r="JUK10" s="353"/>
      <c r="JUL10" s="353"/>
      <c r="JUM10" s="353"/>
      <c r="JUN10" s="353"/>
      <c r="JUO10" s="353"/>
      <c r="JUP10" s="353"/>
      <c r="JUQ10" s="353"/>
      <c r="JUR10" s="353"/>
      <c r="JUS10" s="353"/>
      <c r="JUT10" s="353"/>
      <c r="JUU10" s="353"/>
      <c r="JUV10" s="353"/>
      <c r="JUW10" s="353"/>
      <c r="JUX10" s="353"/>
      <c r="JUY10" s="353"/>
      <c r="JUZ10" s="353"/>
      <c r="JVA10" s="353"/>
      <c r="JVB10" s="353"/>
      <c r="JVC10" s="353"/>
      <c r="JVD10" s="353"/>
      <c r="JVE10" s="353"/>
      <c r="JVF10" s="353"/>
      <c r="JVG10" s="353"/>
      <c r="JVH10" s="353"/>
      <c r="JVI10" s="353"/>
      <c r="JVJ10" s="353"/>
      <c r="JVK10" s="353"/>
      <c r="JVL10" s="353"/>
      <c r="JVM10" s="353"/>
      <c r="JVN10" s="353"/>
      <c r="JVO10" s="353"/>
      <c r="JVP10" s="353"/>
      <c r="JVQ10" s="353"/>
      <c r="JVR10" s="353"/>
      <c r="JVS10" s="353"/>
      <c r="JVT10" s="353"/>
      <c r="JVU10" s="353"/>
      <c r="JVV10" s="353"/>
      <c r="JVW10" s="353"/>
      <c r="JVX10" s="353"/>
      <c r="JVY10" s="353"/>
      <c r="JVZ10" s="353"/>
      <c r="JWA10" s="353"/>
      <c r="JWB10" s="353"/>
      <c r="JWC10" s="353"/>
      <c r="JWD10" s="353"/>
      <c r="JWE10" s="353"/>
      <c r="JWF10" s="353"/>
      <c r="JWG10" s="353"/>
      <c r="JWH10" s="353"/>
      <c r="JWI10" s="353"/>
      <c r="JWJ10" s="353"/>
      <c r="JWK10" s="353"/>
      <c r="JWL10" s="353"/>
      <c r="JWM10" s="353"/>
      <c r="JWN10" s="353"/>
      <c r="JWO10" s="353"/>
      <c r="JWP10" s="353"/>
      <c r="JWQ10" s="353"/>
      <c r="JWR10" s="353"/>
      <c r="JWS10" s="353"/>
      <c r="JWT10" s="353"/>
      <c r="JWU10" s="353"/>
      <c r="JWV10" s="353"/>
      <c r="JWW10" s="353"/>
      <c r="JWX10" s="353"/>
      <c r="JWY10" s="353"/>
      <c r="JWZ10" s="353"/>
      <c r="JXA10" s="353"/>
      <c r="JXB10" s="353"/>
      <c r="JXC10" s="353"/>
      <c r="JXD10" s="353"/>
      <c r="JXE10" s="353"/>
      <c r="JXF10" s="353"/>
      <c r="JXG10" s="353"/>
      <c r="JXH10" s="353"/>
      <c r="JXI10" s="353"/>
      <c r="JXJ10" s="353"/>
      <c r="JXK10" s="353"/>
      <c r="JXL10" s="353"/>
      <c r="JXM10" s="353"/>
      <c r="JXN10" s="353"/>
      <c r="JXO10" s="353"/>
      <c r="JXP10" s="353"/>
      <c r="JXQ10" s="353"/>
      <c r="JXR10" s="353"/>
      <c r="JXS10" s="353"/>
      <c r="JXT10" s="353"/>
      <c r="JXU10" s="353"/>
      <c r="JXV10" s="353"/>
      <c r="JXW10" s="353"/>
      <c r="JXX10" s="353"/>
      <c r="JXY10" s="353"/>
      <c r="JXZ10" s="353"/>
      <c r="JYA10" s="353"/>
      <c r="JYB10" s="353"/>
      <c r="JYC10" s="353"/>
      <c r="JYD10" s="353"/>
      <c r="JYE10" s="353"/>
      <c r="JYF10" s="353"/>
      <c r="JYG10" s="353"/>
      <c r="JYH10" s="353"/>
      <c r="JYI10" s="353"/>
      <c r="JYJ10" s="353"/>
      <c r="JYK10" s="353"/>
      <c r="JYL10" s="353"/>
      <c r="JYM10" s="353"/>
      <c r="JYN10" s="353"/>
      <c r="JYO10" s="353"/>
      <c r="JYP10" s="353"/>
      <c r="JYQ10" s="353"/>
      <c r="JYR10" s="353"/>
      <c r="JYS10" s="353"/>
      <c r="JYT10" s="353"/>
      <c r="JYU10" s="353"/>
      <c r="JYV10" s="353"/>
      <c r="JYW10" s="353"/>
      <c r="JYX10" s="353"/>
      <c r="JYY10" s="353"/>
      <c r="JYZ10" s="353"/>
      <c r="JZA10" s="353"/>
      <c r="JZB10" s="353"/>
      <c r="JZC10" s="353"/>
      <c r="JZD10" s="353"/>
      <c r="JZE10" s="353"/>
      <c r="JZF10" s="353"/>
      <c r="JZG10" s="353"/>
      <c r="JZH10" s="353"/>
      <c r="JZI10" s="353"/>
      <c r="JZJ10" s="353"/>
      <c r="JZK10" s="353"/>
      <c r="JZL10" s="353"/>
      <c r="JZM10" s="353"/>
      <c r="JZN10" s="353"/>
      <c r="JZO10" s="353"/>
      <c r="JZP10" s="353"/>
      <c r="JZQ10" s="353"/>
      <c r="JZR10" s="353"/>
      <c r="JZS10" s="353"/>
      <c r="JZT10" s="353"/>
      <c r="JZU10" s="353"/>
      <c r="JZV10" s="353"/>
      <c r="JZW10" s="353"/>
      <c r="JZX10" s="353"/>
      <c r="JZY10" s="353"/>
      <c r="JZZ10" s="353"/>
      <c r="KAA10" s="353"/>
      <c r="KAB10" s="353"/>
      <c r="KAC10" s="353"/>
      <c r="KAD10" s="353"/>
      <c r="KAE10" s="353"/>
      <c r="KAF10" s="353"/>
      <c r="KAG10" s="353"/>
      <c r="KAH10" s="353"/>
      <c r="KAI10" s="353"/>
      <c r="KAJ10" s="353"/>
      <c r="KAK10" s="353"/>
      <c r="KAL10" s="353"/>
      <c r="KAM10" s="353"/>
      <c r="KAN10" s="353"/>
      <c r="KAO10" s="353"/>
      <c r="KAP10" s="353"/>
      <c r="KAQ10" s="353"/>
      <c r="KAR10" s="353"/>
      <c r="KAS10" s="353"/>
      <c r="KAT10" s="353"/>
      <c r="KAU10" s="353"/>
      <c r="KAV10" s="353"/>
      <c r="KAW10" s="353"/>
      <c r="KAX10" s="353"/>
      <c r="KAY10" s="353"/>
      <c r="KAZ10" s="353"/>
      <c r="KBA10" s="353"/>
      <c r="KBB10" s="353"/>
      <c r="KBC10" s="353"/>
      <c r="KBD10" s="353"/>
      <c r="KBE10" s="353"/>
      <c r="KBF10" s="353"/>
      <c r="KBG10" s="353"/>
      <c r="KBH10" s="353"/>
      <c r="KBI10" s="353"/>
      <c r="KBJ10" s="353"/>
      <c r="KBK10" s="353"/>
      <c r="KBL10" s="353"/>
      <c r="KBM10" s="353"/>
      <c r="KBN10" s="353"/>
      <c r="KBO10" s="353"/>
      <c r="KBP10" s="353"/>
      <c r="KBQ10" s="353"/>
      <c r="KBR10" s="353"/>
      <c r="KBS10" s="353"/>
      <c r="KBT10" s="353"/>
      <c r="KBU10" s="353"/>
      <c r="KBV10" s="353"/>
      <c r="KBW10" s="353"/>
      <c r="KBX10" s="353"/>
      <c r="KBY10" s="353"/>
      <c r="KBZ10" s="353"/>
      <c r="KCA10" s="353"/>
      <c r="KCB10" s="353"/>
      <c r="KCC10" s="353"/>
      <c r="KCD10" s="353"/>
      <c r="KCE10" s="353"/>
      <c r="KCF10" s="353"/>
      <c r="KCG10" s="353"/>
      <c r="KCH10" s="353"/>
      <c r="KCI10" s="353"/>
      <c r="KCJ10" s="353"/>
      <c r="KCK10" s="353"/>
      <c r="KCL10" s="353"/>
      <c r="KCM10" s="353"/>
      <c r="KCN10" s="353"/>
      <c r="KCO10" s="353"/>
      <c r="KCP10" s="353"/>
      <c r="KCQ10" s="353"/>
      <c r="KCR10" s="353"/>
      <c r="KCS10" s="353"/>
      <c r="KCT10" s="353"/>
      <c r="KCU10" s="353"/>
      <c r="KCV10" s="353"/>
      <c r="KCW10" s="353"/>
      <c r="KCX10" s="353"/>
      <c r="KCY10" s="353"/>
      <c r="KCZ10" s="353"/>
      <c r="KDA10" s="353"/>
      <c r="KDB10" s="353"/>
      <c r="KDC10" s="353"/>
      <c r="KDD10" s="353"/>
      <c r="KDE10" s="353"/>
      <c r="KDF10" s="353"/>
      <c r="KDG10" s="353"/>
      <c r="KDH10" s="353"/>
      <c r="KDI10" s="353"/>
      <c r="KDJ10" s="353"/>
      <c r="KDK10" s="353"/>
      <c r="KDL10" s="353"/>
      <c r="KDM10" s="353"/>
      <c r="KDN10" s="353"/>
      <c r="KDO10" s="353"/>
      <c r="KDP10" s="353"/>
      <c r="KDQ10" s="353"/>
      <c r="KDR10" s="353"/>
      <c r="KDS10" s="353"/>
      <c r="KDT10" s="353"/>
      <c r="KDU10" s="353"/>
      <c r="KDV10" s="353"/>
      <c r="KDW10" s="353"/>
      <c r="KDX10" s="353"/>
      <c r="KDY10" s="353"/>
      <c r="KDZ10" s="353"/>
      <c r="KEA10" s="353"/>
      <c r="KEB10" s="353"/>
      <c r="KEC10" s="353"/>
      <c r="KED10" s="353"/>
      <c r="KEE10" s="353"/>
      <c r="KEF10" s="353"/>
      <c r="KEG10" s="353"/>
      <c r="KEH10" s="353"/>
      <c r="KEI10" s="353"/>
      <c r="KEJ10" s="353"/>
      <c r="KEK10" s="353"/>
      <c r="KEL10" s="353"/>
      <c r="KEM10" s="353"/>
      <c r="KEN10" s="353"/>
      <c r="KEO10" s="353"/>
      <c r="KEP10" s="353"/>
      <c r="KEQ10" s="353"/>
      <c r="KER10" s="353"/>
      <c r="KES10" s="353"/>
      <c r="KET10" s="353"/>
      <c r="KEU10" s="353"/>
      <c r="KEV10" s="353"/>
      <c r="KEW10" s="353"/>
      <c r="KEX10" s="353"/>
      <c r="KEY10" s="353"/>
      <c r="KEZ10" s="353"/>
      <c r="KFA10" s="353"/>
      <c r="KFB10" s="353"/>
      <c r="KFC10" s="353"/>
      <c r="KFD10" s="353"/>
      <c r="KFE10" s="353"/>
      <c r="KFF10" s="353"/>
      <c r="KFG10" s="353"/>
      <c r="KFH10" s="353"/>
      <c r="KFI10" s="353"/>
      <c r="KFJ10" s="353"/>
      <c r="KFK10" s="353"/>
      <c r="KFL10" s="353"/>
      <c r="KFM10" s="353"/>
      <c r="KFN10" s="353"/>
      <c r="KFO10" s="353"/>
      <c r="KFP10" s="353"/>
      <c r="KFQ10" s="353"/>
      <c r="KFR10" s="353"/>
      <c r="KFS10" s="353"/>
      <c r="KFT10" s="353"/>
      <c r="KFU10" s="353"/>
      <c r="KFV10" s="353"/>
      <c r="KFW10" s="353"/>
      <c r="KFX10" s="353"/>
      <c r="KFY10" s="353"/>
      <c r="KFZ10" s="353"/>
      <c r="KGA10" s="353"/>
      <c r="KGB10" s="353"/>
      <c r="KGC10" s="353"/>
      <c r="KGD10" s="353"/>
      <c r="KGE10" s="353"/>
      <c r="KGF10" s="353"/>
      <c r="KGG10" s="353"/>
      <c r="KGH10" s="353"/>
      <c r="KGI10" s="353"/>
      <c r="KGJ10" s="353"/>
      <c r="KGK10" s="353"/>
      <c r="KGL10" s="353"/>
      <c r="KGM10" s="353"/>
      <c r="KGN10" s="353"/>
      <c r="KGO10" s="353"/>
      <c r="KGP10" s="353"/>
      <c r="KGQ10" s="353"/>
      <c r="KGR10" s="353"/>
      <c r="KGS10" s="353"/>
      <c r="KGT10" s="353"/>
      <c r="KGU10" s="353"/>
      <c r="KGV10" s="353"/>
      <c r="KGW10" s="353"/>
      <c r="KGX10" s="353"/>
      <c r="KGY10" s="353"/>
      <c r="KGZ10" s="353"/>
      <c r="KHA10" s="353"/>
      <c r="KHB10" s="353"/>
      <c r="KHC10" s="353"/>
      <c r="KHD10" s="353"/>
      <c r="KHE10" s="353"/>
      <c r="KHF10" s="353"/>
      <c r="KHG10" s="353"/>
      <c r="KHH10" s="353"/>
      <c r="KHI10" s="353"/>
      <c r="KHJ10" s="353"/>
      <c r="KHK10" s="353"/>
      <c r="KHL10" s="353"/>
      <c r="KHM10" s="353"/>
      <c r="KHN10" s="353"/>
      <c r="KHO10" s="353"/>
      <c r="KHP10" s="353"/>
      <c r="KHQ10" s="353"/>
      <c r="KHR10" s="353"/>
      <c r="KHS10" s="353"/>
      <c r="KHT10" s="353"/>
      <c r="KHU10" s="353"/>
      <c r="KHV10" s="353"/>
      <c r="KHW10" s="353"/>
      <c r="KHX10" s="353"/>
      <c r="KHY10" s="353"/>
      <c r="KHZ10" s="353"/>
      <c r="KIA10" s="353"/>
      <c r="KIB10" s="353"/>
      <c r="KIC10" s="353"/>
      <c r="KID10" s="353"/>
      <c r="KIE10" s="353"/>
      <c r="KIF10" s="353"/>
      <c r="KIG10" s="353"/>
      <c r="KIH10" s="353"/>
      <c r="KII10" s="353"/>
      <c r="KIJ10" s="353"/>
      <c r="KIK10" s="353"/>
      <c r="KIL10" s="353"/>
      <c r="KIM10" s="353"/>
      <c r="KIN10" s="353"/>
      <c r="KIO10" s="353"/>
      <c r="KIP10" s="353"/>
      <c r="KIQ10" s="353"/>
      <c r="KIR10" s="353"/>
      <c r="KIS10" s="353"/>
      <c r="KIT10" s="353"/>
      <c r="KIU10" s="353"/>
      <c r="KIV10" s="353"/>
      <c r="KIW10" s="353"/>
      <c r="KIX10" s="353"/>
      <c r="KIY10" s="353"/>
      <c r="KIZ10" s="353"/>
      <c r="KJA10" s="353"/>
      <c r="KJB10" s="353"/>
      <c r="KJC10" s="353"/>
      <c r="KJD10" s="353"/>
      <c r="KJE10" s="353"/>
      <c r="KJF10" s="353"/>
      <c r="KJG10" s="353"/>
      <c r="KJH10" s="353"/>
      <c r="KJI10" s="353"/>
      <c r="KJJ10" s="353"/>
      <c r="KJK10" s="353"/>
      <c r="KJL10" s="353"/>
      <c r="KJM10" s="353"/>
      <c r="KJN10" s="353"/>
      <c r="KJO10" s="353"/>
      <c r="KJP10" s="353"/>
      <c r="KJQ10" s="353"/>
      <c r="KJR10" s="353"/>
      <c r="KJS10" s="353"/>
      <c r="KJT10" s="353"/>
      <c r="KJU10" s="353"/>
      <c r="KJV10" s="353"/>
      <c r="KJW10" s="353"/>
      <c r="KJX10" s="353"/>
      <c r="KJY10" s="353"/>
      <c r="KJZ10" s="353"/>
      <c r="KKA10" s="353"/>
      <c r="KKB10" s="353"/>
      <c r="KKC10" s="353"/>
      <c r="KKD10" s="353"/>
      <c r="KKE10" s="353"/>
      <c r="KKF10" s="353"/>
      <c r="KKG10" s="353"/>
      <c r="KKH10" s="353"/>
      <c r="KKI10" s="353"/>
      <c r="KKJ10" s="353"/>
      <c r="KKK10" s="353"/>
      <c r="KKL10" s="353"/>
      <c r="KKM10" s="353"/>
      <c r="KKN10" s="353"/>
      <c r="KKO10" s="353"/>
      <c r="KKP10" s="353"/>
      <c r="KKQ10" s="353"/>
      <c r="KKR10" s="353"/>
      <c r="KKS10" s="353"/>
      <c r="KKT10" s="353"/>
      <c r="KKU10" s="353"/>
      <c r="KKV10" s="353"/>
      <c r="KKW10" s="353"/>
      <c r="KKX10" s="353"/>
      <c r="KKY10" s="353"/>
      <c r="KKZ10" s="353"/>
      <c r="KLA10" s="353"/>
      <c r="KLB10" s="353"/>
      <c r="KLC10" s="353"/>
      <c r="KLD10" s="353"/>
      <c r="KLE10" s="353"/>
      <c r="KLF10" s="353"/>
      <c r="KLG10" s="353"/>
      <c r="KLH10" s="353"/>
      <c r="KLI10" s="353"/>
      <c r="KLJ10" s="353"/>
      <c r="KLK10" s="353"/>
      <c r="KLL10" s="353"/>
      <c r="KLM10" s="353"/>
      <c r="KLN10" s="353"/>
      <c r="KLO10" s="353"/>
      <c r="KLP10" s="353"/>
      <c r="KLQ10" s="353"/>
      <c r="KLR10" s="353"/>
      <c r="KLS10" s="353"/>
      <c r="KLT10" s="353"/>
      <c r="KLU10" s="353"/>
      <c r="KLV10" s="353"/>
      <c r="KLW10" s="353"/>
      <c r="KLX10" s="353"/>
      <c r="KLY10" s="353"/>
      <c r="KLZ10" s="353"/>
      <c r="KMA10" s="353"/>
      <c r="KMB10" s="353"/>
      <c r="KMC10" s="353"/>
      <c r="KMD10" s="353"/>
      <c r="KME10" s="353"/>
      <c r="KMF10" s="353"/>
      <c r="KMG10" s="353"/>
      <c r="KMH10" s="353"/>
      <c r="KMI10" s="353"/>
      <c r="KMJ10" s="353"/>
      <c r="KMK10" s="353"/>
      <c r="KML10" s="353"/>
      <c r="KMM10" s="353"/>
      <c r="KMN10" s="353"/>
      <c r="KMO10" s="353"/>
      <c r="KMP10" s="353"/>
      <c r="KMQ10" s="353"/>
      <c r="KMR10" s="353"/>
      <c r="KMS10" s="353"/>
      <c r="KMT10" s="353"/>
      <c r="KMU10" s="353"/>
      <c r="KMV10" s="353"/>
      <c r="KMW10" s="353"/>
      <c r="KMX10" s="353"/>
      <c r="KMY10" s="353"/>
      <c r="KMZ10" s="353"/>
      <c r="KNA10" s="353"/>
      <c r="KNB10" s="353"/>
      <c r="KNC10" s="353"/>
      <c r="KND10" s="353"/>
      <c r="KNE10" s="353"/>
      <c r="KNF10" s="353"/>
      <c r="KNG10" s="353"/>
      <c r="KNH10" s="353"/>
      <c r="KNI10" s="353"/>
      <c r="KNJ10" s="353"/>
      <c r="KNK10" s="353"/>
      <c r="KNL10" s="353"/>
      <c r="KNM10" s="353"/>
      <c r="KNN10" s="353"/>
      <c r="KNO10" s="353"/>
      <c r="KNP10" s="353"/>
      <c r="KNQ10" s="353"/>
      <c r="KNR10" s="353"/>
      <c r="KNS10" s="353"/>
      <c r="KNT10" s="353"/>
      <c r="KNU10" s="353"/>
      <c r="KNV10" s="353"/>
      <c r="KNW10" s="353"/>
      <c r="KNX10" s="353"/>
      <c r="KNY10" s="353"/>
      <c r="KNZ10" s="353"/>
      <c r="KOA10" s="353"/>
      <c r="KOB10" s="353"/>
      <c r="KOC10" s="353"/>
      <c r="KOD10" s="353"/>
      <c r="KOE10" s="353"/>
      <c r="KOF10" s="353"/>
      <c r="KOG10" s="353"/>
      <c r="KOH10" s="353"/>
      <c r="KOI10" s="353"/>
      <c r="KOJ10" s="353"/>
      <c r="KOK10" s="353"/>
      <c r="KOL10" s="353"/>
      <c r="KOM10" s="353"/>
      <c r="KON10" s="353"/>
      <c r="KOO10" s="353"/>
      <c r="KOP10" s="353"/>
      <c r="KOQ10" s="353"/>
      <c r="KOR10" s="353"/>
      <c r="KOS10" s="353"/>
      <c r="KOT10" s="353"/>
      <c r="KOU10" s="353"/>
      <c r="KOV10" s="353"/>
      <c r="KOW10" s="353"/>
      <c r="KOX10" s="353"/>
      <c r="KOY10" s="353"/>
      <c r="KOZ10" s="353"/>
      <c r="KPA10" s="353"/>
      <c r="KPB10" s="353"/>
      <c r="KPC10" s="353"/>
      <c r="KPD10" s="353"/>
      <c r="KPE10" s="353"/>
      <c r="KPF10" s="353"/>
      <c r="KPG10" s="353"/>
      <c r="KPH10" s="353"/>
      <c r="KPI10" s="353"/>
      <c r="KPJ10" s="353"/>
      <c r="KPK10" s="353"/>
      <c r="KPL10" s="353"/>
      <c r="KPM10" s="353"/>
      <c r="KPN10" s="353"/>
      <c r="KPO10" s="353"/>
      <c r="KPP10" s="353"/>
      <c r="KPQ10" s="353"/>
      <c r="KPR10" s="353"/>
      <c r="KPS10" s="353"/>
      <c r="KPT10" s="353"/>
      <c r="KPU10" s="353"/>
      <c r="KPV10" s="353"/>
      <c r="KPW10" s="353"/>
      <c r="KPX10" s="353"/>
      <c r="KPY10" s="353"/>
      <c r="KPZ10" s="353"/>
      <c r="KQA10" s="353"/>
      <c r="KQB10" s="353"/>
      <c r="KQC10" s="353"/>
      <c r="KQD10" s="353"/>
      <c r="KQE10" s="353"/>
      <c r="KQF10" s="353"/>
      <c r="KQG10" s="353"/>
      <c r="KQH10" s="353"/>
      <c r="KQI10" s="353"/>
      <c r="KQJ10" s="353"/>
      <c r="KQK10" s="353"/>
      <c r="KQL10" s="353"/>
      <c r="KQM10" s="353"/>
      <c r="KQN10" s="353"/>
      <c r="KQO10" s="353"/>
      <c r="KQP10" s="353"/>
      <c r="KQQ10" s="353"/>
      <c r="KQR10" s="353"/>
      <c r="KQS10" s="353"/>
      <c r="KQT10" s="353"/>
      <c r="KQU10" s="353"/>
      <c r="KQV10" s="353"/>
      <c r="KQW10" s="353"/>
      <c r="KQX10" s="353"/>
      <c r="KQY10" s="353"/>
      <c r="KQZ10" s="353"/>
      <c r="KRA10" s="353"/>
      <c r="KRB10" s="353"/>
      <c r="KRC10" s="353"/>
      <c r="KRD10" s="353"/>
      <c r="KRE10" s="353"/>
      <c r="KRF10" s="353"/>
      <c r="KRG10" s="353"/>
      <c r="KRH10" s="353"/>
      <c r="KRI10" s="353"/>
      <c r="KRJ10" s="353"/>
      <c r="KRK10" s="353"/>
      <c r="KRL10" s="353"/>
      <c r="KRM10" s="353"/>
      <c r="KRN10" s="353"/>
      <c r="KRO10" s="353"/>
      <c r="KRP10" s="353"/>
      <c r="KRQ10" s="353"/>
      <c r="KRR10" s="353"/>
      <c r="KRS10" s="353"/>
      <c r="KRT10" s="353"/>
      <c r="KRU10" s="353"/>
      <c r="KRV10" s="353"/>
      <c r="KRW10" s="353"/>
      <c r="KRX10" s="353"/>
      <c r="KRY10" s="353"/>
      <c r="KRZ10" s="353"/>
      <c r="KSA10" s="353"/>
      <c r="KSB10" s="353"/>
      <c r="KSC10" s="353"/>
      <c r="KSD10" s="353"/>
      <c r="KSE10" s="353"/>
      <c r="KSF10" s="353"/>
      <c r="KSG10" s="353"/>
      <c r="KSH10" s="353"/>
      <c r="KSI10" s="353"/>
      <c r="KSJ10" s="353"/>
      <c r="KSK10" s="353"/>
      <c r="KSL10" s="353"/>
      <c r="KSM10" s="353"/>
      <c r="KSN10" s="353"/>
      <c r="KSO10" s="353"/>
      <c r="KSP10" s="353"/>
      <c r="KSQ10" s="353"/>
      <c r="KSR10" s="353"/>
      <c r="KSS10" s="353"/>
      <c r="KST10" s="353"/>
      <c r="KSU10" s="353"/>
      <c r="KSV10" s="353"/>
      <c r="KSW10" s="353"/>
      <c r="KSX10" s="353"/>
      <c r="KSY10" s="353"/>
      <c r="KSZ10" s="353"/>
      <c r="KTA10" s="353"/>
      <c r="KTB10" s="353"/>
      <c r="KTC10" s="353"/>
      <c r="KTD10" s="353"/>
      <c r="KTE10" s="353"/>
      <c r="KTF10" s="353"/>
      <c r="KTG10" s="353"/>
      <c r="KTH10" s="353"/>
      <c r="KTI10" s="353"/>
      <c r="KTJ10" s="353"/>
      <c r="KTK10" s="353"/>
      <c r="KTL10" s="353"/>
      <c r="KTM10" s="353"/>
      <c r="KTN10" s="353"/>
      <c r="KTO10" s="353"/>
      <c r="KTP10" s="353"/>
      <c r="KTQ10" s="353"/>
      <c r="KTR10" s="353"/>
      <c r="KTS10" s="353"/>
      <c r="KTT10" s="353"/>
      <c r="KTU10" s="353"/>
      <c r="KTV10" s="353"/>
      <c r="KTW10" s="353"/>
      <c r="KTX10" s="353"/>
      <c r="KTY10" s="353"/>
      <c r="KTZ10" s="353"/>
      <c r="KUA10" s="353"/>
      <c r="KUB10" s="353"/>
      <c r="KUC10" s="353"/>
      <c r="KUD10" s="353"/>
      <c r="KUE10" s="353"/>
      <c r="KUF10" s="353"/>
      <c r="KUG10" s="353"/>
      <c r="KUH10" s="353"/>
      <c r="KUI10" s="353"/>
      <c r="KUJ10" s="353"/>
      <c r="KUK10" s="353"/>
      <c r="KUL10" s="353"/>
      <c r="KUM10" s="353"/>
      <c r="KUN10" s="353"/>
      <c r="KUO10" s="353"/>
      <c r="KUP10" s="353"/>
      <c r="KUQ10" s="353"/>
      <c r="KUR10" s="353"/>
      <c r="KUS10" s="353"/>
      <c r="KUT10" s="353"/>
      <c r="KUU10" s="353"/>
      <c r="KUV10" s="353"/>
      <c r="KUW10" s="353"/>
      <c r="KUX10" s="353"/>
      <c r="KUY10" s="353"/>
      <c r="KUZ10" s="353"/>
      <c r="KVA10" s="353"/>
      <c r="KVB10" s="353"/>
      <c r="KVC10" s="353"/>
      <c r="KVD10" s="353"/>
      <c r="KVE10" s="353"/>
      <c r="KVF10" s="353"/>
      <c r="KVG10" s="353"/>
      <c r="KVH10" s="353"/>
      <c r="KVI10" s="353"/>
      <c r="KVJ10" s="353"/>
      <c r="KVK10" s="353"/>
      <c r="KVL10" s="353"/>
      <c r="KVM10" s="353"/>
      <c r="KVN10" s="353"/>
      <c r="KVO10" s="353"/>
      <c r="KVP10" s="353"/>
      <c r="KVQ10" s="353"/>
      <c r="KVR10" s="353"/>
      <c r="KVS10" s="353"/>
      <c r="KVT10" s="353"/>
      <c r="KVU10" s="353"/>
      <c r="KVV10" s="353"/>
      <c r="KVW10" s="353"/>
      <c r="KVX10" s="353"/>
      <c r="KVY10" s="353"/>
      <c r="KVZ10" s="353"/>
      <c r="KWA10" s="353"/>
      <c r="KWB10" s="353"/>
      <c r="KWC10" s="353"/>
      <c r="KWD10" s="353"/>
      <c r="KWE10" s="353"/>
      <c r="KWF10" s="353"/>
      <c r="KWG10" s="353"/>
      <c r="KWH10" s="353"/>
      <c r="KWI10" s="353"/>
      <c r="KWJ10" s="353"/>
      <c r="KWK10" s="353"/>
      <c r="KWL10" s="353"/>
      <c r="KWM10" s="353"/>
      <c r="KWN10" s="353"/>
      <c r="KWO10" s="353"/>
      <c r="KWP10" s="353"/>
      <c r="KWQ10" s="353"/>
      <c r="KWR10" s="353"/>
      <c r="KWS10" s="353"/>
      <c r="KWT10" s="353"/>
      <c r="KWU10" s="353"/>
      <c r="KWV10" s="353"/>
      <c r="KWW10" s="353"/>
      <c r="KWX10" s="353"/>
      <c r="KWY10" s="353"/>
      <c r="KWZ10" s="353"/>
      <c r="KXA10" s="353"/>
      <c r="KXB10" s="353"/>
      <c r="KXC10" s="353"/>
      <c r="KXD10" s="353"/>
      <c r="KXE10" s="353"/>
      <c r="KXF10" s="353"/>
      <c r="KXG10" s="353"/>
      <c r="KXH10" s="353"/>
      <c r="KXI10" s="353"/>
      <c r="KXJ10" s="353"/>
      <c r="KXK10" s="353"/>
      <c r="KXL10" s="353"/>
      <c r="KXM10" s="353"/>
      <c r="KXN10" s="353"/>
      <c r="KXO10" s="353"/>
      <c r="KXP10" s="353"/>
      <c r="KXQ10" s="353"/>
      <c r="KXR10" s="353"/>
      <c r="KXS10" s="353"/>
      <c r="KXT10" s="353"/>
      <c r="KXU10" s="353"/>
      <c r="KXV10" s="353"/>
      <c r="KXW10" s="353"/>
      <c r="KXX10" s="353"/>
      <c r="KXY10" s="353"/>
      <c r="KXZ10" s="353"/>
      <c r="KYA10" s="353"/>
      <c r="KYB10" s="353"/>
      <c r="KYC10" s="353"/>
      <c r="KYD10" s="353"/>
      <c r="KYE10" s="353"/>
      <c r="KYF10" s="353"/>
      <c r="KYG10" s="353"/>
      <c r="KYH10" s="353"/>
      <c r="KYI10" s="353"/>
      <c r="KYJ10" s="353"/>
      <c r="KYK10" s="353"/>
      <c r="KYL10" s="353"/>
      <c r="KYM10" s="353"/>
      <c r="KYN10" s="353"/>
      <c r="KYO10" s="353"/>
      <c r="KYP10" s="353"/>
      <c r="KYQ10" s="353"/>
      <c r="KYR10" s="353"/>
      <c r="KYS10" s="353"/>
      <c r="KYT10" s="353"/>
      <c r="KYU10" s="353"/>
      <c r="KYV10" s="353"/>
      <c r="KYW10" s="353"/>
      <c r="KYX10" s="353"/>
      <c r="KYY10" s="353"/>
      <c r="KYZ10" s="353"/>
      <c r="KZA10" s="353"/>
      <c r="KZB10" s="353"/>
      <c r="KZC10" s="353"/>
      <c r="KZD10" s="353"/>
      <c r="KZE10" s="353"/>
      <c r="KZF10" s="353"/>
      <c r="KZG10" s="353"/>
      <c r="KZH10" s="353"/>
      <c r="KZI10" s="353"/>
      <c r="KZJ10" s="353"/>
      <c r="KZK10" s="353"/>
      <c r="KZL10" s="353"/>
      <c r="KZM10" s="353"/>
      <c r="KZN10" s="353"/>
      <c r="KZO10" s="353"/>
      <c r="KZP10" s="353"/>
      <c r="KZQ10" s="353"/>
      <c r="KZR10" s="353"/>
      <c r="KZS10" s="353"/>
      <c r="KZT10" s="353"/>
      <c r="KZU10" s="353"/>
      <c r="KZV10" s="353"/>
      <c r="KZW10" s="353"/>
      <c r="KZX10" s="353"/>
      <c r="KZY10" s="353"/>
      <c r="KZZ10" s="353"/>
      <c r="LAA10" s="353"/>
      <c r="LAB10" s="353"/>
      <c r="LAC10" s="353"/>
      <c r="LAD10" s="353"/>
      <c r="LAE10" s="353"/>
      <c r="LAF10" s="353"/>
      <c r="LAG10" s="353"/>
      <c r="LAH10" s="353"/>
      <c r="LAI10" s="353"/>
      <c r="LAJ10" s="353"/>
      <c r="LAK10" s="353"/>
      <c r="LAL10" s="353"/>
      <c r="LAM10" s="353"/>
      <c r="LAN10" s="353"/>
      <c r="LAO10" s="353"/>
      <c r="LAP10" s="353"/>
      <c r="LAQ10" s="353"/>
      <c r="LAR10" s="353"/>
      <c r="LAS10" s="353"/>
      <c r="LAT10" s="353"/>
      <c r="LAU10" s="353"/>
      <c r="LAV10" s="353"/>
      <c r="LAW10" s="353"/>
      <c r="LAX10" s="353"/>
      <c r="LAY10" s="353"/>
      <c r="LAZ10" s="353"/>
      <c r="LBA10" s="353"/>
      <c r="LBB10" s="353"/>
      <c r="LBC10" s="353"/>
      <c r="LBD10" s="353"/>
      <c r="LBE10" s="353"/>
      <c r="LBF10" s="353"/>
      <c r="LBG10" s="353"/>
      <c r="LBH10" s="353"/>
      <c r="LBI10" s="353"/>
      <c r="LBJ10" s="353"/>
      <c r="LBK10" s="353"/>
      <c r="LBL10" s="353"/>
      <c r="LBM10" s="353"/>
      <c r="LBN10" s="353"/>
      <c r="LBO10" s="353"/>
      <c r="LBP10" s="353"/>
      <c r="LBQ10" s="353"/>
      <c r="LBR10" s="353"/>
      <c r="LBS10" s="353"/>
      <c r="LBT10" s="353"/>
      <c r="LBU10" s="353"/>
      <c r="LBV10" s="353"/>
      <c r="LBW10" s="353"/>
      <c r="LBX10" s="353"/>
      <c r="LBY10" s="353"/>
      <c r="LBZ10" s="353"/>
      <c r="LCA10" s="353"/>
      <c r="LCB10" s="353"/>
      <c r="LCC10" s="353"/>
      <c r="LCD10" s="353"/>
      <c r="LCE10" s="353"/>
      <c r="LCF10" s="353"/>
      <c r="LCG10" s="353"/>
      <c r="LCH10" s="353"/>
      <c r="LCI10" s="353"/>
      <c r="LCJ10" s="353"/>
      <c r="LCK10" s="353"/>
      <c r="LCL10" s="353"/>
      <c r="LCM10" s="353"/>
      <c r="LCN10" s="353"/>
      <c r="LCO10" s="353"/>
      <c r="LCP10" s="353"/>
      <c r="LCQ10" s="353"/>
      <c r="LCR10" s="353"/>
      <c r="LCS10" s="353"/>
      <c r="LCT10" s="353"/>
      <c r="LCU10" s="353"/>
      <c r="LCV10" s="353"/>
      <c r="LCW10" s="353"/>
      <c r="LCX10" s="353"/>
      <c r="LCY10" s="353"/>
      <c r="LCZ10" s="353"/>
      <c r="LDA10" s="353"/>
      <c r="LDB10" s="353"/>
      <c r="LDC10" s="353"/>
      <c r="LDD10" s="353"/>
      <c r="LDE10" s="353"/>
      <c r="LDF10" s="353"/>
      <c r="LDG10" s="353"/>
      <c r="LDH10" s="353"/>
      <c r="LDI10" s="353"/>
      <c r="LDJ10" s="353"/>
      <c r="LDK10" s="353"/>
      <c r="LDL10" s="353"/>
      <c r="LDM10" s="353"/>
      <c r="LDN10" s="353"/>
      <c r="LDO10" s="353"/>
      <c r="LDP10" s="353"/>
      <c r="LDQ10" s="353"/>
      <c r="LDR10" s="353"/>
      <c r="LDS10" s="353"/>
      <c r="LDT10" s="353"/>
      <c r="LDU10" s="353"/>
      <c r="LDV10" s="353"/>
      <c r="LDW10" s="353"/>
      <c r="LDX10" s="353"/>
      <c r="LDY10" s="353"/>
      <c r="LDZ10" s="353"/>
      <c r="LEA10" s="353"/>
      <c r="LEB10" s="353"/>
      <c r="LEC10" s="353"/>
      <c r="LED10" s="353"/>
      <c r="LEE10" s="353"/>
      <c r="LEF10" s="353"/>
      <c r="LEG10" s="353"/>
      <c r="LEH10" s="353"/>
      <c r="LEI10" s="353"/>
      <c r="LEJ10" s="353"/>
      <c r="LEK10" s="353"/>
      <c r="LEL10" s="353"/>
      <c r="LEM10" s="353"/>
      <c r="LEN10" s="353"/>
      <c r="LEO10" s="353"/>
      <c r="LEP10" s="353"/>
      <c r="LEQ10" s="353"/>
      <c r="LER10" s="353"/>
      <c r="LES10" s="353"/>
      <c r="LET10" s="353"/>
      <c r="LEU10" s="353"/>
      <c r="LEV10" s="353"/>
      <c r="LEW10" s="353"/>
      <c r="LEX10" s="353"/>
      <c r="LEY10" s="353"/>
      <c r="LEZ10" s="353"/>
      <c r="LFA10" s="353"/>
      <c r="LFB10" s="353"/>
      <c r="LFC10" s="353"/>
      <c r="LFD10" s="353"/>
      <c r="LFE10" s="353"/>
      <c r="LFF10" s="353"/>
      <c r="LFG10" s="353"/>
      <c r="LFH10" s="353"/>
      <c r="LFI10" s="353"/>
      <c r="LFJ10" s="353"/>
      <c r="LFK10" s="353"/>
      <c r="LFL10" s="353"/>
      <c r="LFM10" s="353"/>
      <c r="LFN10" s="353"/>
      <c r="LFO10" s="353"/>
      <c r="LFP10" s="353"/>
      <c r="LFQ10" s="353"/>
      <c r="LFR10" s="353"/>
      <c r="LFS10" s="353"/>
      <c r="LFT10" s="353"/>
      <c r="LFU10" s="353"/>
      <c r="LFV10" s="353"/>
      <c r="LFW10" s="353"/>
      <c r="LFX10" s="353"/>
      <c r="LFY10" s="353"/>
      <c r="LFZ10" s="353"/>
      <c r="LGA10" s="353"/>
      <c r="LGB10" s="353"/>
      <c r="LGC10" s="353"/>
      <c r="LGD10" s="353"/>
      <c r="LGE10" s="353"/>
      <c r="LGF10" s="353"/>
      <c r="LGG10" s="353"/>
      <c r="LGH10" s="353"/>
      <c r="LGI10" s="353"/>
      <c r="LGJ10" s="353"/>
      <c r="LGK10" s="353"/>
      <c r="LGL10" s="353"/>
      <c r="LGM10" s="353"/>
      <c r="LGN10" s="353"/>
      <c r="LGO10" s="353"/>
      <c r="LGP10" s="353"/>
      <c r="LGQ10" s="353"/>
      <c r="LGR10" s="353"/>
      <c r="LGS10" s="353"/>
      <c r="LGT10" s="353"/>
      <c r="LGU10" s="353"/>
      <c r="LGV10" s="353"/>
      <c r="LGW10" s="353"/>
      <c r="LGX10" s="353"/>
      <c r="LGY10" s="353"/>
      <c r="LGZ10" s="353"/>
      <c r="LHA10" s="353"/>
      <c r="LHB10" s="353"/>
      <c r="LHC10" s="353"/>
      <c r="LHD10" s="353"/>
      <c r="LHE10" s="353"/>
      <c r="LHF10" s="353"/>
      <c r="LHG10" s="353"/>
      <c r="LHH10" s="353"/>
      <c r="LHI10" s="353"/>
      <c r="LHJ10" s="353"/>
      <c r="LHK10" s="353"/>
      <c r="LHL10" s="353"/>
      <c r="LHM10" s="353"/>
      <c r="LHN10" s="353"/>
      <c r="LHO10" s="353"/>
      <c r="LHP10" s="353"/>
      <c r="LHQ10" s="353"/>
      <c r="LHR10" s="353"/>
      <c r="LHS10" s="353"/>
      <c r="LHT10" s="353"/>
      <c r="LHU10" s="353"/>
      <c r="LHV10" s="353"/>
      <c r="LHW10" s="353"/>
      <c r="LHX10" s="353"/>
      <c r="LHY10" s="353"/>
      <c r="LHZ10" s="353"/>
      <c r="LIA10" s="353"/>
      <c r="LIB10" s="353"/>
      <c r="LIC10" s="353"/>
      <c r="LID10" s="353"/>
      <c r="LIE10" s="353"/>
      <c r="LIF10" s="353"/>
      <c r="LIG10" s="353"/>
      <c r="LIH10" s="353"/>
      <c r="LII10" s="353"/>
      <c r="LIJ10" s="353"/>
      <c r="LIK10" s="353"/>
      <c r="LIL10" s="353"/>
      <c r="LIM10" s="353"/>
      <c r="LIN10" s="353"/>
      <c r="LIO10" s="353"/>
      <c r="LIP10" s="353"/>
      <c r="LIQ10" s="353"/>
      <c r="LIR10" s="353"/>
      <c r="LIS10" s="353"/>
      <c r="LIT10" s="353"/>
      <c r="LIU10" s="353"/>
      <c r="LIV10" s="353"/>
      <c r="LIW10" s="353"/>
      <c r="LIX10" s="353"/>
      <c r="LIY10" s="353"/>
      <c r="LIZ10" s="353"/>
      <c r="LJA10" s="353"/>
      <c r="LJB10" s="353"/>
      <c r="LJC10" s="353"/>
      <c r="LJD10" s="353"/>
      <c r="LJE10" s="353"/>
      <c r="LJF10" s="353"/>
      <c r="LJG10" s="353"/>
      <c r="LJH10" s="353"/>
      <c r="LJI10" s="353"/>
      <c r="LJJ10" s="353"/>
      <c r="LJK10" s="353"/>
      <c r="LJL10" s="353"/>
      <c r="LJM10" s="353"/>
      <c r="LJN10" s="353"/>
      <c r="LJO10" s="353"/>
      <c r="LJP10" s="353"/>
      <c r="LJQ10" s="353"/>
      <c r="LJR10" s="353"/>
      <c r="LJS10" s="353"/>
      <c r="LJT10" s="353"/>
      <c r="LJU10" s="353"/>
      <c r="LJV10" s="353"/>
      <c r="LJW10" s="353"/>
      <c r="LJX10" s="353"/>
      <c r="LJY10" s="353"/>
      <c r="LJZ10" s="353"/>
      <c r="LKA10" s="353"/>
      <c r="LKB10" s="353"/>
      <c r="LKC10" s="353"/>
      <c r="LKD10" s="353"/>
      <c r="LKE10" s="353"/>
      <c r="LKF10" s="353"/>
      <c r="LKG10" s="353"/>
      <c r="LKH10" s="353"/>
      <c r="LKI10" s="353"/>
      <c r="LKJ10" s="353"/>
      <c r="LKK10" s="353"/>
      <c r="LKL10" s="353"/>
      <c r="LKM10" s="353"/>
      <c r="LKN10" s="353"/>
      <c r="LKO10" s="353"/>
      <c r="LKP10" s="353"/>
      <c r="LKQ10" s="353"/>
      <c r="LKR10" s="353"/>
      <c r="LKS10" s="353"/>
      <c r="LKT10" s="353"/>
      <c r="LKU10" s="353"/>
      <c r="LKV10" s="353"/>
      <c r="LKW10" s="353"/>
      <c r="LKX10" s="353"/>
      <c r="LKY10" s="353"/>
      <c r="LKZ10" s="353"/>
      <c r="LLA10" s="353"/>
      <c r="LLB10" s="353"/>
      <c r="LLC10" s="353"/>
      <c r="LLD10" s="353"/>
      <c r="LLE10" s="353"/>
      <c r="LLF10" s="353"/>
      <c r="LLG10" s="353"/>
      <c r="LLH10" s="353"/>
      <c r="LLI10" s="353"/>
      <c r="LLJ10" s="353"/>
      <c r="LLK10" s="353"/>
      <c r="LLL10" s="353"/>
      <c r="LLM10" s="353"/>
      <c r="LLN10" s="353"/>
      <c r="LLO10" s="353"/>
      <c r="LLP10" s="353"/>
      <c r="LLQ10" s="353"/>
      <c r="LLR10" s="353"/>
      <c r="LLS10" s="353"/>
      <c r="LLT10" s="353"/>
      <c r="LLU10" s="353"/>
      <c r="LLV10" s="353"/>
      <c r="LLW10" s="353"/>
      <c r="LLX10" s="353"/>
      <c r="LLY10" s="353"/>
      <c r="LLZ10" s="353"/>
      <c r="LMA10" s="353"/>
      <c r="LMB10" s="353"/>
      <c r="LMC10" s="353"/>
      <c r="LMD10" s="353"/>
      <c r="LME10" s="353"/>
      <c r="LMF10" s="353"/>
      <c r="LMG10" s="353"/>
      <c r="LMH10" s="353"/>
      <c r="LMI10" s="353"/>
      <c r="LMJ10" s="353"/>
      <c r="LMK10" s="353"/>
      <c r="LML10" s="353"/>
      <c r="LMM10" s="353"/>
      <c r="LMN10" s="353"/>
      <c r="LMO10" s="353"/>
      <c r="LMP10" s="353"/>
      <c r="LMQ10" s="353"/>
      <c r="LMR10" s="353"/>
      <c r="LMS10" s="353"/>
      <c r="LMT10" s="353"/>
      <c r="LMU10" s="353"/>
      <c r="LMV10" s="353"/>
      <c r="LMW10" s="353"/>
      <c r="LMX10" s="353"/>
      <c r="LMY10" s="353"/>
      <c r="LMZ10" s="353"/>
      <c r="LNA10" s="353"/>
      <c r="LNB10" s="353"/>
      <c r="LNC10" s="353"/>
      <c r="LND10" s="353"/>
      <c r="LNE10" s="353"/>
      <c r="LNF10" s="353"/>
      <c r="LNG10" s="353"/>
      <c r="LNH10" s="353"/>
      <c r="LNI10" s="353"/>
      <c r="LNJ10" s="353"/>
      <c r="LNK10" s="353"/>
      <c r="LNL10" s="353"/>
      <c r="LNM10" s="353"/>
      <c r="LNN10" s="353"/>
      <c r="LNO10" s="353"/>
      <c r="LNP10" s="353"/>
      <c r="LNQ10" s="353"/>
      <c r="LNR10" s="353"/>
      <c r="LNS10" s="353"/>
      <c r="LNT10" s="353"/>
      <c r="LNU10" s="353"/>
      <c r="LNV10" s="353"/>
      <c r="LNW10" s="353"/>
      <c r="LNX10" s="353"/>
      <c r="LNY10" s="353"/>
      <c r="LNZ10" s="353"/>
      <c r="LOA10" s="353"/>
      <c r="LOB10" s="353"/>
      <c r="LOC10" s="353"/>
      <c r="LOD10" s="353"/>
      <c r="LOE10" s="353"/>
      <c r="LOF10" s="353"/>
      <c r="LOG10" s="353"/>
      <c r="LOH10" s="353"/>
      <c r="LOI10" s="353"/>
      <c r="LOJ10" s="353"/>
      <c r="LOK10" s="353"/>
      <c r="LOL10" s="353"/>
      <c r="LOM10" s="353"/>
      <c r="LON10" s="353"/>
      <c r="LOO10" s="353"/>
      <c r="LOP10" s="353"/>
      <c r="LOQ10" s="353"/>
      <c r="LOR10" s="353"/>
      <c r="LOS10" s="353"/>
      <c r="LOT10" s="353"/>
      <c r="LOU10" s="353"/>
      <c r="LOV10" s="353"/>
      <c r="LOW10" s="353"/>
      <c r="LOX10" s="353"/>
      <c r="LOY10" s="353"/>
      <c r="LOZ10" s="353"/>
      <c r="LPA10" s="353"/>
      <c r="LPB10" s="353"/>
      <c r="LPC10" s="353"/>
      <c r="LPD10" s="353"/>
      <c r="LPE10" s="353"/>
      <c r="LPF10" s="353"/>
      <c r="LPG10" s="353"/>
      <c r="LPH10" s="353"/>
      <c r="LPI10" s="353"/>
      <c r="LPJ10" s="353"/>
      <c r="LPK10" s="353"/>
      <c r="LPL10" s="353"/>
      <c r="LPM10" s="353"/>
      <c r="LPN10" s="353"/>
      <c r="LPO10" s="353"/>
      <c r="LPP10" s="353"/>
      <c r="LPQ10" s="353"/>
      <c r="LPR10" s="353"/>
      <c r="LPS10" s="353"/>
      <c r="LPT10" s="353"/>
      <c r="LPU10" s="353"/>
      <c r="LPV10" s="353"/>
      <c r="LPW10" s="353"/>
      <c r="LPX10" s="353"/>
      <c r="LPY10" s="353"/>
      <c r="LPZ10" s="353"/>
      <c r="LQA10" s="353"/>
      <c r="LQB10" s="353"/>
      <c r="LQC10" s="353"/>
      <c r="LQD10" s="353"/>
      <c r="LQE10" s="353"/>
      <c r="LQF10" s="353"/>
      <c r="LQG10" s="353"/>
      <c r="LQH10" s="353"/>
      <c r="LQI10" s="353"/>
      <c r="LQJ10" s="353"/>
      <c r="LQK10" s="353"/>
      <c r="LQL10" s="353"/>
      <c r="LQM10" s="353"/>
      <c r="LQN10" s="353"/>
      <c r="LQO10" s="353"/>
      <c r="LQP10" s="353"/>
      <c r="LQQ10" s="353"/>
      <c r="LQR10" s="353"/>
      <c r="LQS10" s="353"/>
      <c r="LQT10" s="353"/>
      <c r="LQU10" s="353"/>
      <c r="LQV10" s="353"/>
      <c r="LQW10" s="353"/>
      <c r="LQX10" s="353"/>
      <c r="LQY10" s="353"/>
      <c r="LQZ10" s="353"/>
      <c r="LRA10" s="353"/>
      <c r="LRB10" s="353"/>
      <c r="LRC10" s="353"/>
      <c r="LRD10" s="353"/>
      <c r="LRE10" s="353"/>
      <c r="LRF10" s="353"/>
      <c r="LRG10" s="353"/>
      <c r="LRH10" s="353"/>
      <c r="LRI10" s="353"/>
      <c r="LRJ10" s="353"/>
      <c r="LRK10" s="353"/>
      <c r="LRL10" s="353"/>
      <c r="LRM10" s="353"/>
      <c r="LRN10" s="353"/>
      <c r="LRO10" s="353"/>
      <c r="LRP10" s="353"/>
      <c r="LRQ10" s="353"/>
      <c r="LRR10" s="353"/>
      <c r="LRS10" s="353"/>
      <c r="LRT10" s="353"/>
      <c r="LRU10" s="353"/>
      <c r="LRV10" s="353"/>
      <c r="LRW10" s="353"/>
      <c r="LRX10" s="353"/>
      <c r="LRY10" s="353"/>
      <c r="LRZ10" s="353"/>
      <c r="LSA10" s="353"/>
      <c r="LSB10" s="353"/>
      <c r="LSC10" s="353"/>
      <c r="LSD10" s="353"/>
      <c r="LSE10" s="353"/>
      <c r="LSF10" s="353"/>
      <c r="LSG10" s="353"/>
      <c r="LSH10" s="353"/>
      <c r="LSI10" s="353"/>
      <c r="LSJ10" s="353"/>
      <c r="LSK10" s="353"/>
      <c r="LSL10" s="353"/>
      <c r="LSM10" s="353"/>
      <c r="LSN10" s="353"/>
      <c r="LSO10" s="353"/>
      <c r="LSP10" s="353"/>
      <c r="LSQ10" s="353"/>
      <c r="LSR10" s="353"/>
      <c r="LSS10" s="353"/>
      <c r="LST10" s="353"/>
      <c r="LSU10" s="353"/>
      <c r="LSV10" s="353"/>
      <c r="LSW10" s="353"/>
      <c r="LSX10" s="353"/>
      <c r="LSY10" s="353"/>
      <c r="LSZ10" s="353"/>
      <c r="LTA10" s="353"/>
      <c r="LTB10" s="353"/>
      <c r="LTC10" s="353"/>
      <c r="LTD10" s="353"/>
      <c r="LTE10" s="353"/>
      <c r="LTF10" s="353"/>
      <c r="LTG10" s="353"/>
      <c r="LTH10" s="353"/>
      <c r="LTI10" s="353"/>
      <c r="LTJ10" s="353"/>
      <c r="LTK10" s="353"/>
      <c r="LTL10" s="353"/>
      <c r="LTM10" s="353"/>
      <c r="LTN10" s="353"/>
      <c r="LTO10" s="353"/>
      <c r="LTP10" s="353"/>
      <c r="LTQ10" s="353"/>
      <c r="LTR10" s="353"/>
      <c r="LTS10" s="353"/>
      <c r="LTT10" s="353"/>
      <c r="LTU10" s="353"/>
      <c r="LTV10" s="353"/>
      <c r="LTW10" s="353"/>
      <c r="LTX10" s="353"/>
      <c r="LTY10" s="353"/>
      <c r="LTZ10" s="353"/>
      <c r="LUA10" s="353"/>
      <c r="LUB10" s="353"/>
      <c r="LUC10" s="353"/>
      <c r="LUD10" s="353"/>
      <c r="LUE10" s="353"/>
      <c r="LUF10" s="353"/>
      <c r="LUG10" s="353"/>
      <c r="LUH10" s="353"/>
      <c r="LUI10" s="353"/>
      <c r="LUJ10" s="353"/>
      <c r="LUK10" s="353"/>
      <c r="LUL10" s="353"/>
      <c r="LUM10" s="353"/>
      <c r="LUN10" s="353"/>
      <c r="LUO10" s="353"/>
      <c r="LUP10" s="353"/>
      <c r="LUQ10" s="353"/>
      <c r="LUR10" s="353"/>
      <c r="LUS10" s="353"/>
      <c r="LUT10" s="353"/>
      <c r="LUU10" s="353"/>
      <c r="LUV10" s="353"/>
      <c r="LUW10" s="353"/>
      <c r="LUX10" s="353"/>
      <c r="LUY10" s="353"/>
      <c r="LUZ10" s="353"/>
      <c r="LVA10" s="353"/>
      <c r="LVB10" s="353"/>
      <c r="LVC10" s="353"/>
      <c r="LVD10" s="353"/>
      <c r="LVE10" s="353"/>
      <c r="LVF10" s="353"/>
      <c r="LVG10" s="353"/>
      <c r="LVH10" s="353"/>
      <c r="LVI10" s="353"/>
      <c r="LVJ10" s="353"/>
      <c r="LVK10" s="353"/>
      <c r="LVL10" s="353"/>
      <c r="LVM10" s="353"/>
      <c r="LVN10" s="353"/>
      <c r="LVO10" s="353"/>
      <c r="LVP10" s="353"/>
      <c r="LVQ10" s="353"/>
      <c r="LVR10" s="353"/>
      <c r="LVS10" s="353"/>
      <c r="LVT10" s="353"/>
      <c r="LVU10" s="353"/>
      <c r="LVV10" s="353"/>
      <c r="LVW10" s="353"/>
      <c r="LVX10" s="353"/>
      <c r="LVY10" s="353"/>
      <c r="LVZ10" s="353"/>
      <c r="LWA10" s="353"/>
      <c r="LWB10" s="353"/>
      <c r="LWC10" s="353"/>
      <c r="LWD10" s="353"/>
      <c r="LWE10" s="353"/>
      <c r="LWF10" s="353"/>
      <c r="LWG10" s="353"/>
      <c r="LWH10" s="353"/>
      <c r="LWI10" s="353"/>
      <c r="LWJ10" s="353"/>
      <c r="LWK10" s="353"/>
      <c r="LWL10" s="353"/>
      <c r="LWM10" s="353"/>
      <c r="LWN10" s="353"/>
      <c r="LWO10" s="353"/>
      <c r="LWP10" s="353"/>
      <c r="LWQ10" s="353"/>
      <c r="LWR10" s="353"/>
      <c r="LWS10" s="353"/>
      <c r="LWT10" s="353"/>
      <c r="LWU10" s="353"/>
      <c r="LWV10" s="353"/>
      <c r="LWW10" s="353"/>
      <c r="LWX10" s="353"/>
      <c r="LWY10" s="353"/>
      <c r="LWZ10" s="353"/>
      <c r="LXA10" s="353"/>
      <c r="LXB10" s="353"/>
      <c r="LXC10" s="353"/>
      <c r="LXD10" s="353"/>
      <c r="LXE10" s="353"/>
      <c r="LXF10" s="353"/>
      <c r="LXG10" s="353"/>
      <c r="LXH10" s="353"/>
      <c r="LXI10" s="353"/>
      <c r="LXJ10" s="353"/>
      <c r="LXK10" s="353"/>
      <c r="LXL10" s="353"/>
      <c r="LXM10" s="353"/>
      <c r="LXN10" s="353"/>
      <c r="LXO10" s="353"/>
      <c r="LXP10" s="353"/>
      <c r="LXQ10" s="353"/>
      <c r="LXR10" s="353"/>
      <c r="LXS10" s="353"/>
      <c r="LXT10" s="353"/>
      <c r="LXU10" s="353"/>
      <c r="LXV10" s="353"/>
      <c r="LXW10" s="353"/>
      <c r="LXX10" s="353"/>
      <c r="LXY10" s="353"/>
      <c r="LXZ10" s="353"/>
      <c r="LYA10" s="353"/>
      <c r="LYB10" s="353"/>
      <c r="LYC10" s="353"/>
      <c r="LYD10" s="353"/>
      <c r="LYE10" s="353"/>
      <c r="LYF10" s="353"/>
      <c r="LYG10" s="353"/>
      <c r="LYH10" s="353"/>
      <c r="LYI10" s="353"/>
      <c r="LYJ10" s="353"/>
      <c r="LYK10" s="353"/>
      <c r="LYL10" s="353"/>
      <c r="LYM10" s="353"/>
      <c r="LYN10" s="353"/>
      <c r="LYO10" s="353"/>
      <c r="LYP10" s="353"/>
      <c r="LYQ10" s="353"/>
      <c r="LYR10" s="353"/>
      <c r="LYS10" s="353"/>
      <c r="LYT10" s="353"/>
      <c r="LYU10" s="353"/>
      <c r="LYV10" s="353"/>
      <c r="LYW10" s="353"/>
      <c r="LYX10" s="353"/>
      <c r="LYY10" s="353"/>
      <c r="LYZ10" s="353"/>
      <c r="LZA10" s="353"/>
      <c r="LZB10" s="353"/>
      <c r="LZC10" s="353"/>
      <c r="LZD10" s="353"/>
      <c r="LZE10" s="353"/>
      <c r="LZF10" s="353"/>
      <c r="LZG10" s="353"/>
      <c r="LZH10" s="353"/>
      <c r="LZI10" s="353"/>
      <c r="LZJ10" s="353"/>
      <c r="LZK10" s="353"/>
      <c r="LZL10" s="353"/>
      <c r="LZM10" s="353"/>
      <c r="LZN10" s="353"/>
      <c r="LZO10" s="353"/>
      <c r="LZP10" s="353"/>
      <c r="LZQ10" s="353"/>
      <c r="LZR10" s="353"/>
      <c r="LZS10" s="353"/>
      <c r="LZT10" s="353"/>
      <c r="LZU10" s="353"/>
      <c r="LZV10" s="353"/>
      <c r="LZW10" s="353"/>
      <c r="LZX10" s="353"/>
      <c r="LZY10" s="353"/>
      <c r="LZZ10" s="353"/>
      <c r="MAA10" s="353"/>
      <c r="MAB10" s="353"/>
      <c r="MAC10" s="353"/>
      <c r="MAD10" s="353"/>
      <c r="MAE10" s="353"/>
      <c r="MAF10" s="353"/>
      <c r="MAG10" s="353"/>
      <c r="MAH10" s="353"/>
      <c r="MAI10" s="353"/>
      <c r="MAJ10" s="353"/>
      <c r="MAK10" s="353"/>
      <c r="MAL10" s="353"/>
      <c r="MAM10" s="353"/>
      <c r="MAN10" s="353"/>
      <c r="MAO10" s="353"/>
      <c r="MAP10" s="353"/>
      <c r="MAQ10" s="353"/>
      <c r="MAR10" s="353"/>
      <c r="MAS10" s="353"/>
      <c r="MAT10" s="353"/>
      <c r="MAU10" s="353"/>
      <c r="MAV10" s="353"/>
      <c r="MAW10" s="353"/>
      <c r="MAX10" s="353"/>
      <c r="MAY10" s="353"/>
      <c r="MAZ10" s="353"/>
      <c r="MBA10" s="353"/>
      <c r="MBB10" s="353"/>
      <c r="MBC10" s="353"/>
      <c r="MBD10" s="353"/>
      <c r="MBE10" s="353"/>
      <c r="MBF10" s="353"/>
      <c r="MBG10" s="353"/>
      <c r="MBH10" s="353"/>
      <c r="MBI10" s="353"/>
      <c r="MBJ10" s="353"/>
      <c r="MBK10" s="353"/>
      <c r="MBL10" s="353"/>
      <c r="MBM10" s="353"/>
      <c r="MBN10" s="353"/>
      <c r="MBO10" s="353"/>
      <c r="MBP10" s="353"/>
      <c r="MBQ10" s="353"/>
      <c r="MBR10" s="353"/>
      <c r="MBS10" s="353"/>
      <c r="MBT10" s="353"/>
      <c r="MBU10" s="353"/>
      <c r="MBV10" s="353"/>
      <c r="MBW10" s="353"/>
      <c r="MBX10" s="353"/>
      <c r="MBY10" s="353"/>
      <c r="MBZ10" s="353"/>
      <c r="MCA10" s="353"/>
      <c r="MCB10" s="353"/>
      <c r="MCC10" s="353"/>
      <c r="MCD10" s="353"/>
      <c r="MCE10" s="353"/>
      <c r="MCF10" s="353"/>
      <c r="MCG10" s="353"/>
      <c r="MCH10" s="353"/>
      <c r="MCI10" s="353"/>
      <c r="MCJ10" s="353"/>
      <c r="MCK10" s="353"/>
      <c r="MCL10" s="353"/>
      <c r="MCM10" s="353"/>
      <c r="MCN10" s="353"/>
      <c r="MCO10" s="353"/>
      <c r="MCP10" s="353"/>
      <c r="MCQ10" s="353"/>
      <c r="MCR10" s="353"/>
      <c r="MCS10" s="353"/>
      <c r="MCT10" s="353"/>
      <c r="MCU10" s="353"/>
      <c r="MCV10" s="353"/>
      <c r="MCW10" s="353"/>
      <c r="MCX10" s="353"/>
      <c r="MCY10" s="353"/>
      <c r="MCZ10" s="353"/>
      <c r="MDA10" s="353"/>
      <c r="MDB10" s="353"/>
      <c r="MDC10" s="353"/>
      <c r="MDD10" s="353"/>
      <c r="MDE10" s="353"/>
      <c r="MDF10" s="353"/>
      <c r="MDG10" s="353"/>
      <c r="MDH10" s="353"/>
      <c r="MDI10" s="353"/>
      <c r="MDJ10" s="353"/>
      <c r="MDK10" s="353"/>
      <c r="MDL10" s="353"/>
      <c r="MDM10" s="353"/>
      <c r="MDN10" s="353"/>
      <c r="MDO10" s="353"/>
      <c r="MDP10" s="353"/>
      <c r="MDQ10" s="353"/>
      <c r="MDR10" s="353"/>
      <c r="MDS10" s="353"/>
      <c r="MDT10" s="353"/>
      <c r="MDU10" s="353"/>
      <c r="MDV10" s="353"/>
      <c r="MDW10" s="353"/>
      <c r="MDX10" s="353"/>
      <c r="MDY10" s="353"/>
      <c r="MDZ10" s="353"/>
      <c r="MEA10" s="353"/>
      <c r="MEB10" s="353"/>
      <c r="MEC10" s="353"/>
      <c r="MED10" s="353"/>
      <c r="MEE10" s="353"/>
      <c r="MEF10" s="353"/>
      <c r="MEG10" s="353"/>
      <c r="MEH10" s="353"/>
      <c r="MEI10" s="353"/>
      <c r="MEJ10" s="353"/>
      <c r="MEK10" s="353"/>
      <c r="MEL10" s="353"/>
      <c r="MEM10" s="353"/>
      <c r="MEN10" s="353"/>
      <c r="MEO10" s="353"/>
      <c r="MEP10" s="353"/>
      <c r="MEQ10" s="353"/>
      <c r="MER10" s="353"/>
      <c r="MES10" s="353"/>
      <c r="MET10" s="353"/>
      <c r="MEU10" s="353"/>
      <c r="MEV10" s="353"/>
      <c r="MEW10" s="353"/>
      <c r="MEX10" s="353"/>
      <c r="MEY10" s="353"/>
      <c r="MEZ10" s="353"/>
      <c r="MFA10" s="353"/>
      <c r="MFB10" s="353"/>
      <c r="MFC10" s="353"/>
      <c r="MFD10" s="353"/>
      <c r="MFE10" s="353"/>
      <c r="MFF10" s="353"/>
      <c r="MFG10" s="353"/>
      <c r="MFH10" s="353"/>
      <c r="MFI10" s="353"/>
      <c r="MFJ10" s="353"/>
      <c r="MFK10" s="353"/>
      <c r="MFL10" s="353"/>
      <c r="MFM10" s="353"/>
      <c r="MFN10" s="353"/>
      <c r="MFO10" s="353"/>
      <c r="MFP10" s="353"/>
      <c r="MFQ10" s="353"/>
      <c r="MFR10" s="353"/>
      <c r="MFS10" s="353"/>
      <c r="MFT10" s="353"/>
      <c r="MFU10" s="353"/>
      <c r="MFV10" s="353"/>
      <c r="MFW10" s="353"/>
      <c r="MFX10" s="353"/>
      <c r="MFY10" s="353"/>
      <c r="MFZ10" s="353"/>
      <c r="MGA10" s="353"/>
      <c r="MGB10" s="353"/>
      <c r="MGC10" s="353"/>
      <c r="MGD10" s="353"/>
      <c r="MGE10" s="353"/>
      <c r="MGF10" s="353"/>
      <c r="MGG10" s="353"/>
      <c r="MGH10" s="353"/>
      <c r="MGI10" s="353"/>
      <c r="MGJ10" s="353"/>
      <c r="MGK10" s="353"/>
      <c r="MGL10" s="353"/>
      <c r="MGM10" s="353"/>
      <c r="MGN10" s="353"/>
      <c r="MGO10" s="353"/>
      <c r="MGP10" s="353"/>
      <c r="MGQ10" s="353"/>
      <c r="MGR10" s="353"/>
      <c r="MGS10" s="353"/>
      <c r="MGT10" s="353"/>
      <c r="MGU10" s="353"/>
      <c r="MGV10" s="353"/>
      <c r="MGW10" s="353"/>
      <c r="MGX10" s="353"/>
      <c r="MGY10" s="353"/>
      <c r="MGZ10" s="353"/>
      <c r="MHA10" s="353"/>
      <c r="MHB10" s="353"/>
      <c r="MHC10" s="353"/>
      <c r="MHD10" s="353"/>
      <c r="MHE10" s="353"/>
      <c r="MHF10" s="353"/>
      <c r="MHG10" s="353"/>
      <c r="MHH10" s="353"/>
      <c r="MHI10" s="353"/>
      <c r="MHJ10" s="353"/>
      <c r="MHK10" s="353"/>
      <c r="MHL10" s="353"/>
      <c r="MHM10" s="353"/>
      <c r="MHN10" s="353"/>
      <c r="MHO10" s="353"/>
      <c r="MHP10" s="353"/>
      <c r="MHQ10" s="353"/>
      <c r="MHR10" s="353"/>
      <c r="MHS10" s="353"/>
      <c r="MHT10" s="353"/>
      <c r="MHU10" s="353"/>
      <c r="MHV10" s="353"/>
      <c r="MHW10" s="353"/>
      <c r="MHX10" s="353"/>
      <c r="MHY10" s="353"/>
      <c r="MHZ10" s="353"/>
      <c r="MIA10" s="353"/>
      <c r="MIB10" s="353"/>
      <c r="MIC10" s="353"/>
      <c r="MID10" s="353"/>
      <c r="MIE10" s="353"/>
      <c r="MIF10" s="353"/>
      <c r="MIG10" s="353"/>
      <c r="MIH10" s="353"/>
      <c r="MII10" s="353"/>
      <c r="MIJ10" s="353"/>
      <c r="MIK10" s="353"/>
      <c r="MIL10" s="353"/>
      <c r="MIM10" s="353"/>
      <c r="MIN10" s="353"/>
      <c r="MIO10" s="353"/>
      <c r="MIP10" s="353"/>
      <c r="MIQ10" s="353"/>
      <c r="MIR10" s="353"/>
      <c r="MIS10" s="353"/>
      <c r="MIT10" s="353"/>
      <c r="MIU10" s="353"/>
      <c r="MIV10" s="353"/>
      <c r="MIW10" s="353"/>
      <c r="MIX10" s="353"/>
      <c r="MIY10" s="353"/>
      <c r="MIZ10" s="353"/>
      <c r="MJA10" s="353"/>
      <c r="MJB10" s="353"/>
      <c r="MJC10" s="353"/>
      <c r="MJD10" s="353"/>
      <c r="MJE10" s="353"/>
      <c r="MJF10" s="353"/>
      <c r="MJG10" s="353"/>
      <c r="MJH10" s="353"/>
      <c r="MJI10" s="353"/>
      <c r="MJJ10" s="353"/>
      <c r="MJK10" s="353"/>
      <c r="MJL10" s="353"/>
      <c r="MJM10" s="353"/>
      <c r="MJN10" s="353"/>
      <c r="MJO10" s="353"/>
      <c r="MJP10" s="353"/>
      <c r="MJQ10" s="353"/>
      <c r="MJR10" s="353"/>
      <c r="MJS10" s="353"/>
      <c r="MJT10" s="353"/>
      <c r="MJU10" s="353"/>
      <c r="MJV10" s="353"/>
      <c r="MJW10" s="353"/>
      <c r="MJX10" s="353"/>
      <c r="MJY10" s="353"/>
      <c r="MJZ10" s="353"/>
      <c r="MKA10" s="353"/>
      <c r="MKB10" s="353"/>
      <c r="MKC10" s="353"/>
      <c r="MKD10" s="353"/>
      <c r="MKE10" s="353"/>
      <c r="MKF10" s="353"/>
      <c r="MKG10" s="353"/>
      <c r="MKH10" s="353"/>
      <c r="MKI10" s="353"/>
      <c r="MKJ10" s="353"/>
      <c r="MKK10" s="353"/>
      <c r="MKL10" s="353"/>
      <c r="MKM10" s="353"/>
      <c r="MKN10" s="353"/>
      <c r="MKO10" s="353"/>
      <c r="MKP10" s="353"/>
      <c r="MKQ10" s="353"/>
      <c r="MKR10" s="353"/>
      <c r="MKS10" s="353"/>
      <c r="MKT10" s="353"/>
      <c r="MKU10" s="353"/>
      <c r="MKV10" s="353"/>
      <c r="MKW10" s="353"/>
      <c r="MKX10" s="353"/>
      <c r="MKY10" s="353"/>
      <c r="MKZ10" s="353"/>
      <c r="MLA10" s="353"/>
      <c r="MLB10" s="353"/>
      <c r="MLC10" s="353"/>
      <c r="MLD10" s="353"/>
      <c r="MLE10" s="353"/>
      <c r="MLF10" s="353"/>
      <c r="MLG10" s="353"/>
      <c r="MLH10" s="353"/>
      <c r="MLI10" s="353"/>
      <c r="MLJ10" s="353"/>
      <c r="MLK10" s="353"/>
      <c r="MLL10" s="353"/>
      <c r="MLM10" s="353"/>
      <c r="MLN10" s="353"/>
      <c r="MLO10" s="353"/>
      <c r="MLP10" s="353"/>
      <c r="MLQ10" s="353"/>
      <c r="MLR10" s="353"/>
      <c r="MLS10" s="353"/>
      <c r="MLT10" s="353"/>
      <c r="MLU10" s="353"/>
      <c r="MLV10" s="353"/>
      <c r="MLW10" s="353"/>
      <c r="MLX10" s="353"/>
      <c r="MLY10" s="353"/>
      <c r="MLZ10" s="353"/>
      <c r="MMA10" s="353"/>
      <c r="MMB10" s="353"/>
      <c r="MMC10" s="353"/>
      <c r="MMD10" s="353"/>
      <c r="MME10" s="353"/>
      <c r="MMF10" s="353"/>
      <c r="MMG10" s="353"/>
      <c r="MMH10" s="353"/>
      <c r="MMI10" s="353"/>
      <c r="MMJ10" s="353"/>
      <c r="MMK10" s="353"/>
      <c r="MML10" s="353"/>
      <c r="MMM10" s="353"/>
      <c r="MMN10" s="353"/>
      <c r="MMO10" s="353"/>
      <c r="MMP10" s="353"/>
      <c r="MMQ10" s="353"/>
      <c r="MMR10" s="353"/>
      <c r="MMS10" s="353"/>
      <c r="MMT10" s="353"/>
      <c r="MMU10" s="353"/>
      <c r="MMV10" s="353"/>
      <c r="MMW10" s="353"/>
      <c r="MMX10" s="353"/>
      <c r="MMY10" s="353"/>
      <c r="MMZ10" s="353"/>
      <c r="MNA10" s="353"/>
      <c r="MNB10" s="353"/>
      <c r="MNC10" s="353"/>
      <c r="MND10" s="353"/>
      <c r="MNE10" s="353"/>
      <c r="MNF10" s="353"/>
      <c r="MNG10" s="353"/>
      <c r="MNH10" s="353"/>
      <c r="MNI10" s="353"/>
      <c r="MNJ10" s="353"/>
      <c r="MNK10" s="353"/>
      <c r="MNL10" s="353"/>
      <c r="MNM10" s="353"/>
      <c r="MNN10" s="353"/>
      <c r="MNO10" s="353"/>
      <c r="MNP10" s="353"/>
      <c r="MNQ10" s="353"/>
      <c r="MNR10" s="353"/>
      <c r="MNS10" s="353"/>
      <c r="MNT10" s="353"/>
      <c r="MNU10" s="353"/>
      <c r="MNV10" s="353"/>
      <c r="MNW10" s="353"/>
      <c r="MNX10" s="353"/>
      <c r="MNY10" s="353"/>
      <c r="MNZ10" s="353"/>
      <c r="MOA10" s="353"/>
      <c r="MOB10" s="353"/>
      <c r="MOC10" s="353"/>
      <c r="MOD10" s="353"/>
      <c r="MOE10" s="353"/>
      <c r="MOF10" s="353"/>
      <c r="MOG10" s="353"/>
      <c r="MOH10" s="353"/>
      <c r="MOI10" s="353"/>
      <c r="MOJ10" s="353"/>
      <c r="MOK10" s="353"/>
      <c r="MOL10" s="353"/>
      <c r="MOM10" s="353"/>
      <c r="MON10" s="353"/>
      <c r="MOO10" s="353"/>
      <c r="MOP10" s="353"/>
      <c r="MOQ10" s="353"/>
      <c r="MOR10" s="353"/>
      <c r="MOS10" s="353"/>
      <c r="MOT10" s="353"/>
      <c r="MOU10" s="353"/>
      <c r="MOV10" s="353"/>
      <c r="MOW10" s="353"/>
      <c r="MOX10" s="353"/>
      <c r="MOY10" s="353"/>
      <c r="MOZ10" s="353"/>
      <c r="MPA10" s="353"/>
      <c r="MPB10" s="353"/>
      <c r="MPC10" s="353"/>
      <c r="MPD10" s="353"/>
      <c r="MPE10" s="353"/>
      <c r="MPF10" s="353"/>
      <c r="MPG10" s="353"/>
      <c r="MPH10" s="353"/>
      <c r="MPI10" s="353"/>
      <c r="MPJ10" s="353"/>
      <c r="MPK10" s="353"/>
      <c r="MPL10" s="353"/>
      <c r="MPM10" s="353"/>
      <c r="MPN10" s="353"/>
      <c r="MPO10" s="353"/>
      <c r="MPP10" s="353"/>
      <c r="MPQ10" s="353"/>
      <c r="MPR10" s="353"/>
      <c r="MPS10" s="353"/>
      <c r="MPT10" s="353"/>
      <c r="MPU10" s="353"/>
      <c r="MPV10" s="353"/>
      <c r="MPW10" s="353"/>
      <c r="MPX10" s="353"/>
      <c r="MPY10" s="353"/>
      <c r="MPZ10" s="353"/>
      <c r="MQA10" s="353"/>
      <c r="MQB10" s="353"/>
      <c r="MQC10" s="353"/>
      <c r="MQD10" s="353"/>
      <c r="MQE10" s="353"/>
      <c r="MQF10" s="353"/>
      <c r="MQG10" s="353"/>
      <c r="MQH10" s="353"/>
      <c r="MQI10" s="353"/>
      <c r="MQJ10" s="353"/>
      <c r="MQK10" s="353"/>
      <c r="MQL10" s="353"/>
      <c r="MQM10" s="353"/>
      <c r="MQN10" s="353"/>
      <c r="MQO10" s="353"/>
      <c r="MQP10" s="353"/>
      <c r="MQQ10" s="353"/>
      <c r="MQR10" s="353"/>
      <c r="MQS10" s="353"/>
      <c r="MQT10" s="353"/>
      <c r="MQU10" s="353"/>
      <c r="MQV10" s="353"/>
      <c r="MQW10" s="353"/>
      <c r="MQX10" s="353"/>
      <c r="MQY10" s="353"/>
      <c r="MQZ10" s="353"/>
      <c r="MRA10" s="353"/>
      <c r="MRB10" s="353"/>
      <c r="MRC10" s="353"/>
      <c r="MRD10" s="353"/>
      <c r="MRE10" s="353"/>
      <c r="MRF10" s="353"/>
      <c r="MRG10" s="353"/>
      <c r="MRH10" s="353"/>
      <c r="MRI10" s="353"/>
      <c r="MRJ10" s="353"/>
      <c r="MRK10" s="353"/>
      <c r="MRL10" s="353"/>
      <c r="MRM10" s="353"/>
      <c r="MRN10" s="353"/>
      <c r="MRO10" s="353"/>
      <c r="MRP10" s="353"/>
      <c r="MRQ10" s="353"/>
      <c r="MRR10" s="353"/>
      <c r="MRS10" s="353"/>
      <c r="MRT10" s="353"/>
      <c r="MRU10" s="353"/>
      <c r="MRV10" s="353"/>
      <c r="MRW10" s="353"/>
      <c r="MRX10" s="353"/>
      <c r="MRY10" s="353"/>
      <c r="MRZ10" s="353"/>
      <c r="MSA10" s="353"/>
      <c r="MSB10" s="353"/>
      <c r="MSC10" s="353"/>
      <c r="MSD10" s="353"/>
      <c r="MSE10" s="353"/>
      <c r="MSF10" s="353"/>
      <c r="MSG10" s="353"/>
      <c r="MSH10" s="353"/>
      <c r="MSI10" s="353"/>
      <c r="MSJ10" s="353"/>
      <c r="MSK10" s="353"/>
      <c r="MSL10" s="353"/>
      <c r="MSM10" s="353"/>
      <c r="MSN10" s="353"/>
      <c r="MSO10" s="353"/>
      <c r="MSP10" s="353"/>
      <c r="MSQ10" s="353"/>
      <c r="MSR10" s="353"/>
      <c r="MSS10" s="353"/>
      <c r="MST10" s="353"/>
      <c r="MSU10" s="353"/>
      <c r="MSV10" s="353"/>
      <c r="MSW10" s="353"/>
      <c r="MSX10" s="353"/>
      <c r="MSY10" s="353"/>
      <c r="MSZ10" s="353"/>
      <c r="MTA10" s="353"/>
      <c r="MTB10" s="353"/>
      <c r="MTC10" s="353"/>
      <c r="MTD10" s="353"/>
      <c r="MTE10" s="353"/>
      <c r="MTF10" s="353"/>
      <c r="MTG10" s="353"/>
      <c r="MTH10" s="353"/>
      <c r="MTI10" s="353"/>
      <c r="MTJ10" s="353"/>
      <c r="MTK10" s="353"/>
      <c r="MTL10" s="353"/>
      <c r="MTM10" s="353"/>
      <c r="MTN10" s="353"/>
      <c r="MTO10" s="353"/>
      <c r="MTP10" s="353"/>
      <c r="MTQ10" s="353"/>
      <c r="MTR10" s="353"/>
      <c r="MTS10" s="353"/>
      <c r="MTT10" s="353"/>
      <c r="MTU10" s="353"/>
      <c r="MTV10" s="353"/>
      <c r="MTW10" s="353"/>
      <c r="MTX10" s="353"/>
      <c r="MTY10" s="353"/>
      <c r="MTZ10" s="353"/>
      <c r="MUA10" s="353"/>
      <c r="MUB10" s="353"/>
      <c r="MUC10" s="353"/>
      <c r="MUD10" s="353"/>
      <c r="MUE10" s="353"/>
      <c r="MUF10" s="353"/>
      <c r="MUG10" s="353"/>
      <c r="MUH10" s="353"/>
      <c r="MUI10" s="353"/>
      <c r="MUJ10" s="353"/>
      <c r="MUK10" s="353"/>
      <c r="MUL10" s="353"/>
      <c r="MUM10" s="353"/>
      <c r="MUN10" s="353"/>
      <c r="MUO10" s="353"/>
      <c r="MUP10" s="353"/>
      <c r="MUQ10" s="353"/>
      <c r="MUR10" s="353"/>
      <c r="MUS10" s="353"/>
      <c r="MUT10" s="353"/>
      <c r="MUU10" s="353"/>
      <c r="MUV10" s="353"/>
      <c r="MUW10" s="353"/>
      <c r="MUX10" s="353"/>
      <c r="MUY10" s="353"/>
      <c r="MUZ10" s="353"/>
      <c r="MVA10" s="353"/>
      <c r="MVB10" s="353"/>
      <c r="MVC10" s="353"/>
      <c r="MVD10" s="353"/>
      <c r="MVE10" s="353"/>
      <c r="MVF10" s="353"/>
      <c r="MVG10" s="353"/>
      <c r="MVH10" s="353"/>
      <c r="MVI10" s="353"/>
      <c r="MVJ10" s="353"/>
      <c r="MVK10" s="353"/>
      <c r="MVL10" s="353"/>
      <c r="MVM10" s="353"/>
      <c r="MVN10" s="353"/>
      <c r="MVO10" s="353"/>
      <c r="MVP10" s="353"/>
      <c r="MVQ10" s="353"/>
      <c r="MVR10" s="353"/>
      <c r="MVS10" s="353"/>
      <c r="MVT10" s="353"/>
      <c r="MVU10" s="353"/>
      <c r="MVV10" s="353"/>
      <c r="MVW10" s="353"/>
      <c r="MVX10" s="353"/>
      <c r="MVY10" s="353"/>
      <c r="MVZ10" s="353"/>
      <c r="MWA10" s="353"/>
      <c r="MWB10" s="353"/>
      <c r="MWC10" s="353"/>
      <c r="MWD10" s="353"/>
      <c r="MWE10" s="353"/>
      <c r="MWF10" s="353"/>
      <c r="MWG10" s="353"/>
      <c r="MWH10" s="353"/>
      <c r="MWI10" s="353"/>
      <c r="MWJ10" s="353"/>
      <c r="MWK10" s="353"/>
      <c r="MWL10" s="353"/>
      <c r="MWM10" s="353"/>
      <c r="MWN10" s="353"/>
      <c r="MWO10" s="353"/>
      <c r="MWP10" s="353"/>
      <c r="MWQ10" s="353"/>
      <c r="MWR10" s="353"/>
      <c r="MWS10" s="353"/>
      <c r="MWT10" s="353"/>
      <c r="MWU10" s="353"/>
      <c r="MWV10" s="353"/>
      <c r="MWW10" s="353"/>
      <c r="MWX10" s="353"/>
      <c r="MWY10" s="353"/>
      <c r="MWZ10" s="353"/>
      <c r="MXA10" s="353"/>
      <c r="MXB10" s="353"/>
      <c r="MXC10" s="353"/>
      <c r="MXD10" s="353"/>
      <c r="MXE10" s="353"/>
      <c r="MXF10" s="353"/>
      <c r="MXG10" s="353"/>
      <c r="MXH10" s="353"/>
      <c r="MXI10" s="353"/>
      <c r="MXJ10" s="353"/>
      <c r="MXK10" s="353"/>
      <c r="MXL10" s="353"/>
      <c r="MXM10" s="353"/>
      <c r="MXN10" s="353"/>
      <c r="MXO10" s="353"/>
      <c r="MXP10" s="353"/>
      <c r="MXQ10" s="353"/>
      <c r="MXR10" s="353"/>
      <c r="MXS10" s="353"/>
      <c r="MXT10" s="353"/>
      <c r="MXU10" s="353"/>
      <c r="MXV10" s="353"/>
      <c r="MXW10" s="353"/>
      <c r="MXX10" s="353"/>
      <c r="MXY10" s="353"/>
      <c r="MXZ10" s="353"/>
      <c r="MYA10" s="353"/>
      <c r="MYB10" s="353"/>
      <c r="MYC10" s="353"/>
      <c r="MYD10" s="353"/>
      <c r="MYE10" s="353"/>
      <c r="MYF10" s="353"/>
      <c r="MYG10" s="353"/>
      <c r="MYH10" s="353"/>
      <c r="MYI10" s="353"/>
      <c r="MYJ10" s="353"/>
      <c r="MYK10" s="353"/>
      <c r="MYL10" s="353"/>
      <c r="MYM10" s="353"/>
      <c r="MYN10" s="353"/>
      <c r="MYO10" s="353"/>
      <c r="MYP10" s="353"/>
      <c r="MYQ10" s="353"/>
      <c r="MYR10" s="353"/>
      <c r="MYS10" s="353"/>
      <c r="MYT10" s="353"/>
      <c r="MYU10" s="353"/>
      <c r="MYV10" s="353"/>
      <c r="MYW10" s="353"/>
      <c r="MYX10" s="353"/>
      <c r="MYY10" s="353"/>
      <c r="MYZ10" s="353"/>
      <c r="MZA10" s="353"/>
      <c r="MZB10" s="353"/>
      <c r="MZC10" s="353"/>
      <c r="MZD10" s="353"/>
      <c r="MZE10" s="353"/>
      <c r="MZF10" s="353"/>
      <c r="MZG10" s="353"/>
      <c r="MZH10" s="353"/>
      <c r="MZI10" s="353"/>
      <c r="MZJ10" s="353"/>
      <c r="MZK10" s="353"/>
      <c r="MZL10" s="353"/>
      <c r="MZM10" s="353"/>
      <c r="MZN10" s="353"/>
      <c r="MZO10" s="353"/>
      <c r="MZP10" s="353"/>
      <c r="MZQ10" s="353"/>
      <c r="MZR10" s="353"/>
      <c r="MZS10" s="353"/>
      <c r="MZT10" s="353"/>
      <c r="MZU10" s="353"/>
      <c r="MZV10" s="353"/>
      <c r="MZW10" s="353"/>
      <c r="MZX10" s="353"/>
      <c r="MZY10" s="353"/>
      <c r="MZZ10" s="353"/>
      <c r="NAA10" s="353"/>
      <c r="NAB10" s="353"/>
      <c r="NAC10" s="353"/>
      <c r="NAD10" s="353"/>
      <c r="NAE10" s="353"/>
      <c r="NAF10" s="353"/>
      <c r="NAG10" s="353"/>
      <c r="NAH10" s="353"/>
      <c r="NAI10" s="353"/>
      <c r="NAJ10" s="353"/>
      <c r="NAK10" s="353"/>
      <c r="NAL10" s="353"/>
      <c r="NAM10" s="353"/>
      <c r="NAN10" s="353"/>
      <c r="NAO10" s="353"/>
      <c r="NAP10" s="353"/>
      <c r="NAQ10" s="353"/>
      <c r="NAR10" s="353"/>
      <c r="NAS10" s="353"/>
      <c r="NAT10" s="353"/>
      <c r="NAU10" s="353"/>
      <c r="NAV10" s="353"/>
      <c r="NAW10" s="353"/>
      <c r="NAX10" s="353"/>
      <c r="NAY10" s="353"/>
      <c r="NAZ10" s="353"/>
      <c r="NBA10" s="353"/>
      <c r="NBB10" s="353"/>
      <c r="NBC10" s="353"/>
      <c r="NBD10" s="353"/>
      <c r="NBE10" s="353"/>
      <c r="NBF10" s="353"/>
      <c r="NBG10" s="353"/>
      <c r="NBH10" s="353"/>
      <c r="NBI10" s="353"/>
      <c r="NBJ10" s="353"/>
      <c r="NBK10" s="353"/>
      <c r="NBL10" s="353"/>
      <c r="NBM10" s="353"/>
      <c r="NBN10" s="353"/>
      <c r="NBO10" s="353"/>
      <c r="NBP10" s="353"/>
      <c r="NBQ10" s="353"/>
      <c r="NBR10" s="353"/>
      <c r="NBS10" s="353"/>
      <c r="NBT10" s="353"/>
      <c r="NBU10" s="353"/>
      <c r="NBV10" s="353"/>
      <c r="NBW10" s="353"/>
      <c r="NBX10" s="353"/>
      <c r="NBY10" s="353"/>
      <c r="NBZ10" s="353"/>
      <c r="NCA10" s="353"/>
      <c r="NCB10" s="353"/>
      <c r="NCC10" s="353"/>
      <c r="NCD10" s="353"/>
      <c r="NCE10" s="353"/>
      <c r="NCF10" s="353"/>
      <c r="NCG10" s="353"/>
      <c r="NCH10" s="353"/>
      <c r="NCI10" s="353"/>
      <c r="NCJ10" s="353"/>
      <c r="NCK10" s="353"/>
      <c r="NCL10" s="353"/>
      <c r="NCM10" s="353"/>
      <c r="NCN10" s="353"/>
      <c r="NCO10" s="353"/>
      <c r="NCP10" s="353"/>
      <c r="NCQ10" s="353"/>
      <c r="NCR10" s="353"/>
      <c r="NCS10" s="353"/>
      <c r="NCT10" s="353"/>
      <c r="NCU10" s="353"/>
      <c r="NCV10" s="353"/>
      <c r="NCW10" s="353"/>
      <c r="NCX10" s="353"/>
      <c r="NCY10" s="353"/>
      <c r="NCZ10" s="353"/>
      <c r="NDA10" s="353"/>
      <c r="NDB10" s="353"/>
      <c r="NDC10" s="353"/>
      <c r="NDD10" s="353"/>
      <c r="NDE10" s="353"/>
      <c r="NDF10" s="353"/>
      <c r="NDG10" s="353"/>
      <c r="NDH10" s="353"/>
      <c r="NDI10" s="353"/>
      <c r="NDJ10" s="353"/>
      <c r="NDK10" s="353"/>
      <c r="NDL10" s="353"/>
      <c r="NDM10" s="353"/>
      <c r="NDN10" s="353"/>
      <c r="NDO10" s="353"/>
      <c r="NDP10" s="353"/>
      <c r="NDQ10" s="353"/>
      <c r="NDR10" s="353"/>
      <c r="NDS10" s="353"/>
      <c r="NDT10" s="353"/>
      <c r="NDU10" s="353"/>
      <c r="NDV10" s="353"/>
      <c r="NDW10" s="353"/>
      <c r="NDX10" s="353"/>
      <c r="NDY10" s="353"/>
      <c r="NDZ10" s="353"/>
      <c r="NEA10" s="353"/>
      <c r="NEB10" s="353"/>
      <c r="NEC10" s="353"/>
      <c r="NED10" s="353"/>
      <c r="NEE10" s="353"/>
      <c r="NEF10" s="353"/>
      <c r="NEG10" s="353"/>
      <c r="NEH10" s="353"/>
      <c r="NEI10" s="353"/>
      <c r="NEJ10" s="353"/>
      <c r="NEK10" s="353"/>
      <c r="NEL10" s="353"/>
      <c r="NEM10" s="353"/>
      <c r="NEN10" s="353"/>
      <c r="NEO10" s="353"/>
      <c r="NEP10" s="353"/>
      <c r="NEQ10" s="353"/>
      <c r="NER10" s="353"/>
      <c r="NES10" s="353"/>
      <c r="NET10" s="353"/>
      <c r="NEU10" s="353"/>
      <c r="NEV10" s="353"/>
      <c r="NEW10" s="353"/>
      <c r="NEX10" s="353"/>
      <c r="NEY10" s="353"/>
      <c r="NEZ10" s="353"/>
      <c r="NFA10" s="353"/>
      <c r="NFB10" s="353"/>
      <c r="NFC10" s="353"/>
      <c r="NFD10" s="353"/>
      <c r="NFE10" s="353"/>
      <c r="NFF10" s="353"/>
      <c r="NFG10" s="353"/>
      <c r="NFH10" s="353"/>
      <c r="NFI10" s="353"/>
      <c r="NFJ10" s="353"/>
      <c r="NFK10" s="353"/>
      <c r="NFL10" s="353"/>
      <c r="NFM10" s="353"/>
      <c r="NFN10" s="353"/>
      <c r="NFO10" s="353"/>
      <c r="NFP10" s="353"/>
      <c r="NFQ10" s="353"/>
      <c r="NFR10" s="353"/>
      <c r="NFS10" s="353"/>
      <c r="NFT10" s="353"/>
      <c r="NFU10" s="353"/>
      <c r="NFV10" s="353"/>
      <c r="NFW10" s="353"/>
      <c r="NFX10" s="353"/>
      <c r="NFY10" s="353"/>
      <c r="NFZ10" s="353"/>
      <c r="NGA10" s="353"/>
      <c r="NGB10" s="353"/>
      <c r="NGC10" s="353"/>
      <c r="NGD10" s="353"/>
      <c r="NGE10" s="353"/>
      <c r="NGF10" s="353"/>
      <c r="NGG10" s="353"/>
      <c r="NGH10" s="353"/>
      <c r="NGI10" s="353"/>
      <c r="NGJ10" s="353"/>
      <c r="NGK10" s="353"/>
      <c r="NGL10" s="353"/>
      <c r="NGM10" s="353"/>
      <c r="NGN10" s="353"/>
      <c r="NGO10" s="353"/>
      <c r="NGP10" s="353"/>
      <c r="NGQ10" s="353"/>
      <c r="NGR10" s="353"/>
      <c r="NGS10" s="353"/>
      <c r="NGT10" s="353"/>
      <c r="NGU10" s="353"/>
      <c r="NGV10" s="353"/>
      <c r="NGW10" s="353"/>
      <c r="NGX10" s="353"/>
      <c r="NGY10" s="353"/>
      <c r="NGZ10" s="353"/>
      <c r="NHA10" s="353"/>
      <c r="NHB10" s="353"/>
      <c r="NHC10" s="353"/>
      <c r="NHD10" s="353"/>
      <c r="NHE10" s="353"/>
      <c r="NHF10" s="353"/>
      <c r="NHG10" s="353"/>
      <c r="NHH10" s="353"/>
      <c r="NHI10" s="353"/>
      <c r="NHJ10" s="353"/>
      <c r="NHK10" s="353"/>
      <c r="NHL10" s="353"/>
      <c r="NHM10" s="353"/>
      <c r="NHN10" s="353"/>
      <c r="NHO10" s="353"/>
      <c r="NHP10" s="353"/>
      <c r="NHQ10" s="353"/>
      <c r="NHR10" s="353"/>
      <c r="NHS10" s="353"/>
      <c r="NHT10" s="353"/>
      <c r="NHU10" s="353"/>
      <c r="NHV10" s="353"/>
      <c r="NHW10" s="353"/>
      <c r="NHX10" s="353"/>
      <c r="NHY10" s="353"/>
      <c r="NHZ10" s="353"/>
      <c r="NIA10" s="353"/>
      <c r="NIB10" s="353"/>
      <c r="NIC10" s="353"/>
      <c r="NID10" s="353"/>
      <c r="NIE10" s="353"/>
      <c r="NIF10" s="353"/>
      <c r="NIG10" s="353"/>
      <c r="NIH10" s="353"/>
      <c r="NII10" s="353"/>
      <c r="NIJ10" s="353"/>
      <c r="NIK10" s="353"/>
      <c r="NIL10" s="353"/>
      <c r="NIM10" s="353"/>
      <c r="NIN10" s="353"/>
      <c r="NIO10" s="353"/>
      <c r="NIP10" s="353"/>
      <c r="NIQ10" s="353"/>
      <c r="NIR10" s="353"/>
      <c r="NIS10" s="353"/>
      <c r="NIT10" s="353"/>
      <c r="NIU10" s="353"/>
      <c r="NIV10" s="353"/>
      <c r="NIW10" s="353"/>
      <c r="NIX10" s="353"/>
      <c r="NIY10" s="353"/>
      <c r="NIZ10" s="353"/>
      <c r="NJA10" s="353"/>
      <c r="NJB10" s="353"/>
      <c r="NJC10" s="353"/>
      <c r="NJD10" s="353"/>
      <c r="NJE10" s="353"/>
      <c r="NJF10" s="353"/>
      <c r="NJG10" s="353"/>
      <c r="NJH10" s="353"/>
      <c r="NJI10" s="353"/>
      <c r="NJJ10" s="353"/>
      <c r="NJK10" s="353"/>
      <c r="NJL10" s="353"/>
      <c r="NJM10" s="353"/>
      <c r="NJN10" s="353"/>
      <c r="NJO10" s="353"/>
      <c r="NJP10" s="353"/>
      <c r="NJQ10" s="353"/>
      <c r="NJR10" s="353"/>
      <c r="NJS10" s="353"/>
      <c r="NJT10" s="353"/>
      <c r="NJU10" s="353"/>
      <c r="NJV10" s="353"/>
      <c r="NJW10" s="353"/>
      <c r="NJX10" s="353"/>
      <c r="NJY10" s="353"/>
      <c r="NJZ10" s="353"/>
      <c r="NKA10" s="353"/>
      <c r="NKB10" s="353"/>
      <c r="NKC10" s="353"/>
      <c r="NKD10" s="353"/>
      <c r="NKE10" s="353"/>
      <c r="NKF10" s="353"/>
      <c r="NKG10" s="353"/>
      <c r="NKH10" s="353"/>
      <c r="NKI10" s="353"/>
      <c r="NKJ10" s="353"/>
      <c r="NKK10" s="353"/>
      <c r="NKL10" s="353"/>
      <c r="NKM10" s="353"/>
      <c r="NKN10" s="353"/>
      <c r="NKO10" s="353"/>
      <c r="NKP10" s="353"/>
      <c r="NKQ10" s="353"/>
      <c r="NKR10" s="353"/>
      <c r="NKS10" s="353"/>
      <c r="NKT10" s="353"/>
      <c r="NKU10" s="353"/>
      <c r="NKV10" s="353"/>
      <c r="NKW10" s="353"/>
      <c r="NKX10" s="353"/>
      <c r="NKY10" s="353"/>
      <c r="NKZ10" s="353"/>
      <c r="NLA10" s="353"/>
      <c r="NLB10" s="353"/>
      <c r="NLC10" s="353"/>
      <c r="NLD10" s="353"/>
      <c r="NLE10" s="353"/>
      <c r="NLF10" s="353"/>
      <c r="NLG10" s="353"/>
      <c r="NLH10" s="353"/>
      <c r="NLI10" s="353"/>
      <c r="NLJ10" s="353"/>
      <c r="NLK10" s="353"/>
      <c r="NLL10" s="353"/>
      <c r="NLM10" s="353"/>
      <c r="NLN10" s="353"/>
      <c r="NLO10" s="353"/>
      <c r="NLP10" s="353"/>
      <c r="NLQ10" s="353"/>
      <c r="NLR10" s="353"/>
      <c r="NLS10" s="353"/>
      <c r="NLT10" s="353"/>
      <c r="NLU10" s="353"/>
      <c r="NLV10" s="353"/>
      <c r="NLW10" s="353"/>
      <c r="NLX10" s="353"/>
      <c r="NLY10" s="353"/>
      <c r="NLZ10" s="353"/>
      <c r="NMA10" s="353"/>
      <c r="NMB10" s="353"/>
      <c r="NMC10" s="353"/>
      <c r="NMD10" s="353"/>
      <c r="NME10" s="353"/>
      <c r="NMF10" s="353"/>
      <c r="NMG10" s="353"/>
      <c r="NMH10" s="353"/>
      <c r="NMI10" s="353"/>
      <c r="NMJ10" s="353"/>
      <c r="NMK10" s="353"/>
      <c r="NML10" s="353"/>
      <c r="NMM10" s="353"/>
      <c r="NMN10" s="353"/>
      <c r="NMO10" s="353"/>
      <c r="NMP10" s="353"/>
      <c r="NMQ10" s="353"/>
      <c r="NMR10" s="353"/>
      <c r="NMS10" s="353"/>
      <c r="NMT10" s="353"/>
      <c r="NMU10" s="353"/>
      <c r="NMV10" s="353"/>
      <c r="NMW10" s="353"/>
      <c r="NMX10" s="353"/>
      <c r="NMY10" s="353"/>
      <c r="NMZ10" s="353"/>
      <c r="NNA10" s="353"/>
      <c r="NNB10" s="353"/>
      <c r="NNC10" s="353"/>
      <c r="NND10" s="353"/>
      <c r="NNE10" s="353"/>
      <c r="NNF10" s="353"/>
      <c r="NNG10" s="353"/>
      <c r="NNH10" s="353"/>
      <c r="NNI10" s="353"/>
      <c r="NNJ10" s="353"/>
      <c r="NNK10" s="353"/>
      <c r="NNL10" s="353"/>
      <c r="NNM10" s="353"/>
      <c r="NNN10" s="353"/>
      <c r="NNO10" s="353"/>
      <c r="NNP10" s="353"/>
      <c r="NNQ10" s="353"/>
      <c r="NNR10" s="353"/>
      <c r="NNS10" s="353"/>
      <c r="NNT10" s="353"/>
      <c r="NNU10" s="353"/>
      <c r="NNV10" s="353"/>
      <c r="NNW10" s="353"/>
      <c r="NNX10" s="353"/>
      <c r="NNY10" s="353"/>
      <c r="NNZ10" s="353"/>
      <c r="NOA10" s="353"/>
      <c r="NOB10" s="353"/>
      <c r="NOC10" s="353"/>
      <c r="NOD10" s="353"/>
      <c r="NOE10" s="353"/>
      <c r="NOF10" s="353"/>
      <c r="NOG10" s="353"/>
      <c r="NOH10" s="353"/>
      <c r="NOI10" s="353"/>
      <c r="NOJ10" s="353"/>
      <c r="NOK10" s="353"/>
      <c r="NOL10" s="353"/>
      <c r="NOM10" s="353"/>
      <c r="NON10" s="353"/>
      <c r="NOO10" s="353"/>
      <c r="NOP10" s="353"/>
      <c r="NOQ10" s="353"/>
      <c r="NOR10" s="353"/>
      <c r="NOS10" s="353"/>
      <c r="NOT10" s="353"/>
      <c r="NOU10" s="353"/>
      <c r="NOV10" s="353"/>
      <c r="NOW10" s="353"/>
      <c r="NOX10" s="353"/>
      <c r="NOY10" s="353"/>
      <c r="NOZ10" s="353"/>
      <c r="NPA10" s="353"/>
      <c r="NPB10" s="353"/>
      <c r="NPC10" s="353"/>
      <c r="NPD10" s="353"/>
      <c r="NPE10" s="353"/>
      <c r="NPF10" s="353"/>
      <c r="NPG10" s="353"/>
      <c r="NPH10" s="353"/>
      <c r="NPI10" s="353"/>
      <c r="NPJ10" s="353"/>
      <c r="NPK10" s="353"/>
      <c r="NPL10" s="353"/>
      <c r="NPM10" s="353"/>
      <c r="NPN10" s="353"/>
      <c r="NPO10" s="353"/>
      <c r="NPP10" s="353"/>
      <c r="NPQ10" s="353"/>
      <c r="NPR10" s="353"/>
      <c r="NPS10" s="353"/>
      <c r="NPT10" s="353"/>
      <c r="NPU10" s="353"/>
      <c r="NPV10" s="353"/>
      <c r="NPW10" s="353"/>
      <c r="NPX10" s="353"/>
      <c r="NPY10" s="353"/>
      <c r="NPZ10" s="353"/>
      <c r="NQA10" s="353"/>
      <c r="NQB10" s="353"/>
      <c r="NQC10" s="353"/>
      <c r="NQD10" s="353"/>
      <c r="NQE10" s="353"/>
      <c r="NQF10" s="353"/>
      <c r="NQG10" s="353"/>
      <c r="NQH10" s="353"/>
      <c r="NQI10" s="353"/>
      <c r="NQJ10" s="353"/>
      <c r="NQK10" s="353"/>
      <c r="NQL10" s="353"/>
      <c r="NQM10" s="353"/>
      <c r="NQN10" s="353"/>
      <c r="NQO10" s="353"/>
      <c r="NQP10" s="353"/>
      <c r="NQQ10" s="353"/>
      <c r="NQR10" s="353"/>
      <c r="NQS10" s="353"/>
      <c r="NQT10" s="353"/>
      <c r="NQU10" s="353"/>
      <c r="NQV10" s="353"/>
      <c r="NQW10" s="353"/>
      <c r="NQX10" s="353"/>
      <c r="NQY10" s="353"/>
      <c r="NQZ10" s="353"/>
      <c r="NRA10" s="353"/>
      <c r="NRB10" s="353"/>
      <c r="NRC10" s="353"/>
      <c r="NRD10" s="353"/>
      <c r="NRE10" s="353"/>
      <c r="NRF10" s="353"/>
      <c r="NRG10" s="353"/>
      <c r="NRH10" s="353"/>
      <c r="NRI10" s="353"/>
      <c r="NRJ10" s="353"/>
      <c r="NRK10" s="353"/>
      <c r="NRL10" s="353"/>
      <c r="NRM10" s="353"/>
      <c r="NRN10" s="353"/>
      <c r="NRO10" s="353"/>
      <c r="NRP10" s="353"/>
      <c r="NRQ10" s="353"/>
      <c r="NRR10" s="353"/>
      <c r="NRS10" s="353"/>
      <c r="NRT10" s="353"/>
      <c r="NRU10" s="353"/>
      <c r="NRV10" s="353"/>
      <c r="NRW10" s="353"/>
      <c r="NRX10" s="353"/>
      <c r="NRY10" s="353"/>
      <c r="NRZ10" s="353"/>
      <c r="NSA10" s="353"/>
      <c r="NSB10" s="353"/>
      <c r="NSC10" s="353"/>
      <c r="NSD10" s="353"/>
      <c r="NSE10" s="353"/>
      <c r="NSF10" s="353"/>
      <c r="NSG10" s="353"/>
      <c r="NSH10" s="353"/>
      <c r="NSI10" s="353"/>
      <c r="NSJ10" s="353"/>
      <c r="NSK10" s="353"/>
      <c r="NSL10" s="353"/>
      <c r="NSM10" s="353"/>
      <c r="NSN10" s="353"/>
      <c r="NSO10" s="353"/>
      <c r="NSP10" s="353"/>
      <c r="NSQ10" s="353"/>
      <c r="NSR10" s="353"/>
      <c r="NSS10" s="353"/>
      <c r="NST10" s="353"/>
      <c r="NSU10" s="353"/>
      <c r="NSV10" s="353"/>
      <c r="NSW10" s="353"/>
      <c r="NSX10" s="353"/>
      <c r="NSY10" s="353"/>
      <c r="NSZ10" s="353"/>
      <c r="NTA10" s="353"/>
      <c r="NTB10" s="353"/>
      <c r="NTC10" s="353"/>
      <c r="NTD10" s="353"/>
      <c r="NTE10" s="353"/>
      <c r="NTF10" s="353"/>
      <c r="NTG10" s="353"/>
      <c r="NTH10" s="353"/>
      <c r="NTI10" s="353"/>
      <c r="NTJ10" s="353"/>
      <c r="NTK10" s="353"/>
      <c r="NTL10" s="353"/>
      <c r="NTM10" s="353"/>
      <c r="NTN10" s="353"/>
      <c r="NTO10" s="353"/>
      <c r="NTP10" s="353"/>
      <c r="NTQ10" s="353"/>
      <c r="NTR10" s="353"/>
      <c r="NTS10" s="353"/>
      <c r="NTT10" s="353"/>
      <c r="NTU10" s="353"/>
      <c r="NTV10" s="353"/>
      <c r="NTW10" s="353"/>
      <c r="NTX10" s="353"/>
      <c r="NTY10" s="353"/>
      <c r="NTZ10" s="353"/>
      <c r="NUA10" s="353"/>
      <c r="NUB10" s="353"/>
      <c r="NUC10" s="353"/>
      <c r="NUD10" s="353"/>
      <c r="NUE10" s="353"/>
      <c r="NUF10" s="353"/>
      <c r="NUG10" s="353"/>
      <c r="NUH10" s="353"/>
      <c r="NUI10" s="353"/>
      <c r="NUJ10" s="353"/>
      <c r="NUK10" s="353"/>
      <c r="NUL10" s="353"/>
      <c r="NUM10" s="353"/>
      <c r="NUN10" s="353"/>
      <c r="NUO10" s="353"/>
      <c r="NUP10" s="353"/>
      <c r="NUQ10" s="353"/>
      <c r="NUR10" s="353"/>
      <c r="NUS10" s="353"/>
      <c r="NUT10" s="353"/>
      <c r="NUU10" s="353"/>
      <c r="NUV10" s="353"/>
      <c r="NUW10" s="353"/>
      <c r="NUX10" s="353"/>
      <c r="NUY10" s="353"/>
      <c r="NUZ10" s="353"/>
      <c r="NVA10" s="353"/>
      <c r="NVB10" s="353"/>
      <c r="NVC10" s="353"/>
      <c r="NVD10" s="353"/>
      <c r="NVE10" s="353"/>
      <c r="NVF10" s="353"/>
      <c r="NVG10" s="353"/>
      <c r="NVH10" s="353"/>
      <c r="NVI10" s="353"/>
      <c r="NVJ10" s="353"/>
      <c r="NVK10" s="353"/>
      <c r="NVL10" s="353"/>
      <c r="NVM10" s="353"/>
      <c r="NVN10" s="353"/>
      <c r="NVO10" s="353"/>
      <c r="NVP10" s="353"/>
      <c r="NVQ10" s="353"/>
      <c r="NVR10" s="353"/>
      <c r="NVS10" s="353"/>
      <c r="NVT10" s="353"/>
      <c r="NVU10" s="353"/>
      <c r="NVV10" s="353"/>
      <c r="NVW10" s="353"/>
      <c r="NVX10" s="353"/>
      <c r="NVY10" s="353"/>
      <c r="NVZ10" s="353"/>
      <c r="NWA10" s="353"/>
      <c r="NWB10" s="353"/>
      <c r="NWC10" s="353"/>
      <c r="NWD10" s="353"/>
      <c r="NWE10" s="353"/>
      <c r="NWF10" s="353"/>
      <c r="NWG10" s="353"/>
      <c r="NWH10" s="353"/>
      <c r="NWI10" s="353"/>
      <c r="NWJ10" s="353"/>
      <c r="NWK10" s="353"/>
      <c r="NWL10" s="353"/>
      <c r="NWM10" s="353"/>
      <c r="NWN10" s="353"/>
      <c r="NWO10" s="353"/>
      <c r="NWP10" s="353"/>
      <c r="NWQ10" s="353"/>
      <c r="NWR10" s="353"/>
      <c r="NWS10" s="353"/>
      <c r="NWT10" s="353"/>
      <c r="NWU10" s="353"/>
      <c r="NWV10" s="353"/>
      <c r="NWW10" s="353"/>
      <c r="NWX10" s="353"/>
      <c r="NWY10" s="353"/>
      <c r="NWZ10" s="353"/>
      <c r="NXA10" s="353"/>
      <c r="NXB10" s="353"/>
      <c r="NXC10" s="353"/>
      <c r="NXD10" s="353"/>
      <c r="NXE10" s="353"/>
      <c r="NXF10" s="353"/>
      <c r="NXG10" s="353"/>
      <c r="NXH10" s="353"/>
      <c r="NXI10" s="353"/>
      <c r="NXJ10" s="353"/>
      <c r="NXK10" s="353"/>
      <c r="NXL10" s="353"/>
      <c r="NXM10" s="353"/>
      <c r="NXN10" s="353"/>
      <c r="NXO10" s="353"/>
      <c r="NXP10" s="353"/>
      <c r="NXQ10" s="353"/>
      <c r="NXR10" s="353"/>
      <c r="NXS10" s="353"/>
      <c r="NXT10" s="353"/>
      <c r="NXU10" s="353"/>
      <c r="NXV10" s="353"/>
      <c r="NXW10" s="353"/>
      <c r="NXX10" s="353"/>
      <c r="NXY10" s="353"/>
      <c r="NXZ10" s="353"/>
      <c r="NYA10" s="353"/>
      <c r="NYB10" s="353"/>
      <c r="NYC10" s="353"/>
      <c r="NYD10" s="353"/>
      <c r="NYE10" s="353"/>
      <c r="NYF10" s="353"/>
      <c r="NYG10" s="353"/>
      <c r="NYH10" s="353"/>
      <c r="NYI10" s="353"/>
      <c r="NYJ10" s="353"/>
      <c r="NYK10" s="353"/>
      <c r="NYL10" s="353"/>
      <c r="NYM10" s="353"/>
      <c r="NYN10" s="353"/>
      <c r="NYO10" s="353"/>
      <c r="NYP10" s="353"/>
      <c r="NYQ10" s="353"/>
      <c r="NYR10" s="353"/>
      <c r="NYS10" s="353"/>
      <c r="NYT10" s="353"/>
      <c r="NYU10" s="353"/>
      <c r="NYV10" s="353"/>
      <c r="NYW10" s="353"/>
      <c r="NYX10" s="353"/>
      <c r="NYY10" s="353"/>
      <c r="NYZ10" s="353"/>
      <c r="NZA10" s="353"/>
      <c r="NZB10" s="353"/>
      <c r="NZC10" s="353"/>
      <c r="NZD10" s="353"/>
      <c r="NZE10" s="353"/>
      <c r="NZF10" s="353"/>
      <c r="NZG10" s="353"/>
      <c r="NZH10" s="353"/>
      <c r="NZI10" s="353"/>
      <c r="NZJ10" s="353"/>
      <c r="NZK10" s="353"/>
      <c r="NZL10" s="353"/>
      <c r="NZM10" s="353"/>
      <c r="NZN10" s="353"/>
      <c r="NZO10" s="353"/>
      <c r="NZP10" s="353"/>
      <c r="NZQ10" s="353"/>
      <c r="NZR10" s="353"/>
      <c r="NZS10" s="353"/>
      <c r="NZT10" s="353"/>
      <c r="NZU10" s="353"/>
      <c r="NZV10" s="353"/>
      <c r="NZW10" s="353"/>
      <c r="NZX10" s="353"/>
      <c r="NZY10" s="353"/>
      <c r="NZZ10" s="353"/>
      <c r="OAA10" s="353"/>
      <c r="OAB10" s="353"/>
      <c r="OAC10" s="353"/>
      <c r="OAD10" s="353"/>
      <c r="OAE10" s="353"/>
      <c r="OAF10" s="353"/>
      <c r="OAG10" s="353"/>
      <c r="OAH10" s="353"/>
      <c r="OAI10" s="353"/>
      <c r="OAJ10" s="353"/>
      <c r="OAK10" s="353"/>
      <c r="OAL10" s="353"/>
      <c r="OAM10" s="353"/>
      <c r="OAN10" s="353"/>
      <c r="OAO10" s="353"/>
      <c r="OAP10" s="353"/>
      <c r="OAQ10" s="353"/>
      <c r="OAR10" s="353"/>
      <c r="OAS10" s="353"/>
      <c r="OAT10" s="353"/>
      <c r="OAU10" s="353"/>
      <c r="OAV10" s="353"/>
      <c r="OAW10" s="353"/>
      <c r="OAX10" s="353"/>
      <c r="OAY10" s="353"/>
      <c r="OAZ10" s="353"/>
      <c r="OBA10" s="353"/>
      <c r="OBB10" s="353"/>
      <c r="OBC10" s="353"/>
      <c r="OBD10" s="353"/>
      <c r="OBE10" s="353"/>
      <c r="OBF10" s="353"/>
      <c r="OBG10" s="353"/>
      <c r="OBH10" s="353"/>
      <c r="OBI10" s="353"/>
      <c r="OBJ10" s="353"/>
      <c r="OBK10" s="353"/>
      <c r="OBL10" s="353"/>
      <c r="OBM10" s="353"/>
      <c r="OBN10" s="353"/>
      <c r="OBO10" s="353"/>
      <c r="OBP10" s="353"/>
      <c r="OBQ10" s="353"/>
      <c r="OBR10" s="353"/>
      <c r="OBS10" s="353"/>
      <c r="OBT10" s="353"/>
      <c r="OBU10" s="353"/>
      <c r="OBV10" s="353"/>
      <c r="OBW10" s="353"/>
      <c r="OBX10" s="353"/>
      <c r="OBY10" s="353"/>
      <c r="OBZ10" s="353"/>
      <c r="OCA10" s="353"/>
      <c r="OCB10" s="353"/>
      <c r="OCC10" s="353"/>
      <c r="OCD10" s="353"/>
      <c r="OCE10" s="353"/>
      <c r="OCF10" s="353"/>
      <c r="OCG10" s="353"/>
      <c r="OCH10" s="353"/>
      <c r="OCI10" s="353"/>
      <c r="OCJ10" s="353"/>
      <c r="OCK10" s="353"/>
      <c r="OCL10" s="353"/>
      <c r="OCM10" s="353"/>
      <c r="OCN10" s="353"/>
      <c r="OCO10" s="353"/>
      <c r="OCP10" s="353"/>
      <c r="OCQ10" s="353"/>
      <c r="OCR10" s="353"/>
      <c r="OCS10" s="353"/>
      <c r="OCT10" s="353"/>
      <c r="OCU10" s="353"/>
      <c r="OCV10" s="353"/>
      <c r="OCW10" s="353"/>
      <c r="OCX10" s="353"/>
      <c r="OCY10" s="353"/>
      <c r="OCZ10" s="353"/>
      <c r="ODA10" s="353"/>
      <c r="ODB10" s="353"/>
      <c r="ODC10" s="353"/>
      <c r="ODD10" s="353"/>
      <c r="ODE10" s="353"/>
      <c r="ODF10" s="353"/>
      <c r="ODG10" s="353"/>
      <c r="ODH10" s="353"/>
      <c r="ODI10" s="353"/>
      <c r="ODJ10" s="353"/>
      <c r="ODK10" s="353"/>
      <c r="ODL10" s="353"/>
      <c r="ODM10" s="353"/>
      <c r="ODN10" s="353"/>
      <c r="ODO10" s="353"/>
      <c r="ODP10" s="353"/>
      <c r="ODQ10" s="353"/>
      <c r="ODR10" s="353"/>
      <c r="ODS10" s="353"/>
      <c r="ODT10" s="353"/>
      <c r="ODU10" s="353"/>
      <c r="ODV10" s="353"/>
      <c r="ODW10" s="353"/>
      <c r="ODX10" s="353"/>
      <c r="ODY10" s="353"/>
      <c r="ODZ10" s="353"/>
      <c r="OEA10" s="353"/>
      <c r="OEB10" s="353"/>
      <c r="OEC10" s="353"/>
      <c r="OED10" s="353"/>
      <c r="OEE10" s="353"/>
      <c r="OEF10" s="353"/>
      <c r="OEG10" s="353"/>
      <c r="OEH10" s="353"/>
      <c r="OEI10" s="353"/>
      <c r="OEJ10" s="353"/>
      <c r="OEK10" s="353"/>
      <c r="OEL10" s="353"/>
      <c r="OEM10" s="353"/>
      <c r="OEN10" s="353"/>
      <c r="OEO10" s="353"/>
      <c r="OEP10" s="353"/>
      <c r="OEQ10" s="353"/>
      <c r="OER10" s="353"/>
      <c r="OES10" s="353"/>
      <c r="OET10" s="353"/>
      <c r="OEU10" s="353"/>
      <c r="OEV10" s="353"/>
      <c r="OEW10" s="353"/>
      <c r="OEX10" s="353"/>
      <c r="OEY10" s="353"/>
      <c r="OEZ10" s="353"/>
      <c r="OFA10" s="353"/>
      <c r="OFB10" s="353"/>
      <c r="OFC10" s="353"/>
      <c r="OFD10" s="353"/>
      <c r="OFE10" s="353"/>
      <c r="OFF10" s="353"/>
      <c r="OFG10" s="353"/>
      <c r="OFH10" s="353"/>
      <c r="OFI10" s="353"/>
      <c r="OFJ10" s="353"/>
      <c r="OFK10" s="353"/>
      <c r="OFL10" s="353"/>
      <c r="OFM10" s="353"/>
      <c r="OFN10" s="353"/>
      <c r="OFO10" s="353"/>
      <c r="OFP10" s="353"/>
      <c r="OFQ10" s="353"/>
      <c r="OFR10" s="353"/>
      <c r="OFS10" s="353"/>
      <c r="OFT10" s="353"/>
      <c r="OFU10" s="353"/>
      <c r="OFV10" s="353"/>
      <c r="OFW10" s="353"/>
      <c r="OFX10" s="353"/>
      <c r="OFY10" s="353"/>
      <c r="OFZ10" s="353"/>
      <c r="OGA10" s="353"/>
      <c r="OGB10" s="353"/>
      <c r="OGC10" s="353"/>
      <c r="OGD10" s="353"/>
      <c r="OGE10" s="353"/>
      <c r="OGF10" s="353"/>
      <c r="OGG10" s="353"/>
      <c r="OGH10" s="353"/>
      <c r="OGI10" s="353"/>
      <c r="OGJ10" s="353"/>
      <c r="OGK10" s="353"/>
      <c r="OGL10" s="353"/>
      <c r="OGM10" s="353"/>
      <c r="OGN10" s="353"/>
      <c r="OGO10" s="353"/>
      <c r="OGP10" s="353"/>
      <c r="OGQ10" s="353"/>
      <c r="OGR10" s="353"/>
      <c r="OGS10" s="353"/>
      <c r="OGT10" s="353"/>
      <c r="OGU10" s="353"/>
      <c r="OGV10" s="353"/>
      <c r="OGW10" s="353"/>
      <c r="OGX10" s="353"/>
      <c r="OGY10" s="353"/>
      <c r="OGZ10" s="353"/>
      <c r="OHA10" s="353"/>
      <c r="OHB10" s="353"/>
      <c r="OHC10" s="353"/>
      <c r="OHD10" s="353"/>
      <c r="OHE10" s="353"/>
      <c r="OHF10" s="353"/>
      <c r="OHG10" s="353"/>
      <c r="OHH10" s="353"/>
      <c r="OHI10" s="353"/>
      <c r="OHJ10" s="353"/>
      <c r="OHK10" s="353"/>
      <c r="OHL10" s="353"/>
      <c r="OHM10" s="353"/>
      <c r="OHN10" s="353"/>
      <c r="OHO10" s="353"/>
      <c r="OHP10" s="353"/>
      <c r="OHQ10" s="353"/>
      <c r="OHR10" s="353"/>
      <c r="OHS10" s="353"/>
      <c r="OHT10" s="353"/>
      <c r="OHU10" s="353"/>
      <c r="OHV10" s="353"/>
      <c r="OHW10" s="353"/>
      <c r="OHX10" s="353"/>
      <c r="OHY10" s="353"/>
      <c r="OHZ10" s="353"/>
      <c r="OIA10" s="353"/>
      <c r="OIB10" s="353"/>
      <c r="OIC10" s="353"/>
      <c r="OID10" s="353"/>
      <c r="OIE10" s="353"/>
      <c r="OIF10" s="353"/>
      <c r="OIG10" s="353"/>
      <c r="OIH10" s="353"/>
      <c r="OII10" s="353"/>
      <c r="OIJ10" s="353"/>
      <c r="OIK10" s="353"/>
      <c r="OIL10" s="353"/>
      <c r="OIM10" s="353"/>
      <c r="OIN10" s="353"/>
      <c r="OIO10" s="353"/>
      <c r="OIP10" s="353"/>
      <c r="OIQ10" s="353"/>
      <c r="OIR10" s="353"/>
      <c r="OIS10" s="353"/>
      <c r="OIT10" s="353"/>
      <c r="OIU10" s="353"/>
      <c r="OIV10" s="353"/>
      <c r="OIW10" s="353"/>
      <c r="OIX10" s="353"/>
      <c r="OIY10" s="353"/>
      <c r="OIZ10" s="353"/>
      <c r="OJA10" s="353"/>
      <c r="OJB10" s="353"/>
      <c r="OJC10" s="353"/>
      <c r="OJD10" s="353"/>
      <c r="OJE10" s="353"/>
      <c r="OJF10" s="353"/>
      <c r="OJG10" s="353"/>
      <c r="OJH10" s="353"/>
      <c r="OJI10" s="353"/>
      <c r="OJJ10" s="353"/>
      <c r="OJK10" s="353"/>
      <c r="OJL10" s="353"/>
      <c r="OJM10" s="353"/>
      <c r="OJN10" s="353"/>
      <c r="OJO10" s="353"/>
      <c r="OJP10" s="353"/>
      <c r="OJQ10" s="353"/>
      <c r="OJR10" s="353"/>
      <c r="OJS10" s="353"/>
      <c r="OJT10" s="353"/>
      <c r="OJU10" s="353"/>
      <c r="OJV10" s="353"/>
      <c r="OJW10" s="353"/>
      <c r="OJX10" s="353"/>
      <c r="OJY10" s="353"/>
      <c r="OJZ10" s="353"/>
      <c r="OKA10" s="353"/>
      <c r="OKB10" s="353"/>
      <c r="OKC10" s="353"/>
      <c r="OKD10" s="353"/>
      <c r="OKE10" s="353"/>
      <c r="OKF10" s="353"/>
      <c r="OKG10" s="353"/>
      <c r="OKH10" s="353"/>
      <c r="OKI10" s="353"/>
      <c r="OKJ10" s="353"/>
      <c r="OKK10" s="353"/>
      <c r="OKL10" s="353"/>
      <c r="OKM10" s="353"/>
      <c r="OKN10" s="353"/>
      <c r="OKO10" s="353"/>
      <c r="OKP10" s="353"/>
      <c r="OKQ10" s="353"/>
      <c r="OKR10" s="353"/>
      <c r="OKS10" s="353"/>
      <c r="OKT10" s="353"/>
      <c r="OKU10" s="353"/>
      <c r="OKV10" s="353"/>
      <c r="OKW10" s="353"/>
      <c r="OKX10" s="353"/>
      <c r="OKY10" s="353"/>
      <c r="OKZ10" s="353"/>
      <c r="OLA10" s="353"/>
      <c r="OLB10" s="353"/>
      <c r="OLC10" s="353"/>
      <c r="OLD10" s="353"/>
      <c r="OLE10" s="353"/>
      <c r="OLF10" s="353"/>
      <c r="OLG10" s="353"/>
      <c r="OLH10" s="353"/>
      <c r="OLI10" s="353"/>
      <c r="OLJ10" s="353"/>
      <c r="OLK10" s="353"/>
      <c r="OLL10" s="353"/>
      <c r="OLM10" s="353"/>
      <c r="OLN10" s="353"/>
      <c r="OLO10" s="353"/>
      <c r="OLP10" s="353"/>
      <c r="OLQ10" s="353"/>
      <c r="OLR10" s="353"/>
      <c r="OLS10" s="353"/>
      <c r="OLT10" s="353"/>
      <c r="OLU10" s="353"/>
      <c r="OLV10" s="353"/>
      <c r="OLW10" s="353"/>
      <c r="OLX10" s="353"/>
      <c r="OLY10" s="353"/>
      <c r="OLZ10" s="353"/>
      <c r="OMA10" s="353"/>
      <c r="OMB10" s="353"/>
      <c r="OMC10" s="353"/>
      <c r="OMD10" s="353"/>
      <c r="OME10" s="353"/>
      <c r="OMF10" s="353"/>
      <c r="OMG10" s="353"/>
      <c r="OMH10" s="353"/>
      <c r="OMI10" s="353"/>
      <c r="OMJ10" s="353"/>
      <c r="OMK10" s="353"/>
      <c r="OML10" s="353"/>
      <c r="OMM10" s="353"/>
      <c r="OMN10" s="353"/>
      <c r="OMO10" s="353"/>
      <c r="OMP10" s="353"/>
      <c r="OMQ10" s="353"/>
      <c r="OMR10" s="353"/>
      <c r="OMS10" s="353"/>
      <c r="OMT10" s="353"/>
      <c r="OMU10" s="353"/>
      <c r="OMV10" s="353"/>
      <c r="OMW10" s="353"/>
      <c r="OMX10" s="353"/>
      <c r="OMY10" s="353"/>
      <c r="OMZ10" s="353"/>
      <c r="ONA10" s="353"/>
      <c r="ONB10" s="353"/>
      <c r="ONC10" s="353"/>
      <c r="OND10" s="353"/>
      <c r="ONE10" s="353"/>
      <c r="ONF10" s="353"/>
      <c r="ONG10" s="353"/>
      <c r="ONH10" s="353"/>
      <c r="ONI10" s="353"/>
      <c r="ONJ10" s="353"/>
      <c r="ONK10" s="353"/>
      <c r="ONL10" s="353"/>
      <c r="ONM10" s="353"/>
      <c r="ONN10" s="353"/>
      <c r="ONO10" s="353"/>
      <c r="ONP10" s="353"/>
      <c r="ONQ10" s="353"/>
      <c r="ONR10" s="353"/>
      <c r="ONS10" s="353"/>
      <c r="ONT10" s="353"/>
      <c r="ONU10" s="353"/>
      <c r="ONV10" s="353"/>
      <c r="ONW10" s="353"/>
      <c r="ONX10" s="353"/>
      <c r="ONY10" s="353"/>
      <c r="ONZ10" s="353"/>
      <c r="OOA10" s="353"/>
      <c r="OOB10" s="353"/>
      <c r="OOC10" s="353"/>
      <c r="OOD10" s="353"/>
      <c r="OOE10" s="353"/>
      <c r="OOF10" s="353"/>
      <c r="OOG10" s="353"/>
      <c r="OOH10" s="353"/>
      <c r="OOI10" s="353"/>
      <c r="OOJ10" s="353"/>
      <c r="OOK10" s="353"/>
      <c r="OOL10" s="353"/>
      <c r="OOM10" s="353"/>
      <c r="OON10" s="353"/>
      <c r="OOO10" s="353"/>
      <c r="OOP10" s="353"/>
      <c r="OOQ10" s="353"/>
      <c r="OOR10" s="353"/>
      <c r="OOS10" s="353"/>
      <c r="OOT10" s="353"/>
      <c r="OOU10" s="353"/>
      <c r="OOV10" s="353"/>
      <c r="OOW10" s="353"/>
      <c r="OOX10" s="353"/>
      <c r="OOY10" s="353"/>
      <c r="OOZ10" s="353"/>
      <c r="OPA10" s="353"/>
      <c r="OPB10" s="353"/>
      <c r="OPC10" s="353"/>
      <c r="OPD10" s="353"/>
      <c r="OPE10" s="353"/>
      <c r="OPF10" s="353"/>
      <c r="OPG10" s="353"/>
      <c r="OPH10" s="353"/>
      <c r="OPI10" s="353"/>
      <c r="OPJ10" s="353"/>
      <c r="OPK10" s="353"/>
      <c r="OPL10" s="353"/>
      <c r="OPM10" s="353"/>
      <c r="OPN10" s="353"/>
      <c r="OPO10" s="353"/>
      <c r="OPP10" s="353"/>
      <c r="OPQ10" s="353"/>
      <c r="OPR10" s="353"/>
      <c r="OPS10" s="353"/>
      <c r="OPT10" s="353"/>
      <c r="OPU10" s="353"/>
      <c r="OPV10" s="353"/>
      <c r="OPW10" s="353"/>
      <c r="OPX10" s="353"/>
      <c r="OPY10" s="353"/>
      <c r="OPZ10" s="353"/>
      <c r="OQA10" s="353"/>
      <c r="OQB10" s="353"/>
      <c r="OQC10" s="353"/>
      <c r="OQD10" s="353"/>
      <c r="OQE10" s="353"/>
      <c r="OQF10" s="353"/>
      <c r="OQG10" s="353"/>
      <c r="OQH10" s="353"/>
      <c r="OQI10" s="353"/>
      <c r="OQJ10" s="353"/>
      <c r="OQK10" s="353"/>
      <c r="OQL10" s="353"/>
      <c r="OQM10" s="353"/>
      <c r="OQN10" s="353"/>
      <c r="OQO10" s="353"/>
      <c r="OQP10" s="353"/>
      <c r="OQQ10" s="353"/>
      <c r="OQR10" s="353"/>
      <c r="OQS10" s="353"/>
      <c r="OQT10" s="353"/>
      <c r="OQU10" s="353"/>
      <c r="OQV10" s="353"/>
      <c r="OQW10" s="353"/>
      <c r="OQX10" s="353"/>
      <c r="OQY10" s="353"/>
      <c r="OQZ10" s="353"/>
      <c r="ORA10" s="353"/>
      <c r="ORB10" s="353"/>
      <c r="ORC10" s="353"/>
      <c r="ORD10" s="353"/>
      <c r="ORE10" s="353"/>
      <c r="ORF10" s="353"/>
      <c r="ORG10" s="353"/>
      <c r="ORH10" s="353"/>
      <c r="ORI10" s="353"/>
      <c r="ORJ10" s="353"/>
      <c r="ORK10" s="353"/>
      <c r="ORL10" s="353"/>
      <c r="ORM10" s="353"/>
      <c r="ORN10" s="353"/>
      <c r="ORO10" s="353"/>
      <c r="ORP10" s="353"/>
      <c r="ORQ10" s="353"/>
      <c r="ORR10" s="353"/>
      <c r="ORS10" s="353"/>
      <c r="ORT10" s="353"/>
      <c r="ORU10" s="353"/>
      <c r="ORV10" s="353"/>
      <c r="ORW10" s="353"/>
      <c r="ORX10" s="353"/>
      <c r="ORY10" s="353"/>
      <c r="ORZ10" s="353"/>
      <c r="OSA10" s="353"/>
      <c r="OSB10" s="353"/>
      <c r="OSC10" s="353"/>
      <c r="OSD10" s="353"/>
      <c r="OSE10" s="353"/>
      <c r="OSF10" s="353"/>
      <c r="OSG10" s="353"/>
      <c r="OSH10" s="353"/>
      <c r="OSI10" s="353"/>
      <c r="OSJ10" s="353"/>
      <c r="OSK10" s="353"/>
      <c r="OSL10" s="353"/>
      <c r="OSM10" s="353"/>
      <c r="OSN10" s="353"/>
      <c r="OSO10" s="353"/>
      <c r="OSP10" s="353"/>
      <c r="OSQ10" s="353"/>
      <c r="OSR10" s="353"/>
      <c r="OSS10" s="353"/>
      <c r="OST10" s="353"/>
      <c r="OSU10" s="353"/>
      <c r="OSV10" s="353"/>
      <c r="OSW10" s="353"/>
      <c r="OSX10" s="353"/>
      <c r="OSY10" s="353"/>
      <c r="OSZ10" s="353"/>
      <c r="OTA10" s="353"/>
      <c r="OTB10" s="353"/>
      <c r="OTC10" s="353"/>
      <c r="OTD10" s="353"/>
      <c r="OTE10" s="353"/>
      <c r="OTF10" s="353"/>
      <c r="OTG10" s="353"/>
      <c r="OTH10" s="353"/>
      <c r="OTI10" s="353"/>
      <c r="OTJ10" s="353"/>
      <c r="OTK10" s="353"/>
      <c r="OTL10" s="353"/>
      <c r="OTM10" s="353"/>
      <c r="OTN10" s="353"/>
      <c r="OTO10" s="353"/>
      <c r="OTP10" s="353"/>
      <c r="OTQ10" s="353"/>
      <c r="OTR10" s="353"/>
      <c r="OTS10" s="353"/>
      <c r="OTT10" s="353"/>
      <c r="OTU10" s="353"/>
      <c r="OTV10" s="353"/>
      <c r="OTW10" s="353"/>
      <c r="OTX10" s="353"/>
      <c r="OTY10" s="353"/>
      <c r="OTZ10" s="353"/>
      <c r="OUA10" s="353"/>
      <c r="OUB10" s="353"/>
      <c r="OUC10" s="353"/>
      <c r="OUD10" s="353"/>
      <c r="OUE10" s="353"/>
      <c r="OUF10" s="353"/>
      <c r="OUG10" s="353"/>
      <c r="OUH10" s="353"/>
      <c r="OUI10" s="353"/>
      <c r="OUJ10" s="353"/>
      <c r="OUK10" s="353"/>
      <c r="OUL10" s="353"/>
      <c r="OUM10" s="353"/>
      <c r="OUN10" s="353"/>
      <c r="OUO10" s="353"/>
      <c r="OUP10" s="353"/>
      <c r="OUQ10" s="353"/>
      <c r="OUR10" s="353"/>
      <c r="OUS10" s="353"/>
      <c r="OUT10" s="353"/>
      <c r="OUU10" s="353"/>
      <c r="OUV10" s="353"/>
      <c r="OUW10" s="353"/>
      <c r="OUX10" s="353"/>
      <c r="OUY10" s="353"/>
      <c r="OUZ10" s="353"/>
      <c r="OVA10" s="353"/>
      <c r="OVB10" s="353"/>
      <c r="OVC10" s="353"/>
      <c r="OVD10" s="353"/>
      <c r="OVE10" s="353"/>
      <c r="OVF10" s="353"/>
      <c r="OVG10" s="353"/>
      <c r="OVH10" s="353"/>
      <c r="OVI10" s="353"/>
      <c r="OVJ10" s="353"/>
      <c r="OVK10" s="353"/>
      <c r="OVL10" s="353"/>
      <c r="OVM10" s="353"/>
      <c r="OVN10" s="353"/>
      <c r="OVO10" s="353"/>
      <c r="OVP10" s="353"/>
      <c r="OVQ10" s="353"/>
      <c r="OVR10" s="353"/>
      <c r="OVS10" s="353"/>
      <c r="OVT10" s="353"/>
      <c r="OVU10" s="353"/>
      <c r="OVV10" s="353"/>
      <c r="OVW10" s="353"/>
      <c r="OVX10" s="353"/>
      <c r="OVY10" s="353"/>
      <c r="OVZ10" s="353"/>
      <c r="OWA10" s="353"/>
      <c r="OWB10" s="353"/>
      <c r="OWC10" s="353"/>
      <c r="OWD10" s="353"/>
      <c r="OWE10" s="353"/>
      <c r="OWF10" s="353"/>
      <c r="OWG10" s="353"/>
      <c r="OWH10" s="353"/>
      <c r="OWI10" s="353"/>
      <c r="OWJ10" s="353"/>
      <c r="OWK10" s="353"/>
      <c r="OWL10" s="353"/>
      <c r="OWM10" s="353"/>
      <c r="OWN10" s="353"/>
      <c r="OWO10" s="353"/>
      <c r="OWP10" s="353"/>
      <c r="OWQ10" s="353"/>
      <c r="OWR10" s="353"/>
      <c r="OWS10" s="353"/>
      <c r="OWT10" s="353"/>
      <c r="OWU10" s="353"/>
      <c r="OWV10" s="353"/>
      <c r="OWW10" s="353"/>
      <c r="OWX10" s="353"/>
      <c r="OWY10" s="353"/>
      <c r="OWZ10" s="353"/>
      <c r="OXA10" s="353"/>
      <c r="OXB10" s="353"/>
      <c r="OXC10" s="353"/>
      <c r="OXD10" s="353"/>
      <c r="OXE10" s="353"/>
      <c r="OXF10" s="353"/>
      <c r="OXG10" s="353"/>
      <c r="OXH10" s="353"/>
      <c r="OXI10" s="353"/>
      <c r="OXJ10" s="353"/>
      <c r="OXK10" s="353"/>
      <c r="OXL10" s="353"/>
      <c r="OXM10" s="353"/>
      <c r="OXN10" s="353"/>
      <c r="OXO10" s="353"/>
      <c r="OXP10" s="353"/>
      <c r="OXQ10" s="353"/>
      <c r="OXR10" s="353"/>
      <c r="OXS10" s="353"/>
      <c r="OXT10" s="353"/>
      <c r="OXU10" s="353"/>
      <c r="OXV10" s="353"/>
      <c r="OXW10" s="353"/>
      <c r="OXX10" s="353"/>
      <c r="OXY10" s="353"/>
      <c r="OXZ10" s="353"/>
      <c r="OYA10" s="353"/>
      <c r="OYB10" s="353"/>
      <c r="OYC10" s="353"/>
      <c r="OYD10" s="353"/>
      <c r="OYE10" s="353"/>
      <c r="OYF10" s="353"/>
      <c r="OYG10" s="353"/>
      <c r="OYH10" s="353"/>
      <c r="OYI10" s="353"/>
      <c r="OYJ10" s="353"/>
      <c r="OYK10" s="353"/>
      <c r="OYL10" s="353"/>
      <c r="OYM10" s="353"/>
      <c r="OYN10" s="353"/>
      <c r="OYO10" s="353"/>
      <c r="OYP10" s="353"/>
      <c r="OYQ10" s="353"/>
      <c r="OYR10" s="353"/>
      <c r="OYS10" s="353"/>
      <c r="OYT10" s="353"/>
      <c r="OYU10" s="353"/>
      <c r="OYV10" s="353"/>
      <c r="OYW10" s="353"/>
      <c r="OYX10" s="353"/>
      <c r="OYY10" s="353"/>
      <c r="OYZ10" s="353"/>
      <c r="OZA10" s="353"/>
      <c r="OZB10" s="353"/>
      <c r="OZC10" s="353"/>
      <c r="OZD10" s="353"/>
      <c r="OZE10" s="353"/>
      <c r="OZF10" s="353"/>
      <c r="OZG10" s="353"/>
      <c r="OZH10" s="353"/>
      <c r="OZI10" s="353"/>
      <c r="OZJ10" s="353"/>
      <c r="OZK10" s="353"/>
      <c r="OZL10" s="353"/>
      <c r="OZM10" s="353"/>
      <c r="OZN10" s="353"/>
      <c r="OZO10" s="353"/>
      <c r="OZP10" s="353"/>
      <c r="OZQ10" s="353"/>
      <c r="OZR10" s="353"/>
      <c r="OZS10" s="353"/>
      <c r="OZT10" s="353"/>
      <c r="OZU10" s="353"/>
      <c r="OZV10" s="353"/>
      <c r="OZW10" s="353"/>
      <c r="OZX10" s="353"/>
      <c r="OZY10" s="353"/>
      <c r="OZZ10" s="353"/>
      <c r="PAA10" s="353"/>
      <c r="PAB10" s="353"/>
      <c r="PAC10" s="353"/>
      <c r="PAD10" s="353"/>
      <c r="PAE10" s="353"/>
      <c r="PAF10" s="353"/>
      <c r="PAG10" s="353"/>
      <c r="PAH10" s="353"/>
      <c r="PAI10" s="353"/>
      <c r="PAJ10" s="353"/>
      <c r="PAK10" s="353"/>
      <c r="PAL10" s="353"/>
      <c r="PAM10" s="353"/>
      <c r="PAN10" s="353"/>
      <c r="PAO10" s="353"/>
      <c r="PAP10" s="353"/>
      <c r="PAQ10" s="353"/>
      <c r="PAR10" s="353"/>
      <c r="PAS10" s="353"/>
      <c r="PAT10" s="353"/>
      <c r="PAU10" s="353"/>
      <c r="PAV10" s="353"/>
      <c r="PAW10" s="353"/>
      <c r="PAX10" s="353"/>
      <c r="PAY10" s="353"/>
      <c r="PAZ10" s="353"/>
      <c r="PBA10" s="353"/>
      <c r="PBB10" s="353"/>
      <c r="PBC10" s="353"/>
      <c r="PBD10" s="353"/>
      <c r="PBE10" s="353"/>
      <c r="PBF10" s="353"/>
      <c r="PBG10" s="353"/>
      <c r="PBH10" s="353"/>
      <c r="PBI10" s="353"/>
      <c r="PBJ10" s="353"/>
      <c r="PBK10" s="353"/>
      <c r="PBL10" s="353"/>
      <c r="PBM10" s="353"/>
      <c r="PBN10" s="353"/>
      <c r="PBO10" s="353"/>
      <c r="PBP10" s="353"/>
      <c r="PBQ10" s="353"/>
      <c r="PBR10" s="353"/>
      <c r="PBS10" s="353"/>
      <c r="PBT10" s="353"/>
      <c r="PBU10" s="353"/>
      <c r="PBV10" s="353"/>
      <c r="PBW10" s="353"/>
      <c r="PBX10" s="353"/>
      <c r="PBY10" s="353"/>
      <c r="PBZ10" s="353"/>
      <c r="PCA10" s="353"/>
      <c r="PCB10" s="353"/>
      <c r="PCC10" s="353"/>
      <c r="PCD10" s="353"/>
      <c r="PCE10" s="353"/>
      <c r="PCF10" s="353"/>
      <c r="PCG10" s="353"/>
      <c r="PCH10" s="353"/>
      <c r="PCI10" s="353"/>
      <c r="PCJ10" s="353"/>
      <c r="PCK10" s="353"/>
      <c r="PCL10" s="353"/>
      <c r="PCM10" s="353"/>
      <c r="PCN10" s="353"/>
      <c r="PCO10" s="353"/>
      <c r="PCP10" s="353"/>
      <c r="PCQ10" s="353"/>
      <c r="PCR10" s="353"/>
      <c r="PCS10" s="353"/>
      <c r="PCT10" s="353"/>
      <c r="PCU10" s="353"/>
      <c r="PCV10" s="353"/>
      <c r="PCW10" s="353"/>
      <c r="PCX10" s="353"/>
      <c r="PCY10" s="353"/>
      <c r="PCZ10" s="353"/>
      <c r="PDA10" s="353"/>
      <c r="PDB10" s="353"/>
      <c r="PDC10" s="353"/>
      <c r="PDD10" s="353"/>
      <c r="PDE10" s="353"/>
      <c r="PDF10" s="353"/>
      <c r="PDG10" s="353"/>
      <c r="PDH10" s="353"/>
      <c r="PDI10" s="353"/>
      <c r="PDJ10" s="353"/>
      <c r="PDK10" s="353"/>
      <c r="PDL10" s="353"/>
      <c r="PDM10" s="353"/>
      <c r="PDN10" s="353"/>
      <c r="PDO10" s="353"/>
      <c r="PDP10" s="353"/>
      <c r="PDQ10" s="353"/>
      <c r="PDR10" s="353"/>
      <c r="PDS10" s="353"/>
      <c r="PDT10" s="353"/>
      <c r="PDU10" s="353"/>
      <c r="PDV10" s="353"/>
      <c r="PDW10" s="353"/>
      <c r="PDX10" s="353"/>
      <c r="PDY10" s="353"/>
      <c r="PDZ10" s="353"/>
      <c r="PEA10" s="353"/>
      <c r="PEB10" s="353"/>
      <c r="PEC10" s="353"/>
      <c r="PED10" s="353"/>
      <c r="PEE10" s="353"/>
      <c r="PEF10" s="353"/>
      <c r="PEG10" s="353"/>
      <c r="PEH10" s="353"/>
      <c r="PEI10" s="353"/>
      <c r="PEJ10" s="353"/>
      <c r="PEK10" s="353"/>
      <c r="PEL10" s="353"/>
      <c r="PEM10" s="353"/>
      <c r="PEN10" s="353"/>
      <c r="PEO10" s="353"/>
      <c r="PEP10" s="353"/>
      <c r="PEQ10" s="353"/>
      <c r="PER10" s="353"/>
      <c r="PES10" s="353"/>
      <c r="PET10" s="353"/>
      <c r="PEU10" s="353"/>
      <c r="PEV10" s="353"/>
      <c r="PEW10" s="353"/>
      <c r="PEX10" s="353"/>
      <c r="PEY10" s="353"/>
      <c r="PEZ10" s="353"/>
      <c r="PFA10" s="353"/>
      <c r="PFB10" s="353"/>
      <c r="PFC10" s="353"/>
      <c r="PFD10" s="353"/>
      <c r="PFE10" s="353"/>
      <c r="PFF10" s="353"/>
      <c r="PFG10" s="353"/>
      <c r="PFH10" s="353"/>
      <c r="PFI10" s="353"/>
      <c r="PFJ10" s="353"/>
      <c r="PFK10" s="353"/>
      <c r="PFL10" s="353"/>
      <c r="PFM10" s="353"/>
      <c r="PFN10" s="353"/>
      <c r="PFO10" s="353"/>
      <c r="PFP10" s="353"/>
      <c r="PFQ10" s="353"/>
      <c r="PFR10" s="353"/>
      <c r="PFS10" s="353"/>
      <c r="PFT10" s="353"/>
      <c r="PFU10" s="353"/>
      <c r="PFV10" s="353"/>
      <c r="PFW10" s="353"/>
      <c r="PFX10" s="353"/>
      <c r="PFY10" s="353"/>
      <c r="PFZ10" s="353"/>
      <c r="PGA10" s="353"/>
      <c r="PGB10" s="353"/>
      <c r="PGC10" s="353"/>
      <c r="PGD10" s="353"/>
      <c r="PGE10" s="353"/>
      <c r="PGF10" s="353"/>
      <c r="PGG10" s="353"/>
      <c r="PGH10" s="353"/>
      <c r="PGI10" s="353"/>
      <c r="PGJ10" s="353"/>
      <c r="PGK10" s="353"/>
      <c r="PGL10" s="353"/>
      <c r="PGM10" s="353"/>
      <c r="PGN10" s="353"/>
      <c r="PGO10" s="353"/>
      <c r="PGP10" s="353"/>
      <c r="PGQ10" s="353"/>
      <c r="PGR10" s="353"/>
      <c r="PGS10" s="353"/>
      <c r="PGT10" s="353"/>
      <c r="PGU10" s="353"/>
      <c r="PGV10" s="353"/>
      <c r="PGW10" s="353"/>
      <c r="PGX10" s="353"/>
      <c r="PGY10" s="353"/>
      <c r="PGZ10" s="353"/>
      <c r="PHA10" s="353"/>
      <c r="PHB10" s="353"/>
      <c r="PHC10" s="353"/>
      <c r="PHD10" s="353"/>
      <c r="PHE10" s="353"/>
      <c r="PHF10" s="353"/>
      <c r="PHG10" s="353"/>
      <c r="PHH10" s="353"/>
      <c r="PHI10" s="353"/>
      <c r="PHJ10" s="353"/>
      <c r="PHK10" s="353"/>
      <c r="PHL10" s="353"/>
      <c r="PHM10" s="353"/>
      <c r="PHN10" s="353"/>
      <c r="PHO10" s="353"/>
      <c r="PHP10" s="353"/>
      <c r="PHQ10" s="353"/>
      <c r="PHR10" s="353"/>
      <c r="PHS10" s="353"/>
      <c r="PHT10" s="353"/>
      <c r="PHU10" s="353"/>
      <c r="PHV10" s="353"/>
      <c r="PHW10" s="353"/>
      <c r="PHX10" s="353"/>
      <c r="PHY10" s="353"/>
      <c r="PHZ10" s="353"/>
      <c r="PIA10" s="353"/>
      <c r="PIB10" s="353"/>
      <c r="PIC10" s="353"/>
      <c r="PID10" s="353"/>
      <c r="PIE10" s="353"/>
      <c r="PIF10" s="353"/>
      <c r="PIG10" s="353"/>
      <c r="PIH10" s="353"/>
      <c r="PII10" s="353"/>
      <c r="PIJ10" s="353"/>
      <c r="PIK10" s="353"/>
      <c r="PIL10" s="353"/>
      <c r="PIM10" s="353"/>
      <c r="PIN10" s="353"/>
      <c r="PIO10" s="353"/>
      <c r="PIP10" s="353"/>
      <c r="PIQ10" s="353"/>
      <c r="PIR10" s="353"/>
      <c r="PIS10" s="353"/>
      <c r="PIT10" s="353"/>
      <c r="PIU10" s="353"/>
      <c r="PIV10" s="353"/>
      <c r="PIW10" s="353"/>
      <c r="PIX10" s="353"/>
      <c r="PIY10" s="353"/>
      <c r="PIZ10" s="353"/>
      <c r="PJA10" s="353"/>
      <c r="PJB10" s="353"/>
      <c r="PJC10" s="353"/>
      <c r="PJD10" s="353"/>
      <c r="PJE10" s="353"/>
      <c r="PJF10" s="353"/>
      <c r="PJG10" s="353"/>
      <c r="PJH10" s="353"/>
      <c r="PJI10" s="353"/>
      <c r="PJJ10" s="353"/>
      <c r="PJK10" s="353"/>
      <c r="PJL10" s="353"/>
      <c r="PJM10" s="353"/>
      <c r="PJN10" s="353"/>
      <c r="PJO10" s="353"/>
      <c r="PJP10" s="353"/>
      <c r="PJQ10" s="353"/>
      <c r="PJR10" s="353"/>
      <c r="PJS10" s="353"/>
      <c r="PJT10" s="353"/>
      <c r="PJU10" s="353"/>
      <c r="PJV10" s="353"/>
      <c r="PJW10" s="353"/>
      <c r="PJX10" s="353"/>
      <c r="PJY10" s="353"/>
      <c r="PJZ10" s="353"/>
      <c r="PKA10" s="353"/>
      <c r="PKB10" s="353"/>
      <c r="PKC10" s="353"/>
      <c r="PKD10" s="353"/>
      <c r="PKE10" s="353"/>
      <c r="PKF10" s="353"/>
      <c r="PKG10" s="353"/>
      <c r="PKH10" s="353"/>
      <c r="PKI10" s="353"/>
      <c r="PKJ10" s="353"/>
      <c r="PKK10" s="353"/>
      <c r="PKL10" s="353"/>
      <c r="PKM10" s="353"/>
      <c r="PKN10" s="353"/>
      <c r="PKO10" s="353"/>
      <c r="PKP10" s="353"/>
      <c r="PKQ10" s="353"/>
      <c r="PKR10" s="353"/>
      <c r="PKS10" s="353"/>
      <c r="PKT10" s="353"/>
      <c r="PKU10" s="353"/>
      <c r="PKV10" s="353"/>
      <c r="PKW10" s="353"/>
      <c r="PKX10" s="353"/>
      <c r="PKY10" s="353"/>
      <c r="PKZ10" s="353"/>
      <c r="PLA10" s="353"/>
      <c r="PLB10" s="353"/>
      <c r="PLC10" s="353"/>
      <c r="PLD10" s="353"/>
      <c r="PLE10" s="353"/>
      <c r="PLF10" s="353"/>
      <c r="PLG10" s="353"/>
      <c r="PLH10" s="353"/>
      <c r="PLI10" s="353"/>
      <c r="PLJ10" s="353"/>
      <c r="PLK10" s="353"/>
      <c r="PLL10" s="353"/>
      <c r="PLM10" s="353"/>
      <c r="PLN10" s="353"/>
      <c r="PLO10" s="353"/>
      <c r="PLP10" s="353"/>
      <c r="PLQ10" s="353"/>
      <c r="PLR10" s="353"/>
      <c r="PLS10" s="353"/>
      <c r="PLT10" s="353"/>
      <c r="PLU10" s="353"/>
      <c r="PLV10" s="353"/>
      <c r="PLW10" s="353"/>
      <c r="PLX10" s="353"/>
      <c r="PLY10" s="353"/>
      <c r="PLZ10" s="353"/>
      <c r="PMA10" s="353"/>
      <c r="PMB10" s="353"/>
      <c r="PMC10" s="353"/>
      <c r="PMD10" s="353"/>
      <c r="PME10" s="353"/>
      <c r="PMF10" s="353"/>
      <c r="PMG10" s="353"/>
      <c r="PMH10" s="353"/>
      <c r="PMI10" s="353"/>
      <c r="PMJ10" s="353"/>
      <c r="PMK10" s="353"/>
      <c r="PML10" s="353"/>
      <c r="PMM10" s="353"/>
      <c r="PMN10" s="353"/>
      <c r="PMO10" s="353"/>
      <c r="PMP10" s="353"/>
      <c r="PMQ10" s="353"/>
      <c r="PMR10" s="353"/>
      <c r="PMS10" s="353"/>
      <c r="PMT10" s="353"/>
      <c r="PMU10" s="353"/>
      <c r="PMV10" s="353"/>
      <c r="PMW10" s="353"/>
      <c r="PMX10" s="353"/>
      <c r="PMY10" s="353"/>
      <c r="PMZ10" s="353"/>
      <c r="PNA10" s="353"/>
      <c r="PNB10" s="353"/>
      <c r="PNC10" s="353"/>
      <c r="PND10" s="353"/>
      <c r="PNE10" s="353"/>
      <c r="PNF10" s="353"/>
      <c r="PNG10" s="353"/>
      <c r="PNH10" s="353"/>
      <c r="PNI10" s="353"/>
      <c r="PNJ10" s="353"/>
      <c r="PNK10" s="353"/>
      <c r="PNL10" s="353"/>
      <c r="PNM10" s="353"/>
      <c r="PNN10" s="353"/>
      <c r="PNO10" s="353"/>
      <c r="PNP10" s="353"/>
      <c r="PNQ10" s="353"/>
      <c r="PNR10" s="353"/>
      <c r="PNS10" s="353"/>
      <c r="PNT10" s="353"/>
      <c r="PNU10" s="353"/>
      <c r="PNV10" s="353"/>
      <c r="PNW10" s="353"/>
      <c r="PNX10" s="353"/>
      <c r="PNY10" s="353"/>
      <c r="PNZ10" s="353"/>
      <c r="POA10" s="353"/>
      <c r="POB10" s="353"/>
      <c r="POC10" s="353"/>
      <c r="POD10" s="353"/>
      <c r="POE10" s="353"/>
      <c r="POF10" s="353"/>
      <c r="POG10" s="353"/>
      <c r="POH10" s="353"/>
      <c r="POI10" s="353"/>
      <c r="POJ10" s="353"/>
      <c r="POK10" s="353"/>
      <c r="POL10" s="353"/>
      <c r="POM10" s="353"/>
      <c r="PON10" s="353"/>
      <c r="POO10" s="353"/>
      <c r="POP10" s="353"/>
      <c r="POQ10" s="353"/>
      <c r="POR10" s="353"/>
      <c r="POS10" s="353"/>
      <c r="POT10" s="353"/>
      <c r="POU10" s="353"/>
      <c r="POV10" s="353"/>
      <c r="POW10" s="353"/>
      <c r="POX10" s="353"/>
      <c r="POY10" s="353"/>
      <c r="POZ10" s="353"/>
      <c r="PPA10" s="353"/>
      <c r="PPB10" s="353"/>
      <c r="PPC10" s="353"/>
      <c r="PPD10" s="353"/>
      <c r="PPE10" s="353"/>
      <c r="PPF10" s="353"/>
      <c r="PPG10" s="353"/>
      <c r="PPH10" s="353"/>
      <c r="PPI10" s="353"/>
      <c r="PPJ10" s="353"/>
      <c r="PPK10" s="353"/>
      <c r="PPL10" s="353"/>
      <c r="PPM10" s="353"/>
      <c r="PPN10" s="353"/>
      <c r="PPO10" s="353"/>
      <c r="PPP10" s="353"/>
      <c r="PPQ10" s="353"/>
      <c r="PPR10" s="353"/>
      <c r="PPS10" s="353"/>
      <c r="PPT10" s="353"/>
      <c r="PPU10" s="353"/>
      <c r="PPV10" s="353"/>
      <c r="PPW10" s="353"/>
      <c r="PPX10" s="353"/>
      <c r="PPY10" s="353"/>
      <c r="PPZ10" s="353"/>
      <c r="PQA10" s="353"/>
      <c r="PQB10" s="353"/>
      <c r="PQC10" s="353"/>
      <c r="PQD10" s="353"/>
      <c r="PQE10" s="353"/>
      <c r="PQF10" s="353"/>
      <c r="PQG10" s="353"/>
      <c r="PQH10" s="353"/>
      <c r="PQI10" s="353"/>
      <c r="PQJ10" s="353"/>
      <c r="PQK10" s="353"/>
      <c r="PQL10" s="353"/>
      <c r="PQM10" s="353"/>
      <c r="PQN10" s="353"/>
      <c r="PQO10" s="353"/>
      <c r="PQP10" s="353"/>
      <c r="PQQ10" s="353"/>
      <c r="PQR10" s="353"/>
      <c r="PQS10" s="353"/>
      <c r="PQT10" s="353"/>
      <c r="PQU10" s="353"/>
      <c r="PQV10" s="353"/>
      <c r="PQW10" s="353"/>
      <c r="PQX10" s="353"/>
      <c r="PQY10" s="353"/>
      <c r="PQZ10" s="353"/>
      <c r="PRA10" s="353"/>
      <c r="PRB10" s="353"/>
      <c r="PRC10" s="353"/>
      <c r="PRD10" s="353"/>
      <c r="PRE10" s="353"/>
      <c r="PRF10" s="353"/>
      <c r="PRG10" s="353"/>
      <c r="PRH10" s="353"/>
      <c r="PRI10" s="353"/>
      <c r="PRJ10" s="353"/>
      <c r="PRK10" s="353"/>
      <c r="PRL10" s="353"/>
      <c r="PRM10" s="353"/>
      <c r="PRN10" s="353"/>
      <c r="PRO10" s="353"/>
      <c r="PRP10" s="353"/>
      <c r="PRQ10" s="353"/>
      <c r="PRR10" s="353"/>
      <c r="PRS10" s="353"/>
      <c r="PRT10" s="353"/>
      <c r="PRU10" s="353"/>
      <c r="PRV10" s="353"/>
      <c r="PRW10" s="353"/>
      <c r="PRX10" s="353"/>
      <c r="PRY10" s="353"/>
      <c r="PRZ10" s="353"/>
      <c r="PSA10" s="353"/>
      <c r="PSB10" s="353"/>
      <c r="PSC10" s="353"/>
      <c r="PSD10" s="353"/>
      <c r="PSE10" s="353"/>
      <c r="PSF10" s="353"/>
      <c r="PSG10" s="353"/>
      <c r="PSH10" s="353"/>
      <c r="PSI10" s="353"/>
      <c r="PSJ10" s="353"/>
      <c r="PSK10" s="353"/>
      <c r="PSL10" s="353"/>
      <c r="PSM10" s="353"/>
      <c r="PSN10" s="353"/>
      <c r="PSO10" s="353"/>
      <c r="PSP10" s="353"/>
      <c r="PSQ10" s="353"/>
      <c r="PSR10" s="353"/>
      <c r="PSS10" s="353"/>
      <c r="PST10" s="353"/>
      <c r="PSU10" s="353"/>
      <c r="PSV10" s="353"/>
      <c r="PSW10" s="353"/>
      <c r="PSX10" s="353"/>
      <c r="PSY10" s="353"/>
      <c r="PSZ10" s="353"/>
      <c r="PTA10" s="353"/>
      <c r="PTB10" s="353"/>
      <c r="PTC10" s="353"/>
      <c r="PTD10" s="353"/>
      <c r="PTE10" s="353"/>
      <c r="PTF10" s="353"/>
      <c r="PTG10" s="353"/>
      <c r="PTH10" s="353"/>
      <c r="PTI10" s="353"/>
      <c r="PTJ10" s="353"/>
      <c r="PTK10" s="353"/>
      <c r="PTL10" s="353"/>
      <c r="PTM10" s="353"/>
      <c r="PTN10" s="353"/>
      <c r="PTO10" s="353"/>
      <c r="PTP10" s="353"/>
      <c r="PTQ10" s="353"/>
      <c r="PTR10" s="353"/>
      <c r="PTS10" s="353"/>
      <c r="PTT10" s="353"/>
      <c r="PTU10" s="353"/>
      <c r="PTV10" s="353"/>
      <c r="PTW10" s="353"/>
      <c r="PTX10" s="353"/>
      <c r="PTY10" s="353"/>
      <c r="PTZ10" s="353"/>
      <c r="PUA10" s="353"/>
      <c r="PUB10" s="353"/>
      <c r="PUC10" s="353"/>
      <c r="PUD10" s="353"/>
      <c r="PUE10" s="353"/>
      <c r="PUF10" s="353"/>
      <c r="PUG10" s="353"/>
      <c r="PUH10" s="353"/>
      <c r="PUI10" s="353"/>
      <c r="PUJ10" s="353"/>
      <c r="PUK10" s="353"/>
      <c r="PUL10" s="353"/>
      <c r="PUM10" s="353"/>
      <c r="PUN10" s="353"/>
      <c r="PUO10" s="353"/>
      <c r="PUP10" s="353"/>
      <c r="PUQ10" s="353"/>
      <c r="PUR10" s="353"/>
      <c r="PUS10" s="353"/>
      <c r="PUT10" s="353"/>
      <c r="PUU10" s="353"/>
      <c r="PUV10" s="353"/>
      <c r="PUW10" s="353"/>
      <c r="PUX10" s="353"/>
      <c r="PUY10" s="353"/>
      <c r="PUZ10" s="353"/>
      <c r="PVA10" s="353"/>
      <c r="PVB10" s="353"/>
      <c r="PVC10" s="353"/>
      <c r="PVD10" s="353"/>
      <c r="PVE10" s="353"/>
      <c r="PVF10" s="353"/>
      <c r="PVG10" s="353"/>
      <c r="PVH10" s="353"/>
      <c r="PVI10" s="353"/>
      <c r="PVJ10" s="353"/>
      <c r="PVK10" s="353"/>
      <c r="PVL10" s="353"/>
      <c r="PVM10" s="353"/>
      <c r="PVN10" s="353"/>
      <c r="PVO10" s="353"/>
      <c r="PVP10" s="353"/>
      <c r="PVQ10" s="353"/>
      <c r="PVR10" s="353"/>
      <c r="PVS10" s="353"/>
      <c r="PVT10" s="353"/>
      <c r="PVU10" s="353"/>
      <c r="PVV10" s="353"/>
      <c r="PVW10" s="353"/>
      <c r="PVX10" s="353"/>
      <c r="PVY10" s="353"/>
      <c r="PVZ10" s="353"/>
      <c r="PWA10" s="353"/>
      <c r="PWB10" s="353"/>
      <c r="PWC10" s="353"/>
      <c r="PWD10" s="353"/>
      <c r="PWE10" s="353"/>
      <c r="PWF10" s="353"/>
      <c r="PWG10" s="353"/>
      <c r="PWH10" s="353"/>
      <c r="PWI10" s="353"/>
      <c r="PWJ10" s="353"/>
      <c r="PWK10" s="353"/>
      <c r="PWL10" s="353"/>
      <c r="PWM10" s="353"/>
      <c r="PWN10" s="353"/>
      <c r="PWO10" s="353"/>
      <c r="PWP10" s="353"/>
      <c r="PWQ10" s="353"/>
      <c r="PWR10" s="353"/>
      <c r="PWS10" s="353"/>
      <c r="PWT10" s="353"/>
      <c r="PWU10" s="353"/>
      <c r="PWV10" s="353"/>
      <c r="PWW10" s="353"/>
      <c r="PWX10" s="353"/>
      <c r="PWY10" s="353"/>
      <c r="PWZ10" s="353"/>
      <c r="PXA10" s="353"/>
      <c r="PXB10" s="353"/>
      <c r="PXC10" s="353"/>
      <c r="PXD10" s="353"/>
      <c r="PXE10" s="353"/>
      <c r="PXF10" s="353"/>
      <c r="PXG10" s="353"/>
      <c r="PXH10" s="353"/>
      <c r="PXI10" s="353"/>
      <c r="PXJ10" s="353"/>
      <c r="PXK10" s="353"/>
      <c r="PXL10" s="353"/>
      <c r="PXM10" s="353"/>
      <c r="PXN10" s="353"/>
      <c r="PXO10" s="353"/>
      <c r="PXP10" s="353"/>
      <c r="PXQ10" s="353"/>
      <c r="PXR10" s="353"/>
      <c r="PXS10" s="353"/>
      <c r="PXT10" s="353"/>
      <c r="PXU10" s="353"/>
      <c r="PXV10" s="353"/>
      <c r="PXW10" s="353"/>
      <c r="PXX10" s="353"/>
      <c r="PXY10" s="353"/>
      <c r="PXZ10" s="353"/>
      <c r="PYA10" s="353"/>
      <c r="PYB10" s="353"/>
      <c r="PYC10" s="353"/>
      <c r="PYD10" s="353"/>
      <c r="PYE10" s="353"/>
      <c r="PYF10" s="353"/>
      <c r="PYG10" s="353"/>
      <c r="PYH10" s="353"/>
      <c r="PYI10" s="353"/>
      <c r="PYJ10" s="353"/>
      <c r="PYK10" s="353"/>
      <c r="PYL10" s="353"/>
      <c r="PYM10" s="353"/>
      <c r="PYN10" s="353"/>
      <c r="PYO10" s="353"/>
      <c r="PYP10" s="353"/>
      <c r="PYQ10" s="353"/>
      <c r="PYR10" s="353"/>
      <c r="PYS10" s="353"/>
      <c r="PYT10" s="353"/>
      <c r="PYU10" s="353"/>
      <c r="PYV10" s="353"/>
      <c r="PYW10" s="353"/>
      <c r="PYX10" s="353"/>
      <c r="PYY10" s="353"/>
      <c r="PYZ10" s="353"/>
      <c r="PZA10" s="353"/>
      <c r="PZB10" s="353"/>
      <c r="PZC10" s="353"/>
      <c r="PZD10" s="353"/>
      <c r="PZE10" s="353"/>
      <c r="PZF10" s="353"/>
      <c r="PZG10" s="353"/>
      <c r="PZH10" s="353"/>
      <c r="PZI10" s="353"/>
      <c r="PZJ10" s="353"/>
      <c r="PZK10" s="353"/>
      <c r="PZL10" s="353"/>
      <c r="PZM10" s="353"/>
      <c r="PZN10" s="353"/>
      <c r="PZO10" s="353"/>
      <c r="PZP10" s="353"/>
      <c r="PZQ10" s="353"/>
      <c r="PZR10" s="353"/>
      <c r="PZS10" s="353"/>
      <c r="PZT10" s="353"/>
      <c r="PZU10" s="353"/>
      <c r="PZV10" s="353"/>
      <c r="PZW10" s="353"/>
      <c r="PZX10" s="353"/>
      <c r="PZY10" s="353"/>
      <c r="PZZ10" s="353"/>
      <c r="QAA10" s="353"/>
      <c r="QAB10" s="353"/>
      <c r="QAC10" s="353"/>
      <c r="QAD10" s="353"/>
      <c r="QAE10" s="353"/>
      <c r="QAF10" s="353"/>
      <c r="QAG10" s="353"/>
      <c r="QAH10" s="353"/>
      <c r="QAI10" s="353"/>
      <c r="QAJ10" s="353"/>
      <c r="QAK10" s="353"/>
      <c r="QAL10" s="353"/>
      <c r="QAM10" s="353"/>
      <c r="QAN10" s="353"/>
      <c r="QAO10" s="353"/>
      <c r="QAP10" s="353"/>
      <c r="QAQ10" s="353"/>
      <c r="QAR10" s="353"/>
      <c r="QAS10" s="353"/>
      <c r="QAT10" s="353"/>
      <c r="QAU10" s="353"/>
      <c r="QAV10" s="353"/>
      <c r="QAW10" s="353"/>
      <c r="QAX10" s="353"/>
      <c r="QAY10" s="353"/>
      <c r="QAZ10" s="353"/>
      <c r="QBA10" s="353"/>
      <c r="QBB10" s="353"/>
      <c r="QBC10" s="353"/>
      <c r="QBD10" s="353"/>
      <c r="QBE10" s="353"/>
      <c r="QBF10" s="353"/>
      <c r="QBG10" s="353"/>
      <c r="QBH10" s="353"/>
      <c r="QBI10" s="353"/>
      <c r="QBJ10" s="353"/>
      <c r="QBK10" s="353"/>
      <c r="QBL10" s="353"/>
      <c r="QBM10" s="353"/>
      <c r="QBN10" s="353"/>
      <c r="QBO10" s="353"/>
      <c r="QBP10" s="353"/>
      <c r="QBQ10" s="353"/>
      <c r="QBR10" s="353"/>
      <c r="QBS10" s="353"/>
      <c r="QBT10" s="353"/>
      <c r="QBU10" s="353"/>
      <c r="QBV10" s="353"/>
      <c r="QBW10" s="353"/>
      <c r="QBX10" s="353"/>
      <c r="QBY10" s="353"/>
      <c r="QBZ10" s="353"/>
      <c r="QCA10" s="353"/>
      <c r="QCB10" s="353"/>
      <c r="QCC10" s="353"/>
      <c r="QCD10" s="353"/>
      <c r="QCE10" s="353"/>
      <c r="QCF10" s="353"/>
      <c r="QCG10" s="353"/>
      <c r="QCH10" s="353"/>
      <c r="QCI10" s="353"/>
      <c r="QCJ10" s="353"/>
      <c r="QCK10" s="353"/>
      <c r="QCL10" s="353"/>
      <c r="QCM10" s="353"/>
      <c r="QCN10" s="353"/>
      <c r="QCO10" s="353"/>
      <c r="QCP10" s="353"/>
      <c r="QCQ10" s="353"/>
      <c r="QCR10" s="353"/>
      <c r="QCS10" s="353"/>
      <c r="QCT10" s="353"/>
      <c r="QCU10" s="353"/>
      <c r="QCV10" s="353"/>
      <c r="QCW10" s="353"/>
      <c r="QCX10" s="353"/>
      <c r="QCY10" s="353"/>
      <c r="QCZ10" s="353"/>
      <c r="QDA10" s="353"/>
      <c r="QDB10" s="353"/>
      <c r="QDC10" s="353"/>
      <c r="QDD10" s="353"/>
      <c r="QDE10" s="353"/>
      <c r="QDF10" s="353"/>
      <c r="QDG10" s="353"/>
      <c r="QDH10" s="353"/>
      <c r="QDI10" s="353"/>
      <c r="QDJ10" s="353"/>
      <c r="QDK10" s="353"/>
      <c r="QDL10" s="353"/>
      <c r="QDM10" s="353"/>
      <c r="QDN10" s="353"/>
      <c r="QDO10" s="353"/>
      <c r="QDP10" s="353"/>
      <c r="QDQ10" s="353"/>
      <c r="QDR10" s="353"/>
      <c r="QDS10" s="353"/>
      <c r="QDT10" s="353"/>
      <c r="QDU10" s="353"/>
      <c r="QDV10" s="353"/>
      <c r="QDW10" s="353"/>
      <c r="QDX10" s="353"/>
      <c r="QDY10" s="353"/>
      <c r="QDZ10" s="353"/>
      <c r="QEA10" s="353"/>
      <c r="QEB10" s="353"/>
      <c r="QEC10" s="353"/>
      <c r="QED10" s="353"/>
      <c r="QEE10" s="353"/>
      <c r="QEF10" s="353"/>
      <c r="QEG10" s="353"/>
      <c r="QEH10" s="353"/>
      <c r="QEI10" s="353"/>
      <c r="QEJ10" s="353"/>
      <c r="QEK10" s="353"/>
      <c r="QEL10" s="353"/>
      <c r="QEM10" s="353"/>
      <c r="QEN10" s="353"/>
      <c r="QEO10" s="353"/>
      <c r="QEP10" s="353"/>
      <c r="QEQ10" s="353"/>
      <c r="QER10" s="353"/>
      <c r="QES10" s="353"/>
      <c r="QET10" s="353"/>
      <c r="QEU10" s="353"/>
      <c r="QEV10" s="353"/>
      <c r="QEW10" s="353"/>
      <c r="QEX10" s="353"/>
      <c r="QEY10" s="353"/>
      <c r="QEZ10" s="353"/>
      <c r="QFA10" s="353"/>
      <c r="QFB10" s="353"/>
      <c r="QFC10" s="353"/>
      <c r="QFD10" s="353"/>
      <c r="QFE10" s="353"/>
      <c r="QFF10" s="353"/>
      <c r="QFG10" s="353"/>
      <c r="QFH10" s="353"/>
      <c r="QFI10" s="353"/>
      <c r="QFJ10" s="353"/>
      <c r="QFK10" s="353"/>
      <c r="QFL10" s="353"/>
      <c r="QFM10" s="353"/>
      <c r="QFN10" s="353"/>
      <c r="QFO10" s="353"/>
      <c r="QFP10" s="353"/>
      <c r="QFQ10" s="353"/>
      <c r="QFR10" s="353"/>
      <c r="QFS10" s="353"/>
      <c r="QFT10" s="353"/>
      <c r="QFU10" s="353"/>
      <c r="QFV10" s="353"/>
      <c r="QFW10" s="353"/>
      <c r="QFX10" s="353"/>
      <c r="QFY10" s="353"/>
      <c r="QFZ10" s="353"/>
      <c r="QGA10" s="353"/>
      <c r="QGB10" s="353"/>
      <c r="QGC10" s="353"/>
      <c r="QGD10" s="353"/>
      <c r="QGE10" s="353"/>
      <c r="QGF10" s="353"/>
      <c r="QGG10" s="353"/>
      <c r="QGH10" s="353"/>
      <c r="QGI10" s="353"/>
      <c r="QGJ10" s="353"/>
      <c r="QGK10" s="353"/>
      <c r="QGL10" s="353"/>
      <c r="QGM10" s="353"/>
      <c r="QGN10" s="353"/>
      <c r="QGO10" s="353"/>
      <c r="QGP10" s="353"/>
      <c r="QGQ10" s="353"/>
      <c r="QGR10" s="353"/>
      <c r="QGS10" s="353"/>
      <c r="QGT10" s="353"/>
      <c r="QGU10" s="353"/>
      <c r="QGV10" s="353"/>
      <c r="QGW10" s="353"/>
      <c r="QGX10" s="353"/>
      <c r="QGY10" s="353"/>
      <c r="QGZ10" s="353"/>
      <c r="QHA10" s="353"/>
      <c r="QHB10" s="353"/>
      <c r="QHC10" s="353"/>
      <c r="QHD10" s="353"/>
      <c r="QHE10" s="353"/>
      <c r="QHF10" s="353"/>
      <c r="QHG10" s="353"/>
      <c r="QHH10" s="353"/>
      <c r="QHI10" s="353"/>
      <c r="QHJ10" s="353"/>
      <c r="QHK10" s="353"/>
      <c r="QHL10" s="353"/>
      <c r="QHM10" s="353"/>
      <c r="QHN10" s="353"/>
      <c r="QHO10" s="353"/>
      <c r="QHP10" s="353"/>
      <c r="QHQ10" s="353"/>
      <c r="QHR10" s="353"/>
      <c r="QHS10" s="353"/>
      <c r="QHT10" s="353"/>
      <c r="QHU10" s="353"/>
      <c r="QHV10" s="353"/>
      <c r="QHW10" s="353"/>
      <c r="QHX10" s="353"/>
      <c r="QHY10" s="353"/>
      <c r="QHZ10" s="353"/>
      <c r="QIA10" s="353"/>
      <c r="QIB10" s="353"/>
      <c r="QIC10" s="353"/>
      <c r="QID10" s="353"/>
      <c r="QIE10" s="353"/>
      <c r="QIF10" s="353"/>
      <c r="QIG10" s="353"/>
      <c r="QIH10" s="353"/>
      <c r="QII10" s="353"/>
      <c r="QIJ10" s="353"/>
      <c r="QIK10" s="353"/>
      <c r="QIL10" s="353"/>
      <c r="QIM10" s="353"/>
      <c r="QIN10" s="353"/>
      <c r="QIO10" s="353"/>
      <c r="QIP10" s="353"/>
      <c r="QIQ10" s="353"/>
      <c r="QIR10" s="353"/>
      <c r="QIS10" s="353"/>
      <c r="QIT10" s="353"/>
      <c r="QIU10" s="353"/>
      <c r="QIV10" s="353"/>
      <c r="QIW10" s="353"/>
      <c r="QIX10" s="353"/>
      <c r="QIY10" s="353"/>
      <c r="QIZ10" s="353"/>
      <c r="QJA10" s="353"/>
      <c r="QJB10" s="353"/>
      <c r="QJC10" s="353"/>
      <c r="QJD10" s="353"/>
      <c r="QJE10" s="353"/>
      <c r="QJF10" s="353"/>
      <c r="QJG10" s="353"/>
      <c r="QJH10" s="353"/>
      <c r="QJI10" s="353"/>
      <c r="QJJ10" s="353"/>
      <c r="QJK10" s="353"/>
      <c r="QJL10" s="353"/>
      <c r="QJM10" s="353"/>
      <c r="QJN10" s="353"/>
      <c r="QJO10" s="353"/>
      <c r="QJP10" s="353"/>
      <c r="QJQ10" s="353"/>
      <c r="QJR10" s="353"/>
      <c r="QJS10" s="353"/>
      <c r="QJT10" s="353"/>
      <c r="QJU10" s="353"/>
      <c r="QJV10" s="353"/>
      <c r="QJW10" s="353"/>
      <c r="QJX10" s="353"/>
      <c r="QJY10" s="353"/>
      <c r="QJZ10" s="353"/>
      <c r="QKA10" s="353"/>
      <c r="QKB10" s="353"/>
      <c r="QKC10" s="353"/>
      <c r="QKD10" s="353"/>
      <c r="QKE10" s="353"/>
      <c r="QKF10" s="353"/>
      <c r="QKG10" s="353"/>
      <c r="QKH10" s="353"/>
      <c r="QKI10" s="353"/>
      <c r="QKJ10" s="353"/>
      <c r="QKK10" s="353"/>
      <c r="QKL10" s="353"/>
      <c r="QKM10" s="353"/>
      <c r="QKN10" s="353"/>
      <c r="QKO10" s="353"/>
      <c r="QKP10" s="353"/>
      <c r="QKQ10" s="353"/>
      <c r="QKR10" s="353"/>
      <c r="QKS10" s="353"/>
      <c r="QKT10" s="353"/>
      <c r="QKU10" s="353"/>
      <c r="QKV10" s="353"/>
      <c r="QKW10" s="353"/>
      <c r="QKX10" s="353"/>
      <c r="QKY10" s="353"/>
      <c r="QKZ10" s="353"/>
      <c r="QLA10" s="353"/>
      <c r="QLB10" s="353"/>
      <c r="QLC10" s="353"/>
      <c r="QLD10" s="353"/>
      <c r="QLE10" s="353"/>
      <c r="QLF10" s="353"/>
      <c r="QLG10" s="353"/>
      <c r="QLH10" s="353"/>
      <c r="QLI10" s="353"/>
      <c r="QLJ10" s="353"/>
      <c r="QLK10" s="353"/>
      <c r="QLL10" s="353"/>
      <c r="QLM10" s="353"/>
      <c r="QLN10" s="353"/>
      <c r="QLO10" s="353"/>
      <c r="QLP10" s="353"/>
      <c r="QLQ10" s="353"/>
      <c r="QLR10" s="353"/>
      <c r="QLS10" s="353"/>
      <c r="QLT10" s="353"/>
      <c r="QLU10" s="353"/>
      <c r="QLV10" s="353"/>
      <c r="QLW10" s="353"/>
      <c r="QLX10" s="353"/>
      <c r="QLY10" s="353"/>
      <c r="QLZ10" s="353"/>
      <c r="QMA10" s="353"/>
      <c r="QMB10" s="353"/>
      <c r="QMC10" s="353"/>
      <c r="QMD10" s="353"/>
      <c r="QME10" s="353"/>
      <c r="QMF10" s="353"/>
      <c r="QMG10" s="353"/>
      <c r="QMH10" s="353"/>
      <c r="QMI10" s="353"/>
      <c r="QMJ10" s="353"/>
      <c r="QMK10" s="353"/>
      <c r="QML10" s="353"/>
      <c r="QMM10" s="353"/>
      <c r="QMN10" s="353"/>
      <c r="QMO10" s="353"/>
      <c r="QMP10" s="353"/>
      <c r="QMQ10" s="353"/>
      <c r="QMR10" s="353"/>
      <c r="QMS10" s="353"/>
      <c r="QMT10" s="353"/>
      <c r="QMU10" s="353"/>
      <c r="QMV10" s="353"/>
      <c r="QMW10" s="353"/>
      <c r="QMX10" s="353"/>
      <c r="QMY10" s="353"/>
      <c r="QMZ10" s="353"/>
      <c r="QNA10" s="353"/>
      <c r="QNB10" s="353"/>
      <c r="QNC10" s="353"/>
      <c r="QND10" s="353"/>
      <c r="QNE10" s="353"/>
      <c r="QNF10" s="353"/>
      <c r="QNG10" s="353"/>
      <c r="QNH10" s="353"/>
      <c r="QNI10" s="353"/>
      <c r="QNJ10" s="353"/>
      <c r="QNK10" s="353"/>
      <c r="QNL10" s="353"/>
      <c r="QNM10" s="353"/>
      <c r="QNN10" s="353"/>
      <c r="QNO10" s="353"/>
      <c r="QNP10" s="353"/>
      <c r="QNQ10" s="353"/>
      <c r="QNR10" s="353"/>
      <c r="QNS10" s="353"/>
      <c r="QNT10" s="353"/>
      <c r="QNU10" s="353"/>
      <c r="QNV10" s="353"/>
      <c r="QNW10" s="353"/>
      <c r="QNX10" s="353"/>
      <c r="QNY10" s="353"/>
      <c r="QNZ10" s="353"/>
      <c r="QOA10" s="353"/>
      <c r="QOB10" s="353"/>
      <c r="QOC10" s="353"/>
      <c r="QOD10" s="353"/>
      <c r="QOE10" s="353"/>
      <c r="QOF10" s="353"/>
      <c r="QOG10" s="353"/>
      <c r="QOH10" s="353"/>
      <c r="QOI10" s="353"/>
      <c r="QOJ10" s="353"/>
      <c r="QOK10" s="353"/>
      <c r="QOL10" s="353"/>
      <c r="QOM10" s="353"/>
      <c r="QON10" s="353"/>
      <c r="QOO10" s="353"/>
      <c r="QOP10" s="353"/>
      <c r="QOQ10" s="353"/>
      <c r="QOR10" s="353"/>
      <c r="QOS10" s="353"/>
      <c r="QOT10" s="353"/>
      <c r="QOU10" s="353"/>
      <c r="QOV10" s="353"/>
      <c r="QOW10" s="353"/>
      <c r="QOX10" s="353"/>
      <c r="QOY10" s="353"/>
      <c r="QOZ10" s="353"/>
      <c r="QPA10" s="353"/>
      <c r="QPB10" s="353"/>
      <c r="QPC10" s="353"/>
      <c r="QPD10" s="353"/>
      <c r="QPE10" s="353"/>
      <c r="QPF10" s="353"/>
      <c r="QPG10" s="353"/>
      <c r="QPH10" s="353"/>
      <c r="QPI10" s="353"/>
      <c r="QPJ10" s="353"/>
      <c r="QPK10" s="353"/>
      <c r="QPL10" s="353"/>
      <c r="QPM10" s="353"/>
      <c r="QPN10" s="353"/>
      <c r="QPO10" s="353"/>
      <c r="QPP10" s="353"/>
      <c r="QPQ10" s="353"/>
      <c r="QPR10" s="353"/>
      <c r="QPS10" s="353"/>
      <c r="QPT10" s="353"/>
      <c r="QPU10" s="353"/>
      <c r="QPV10" s="353"/>
      <c r="QPW10" s="353"/>
      <c r="QPX10" s="353"/>
      <c r="QPY10" s="353"/>
      <c r="QPZ10" s="353"/>
      <c r="QQA10" s="353"/>
      <c r="QQB10" s="353"/>
      <c r="QQC10" s="353"/>
      <c r="QQD10" s="353"/>
      <c r="QQE10" s="353"/>
      <c r="QQF10" s="353"/>
      <c r="QQG10" s="353"/>
      <c r="QQH10" s="353"/>
      <c r="QQI10" s="353"/>
      <c r="QQJ10" s="353"/>
      <c r="QQK10" s="353"/>
      <c r="QQL10" s="353"/>
      <c r="QQM10" s="353"/>
      <c r="QQN10" s="353"/>
      <c r="QQO10" s="353"/>
      <c r="QQP10" s="353"/>
      <c r="QQQ10" s="353"/>
      <c r="QQR10" s="353"/>
      <c r="QQS10" s="353"/>
      <c r="QQT10" s="353"/>
      <c r="QQU10" s="353"/>
      <c r="QQV10" s="353"/>
      <c r="QQW10" s="353"/>
      <c r="QQX10" s="353"/>
      <c r="QQY10" s="353"/>
      <c r="QQZ10" s="353"/>
      <c r="QRA10" s="353"/>
      <c r="QRB10" s="353"/>
      <c r="QRC10" s="353"/>
      <c r="QRD10" s="353"/>
      <c r="QRE10" s="353"/>
      <c r="QRF10" s="353"/>
      <c r="QRG10" s="353"/>
      <c r="QRH10" s="353"/>
      <c r="QRI10" s="353"/>
      <c r="QRJ10" s="353"/>
      <c r="QRK10" s="353"/>
      <c r="QRL10" s="353"/>
      <c r="QRM10" s="353"/>
      <c r="QRN10" s="353"/>
      <c r="QRO10" s="353"/>
      <c r="QRP10" s="353"/>
      <c r="QRQ10" s="353"/>
      <c r="QRR10" s="353"/>
      <c r="QRS10" s="353"/>
      <c r="QRT10" s="353"/>
      <c r="QRU10" s="353"/>
      <c r="QRV10" s="353"/>
      <c r="QRW10" s="353"/>
      <c r="QRX10" s="353"/>
      <c r="QRY10" s="353"/>
      <c r="QRZ10" s="353"/>
      <c r="QSA10" s="353"/>
      <c r="QSB10" s="353"/>
      <c r="QSC10" s="353"/>
      <c r="QSD10" s="353"/>
      <c r="QSE10" s="353"/>
      <c r="QSF10" s="353"/>
      <c r="QSG10" s="353"/>
      <c r="QSH10" s="353"/>
      <c r="QSI10" s="353"/>
      <c r="QSJ10" s="353"/>
      <c r="QSK10" s="353"/>
      <c r="QSL10" s="353"/>
      <c r="QSM10" s="353"/>
      <c r="QSN10" s="353"/>
      <c r="QSO10" s="353"/>
      <c r="QSP10" s="353"/>
      <c r="QSQ10" s="353"/>
      <c r="QSR10" s="353"/>
      <c r="QSS10" s="353"/>
      <c r="QST10" s="353"/>
      <c r="QSU10" s="353"/>
      <c r="QSV10" s="353"/>
      <c r="QSW10" s="353"/>
      <c r="QSX10" s="353"/>
      <c r="QSY10" s="353"/>
      <c r="QSZ10" s="353"/>
      <c r="QTA10" s="353"/>
      <c r="QTB10" s="353"/>
      <c r="QTC10" s="353"/>
      <c r="QTD10" s="353"/>
      <c r="QTE10" s="353"/>
      <c r="QTF10" s="353"/>
      <c r="QTG10" s="353"/>
      <c r="QTH10" s="353"/>
      <c r="QTI10" s="353"/>
      <c r="QTJ10" s="353"/>
      <c r="QTK10" s="353"/>
      <c r="QTL10" s="353"/>
      <c r="QTM10" s="353"/>
      <c r="QTN10" s="353"/>
      <c r="QTO10" s="353"/>
      <c r="QTP10" s="353"/>
      <c r="QTQ10" s="353"/>
      <c r="QTR10" s="353"/>
      <c r="QTS10" s="353"/>
      <c r="QTT10" s="353"/>
      <c r="QTU10" s="353"/>
      <c r="QTV10" s="353"/>
      <c r="QTW10" s="353"/>
      <c r="QTX10" s="353"/>
      <c r="QTY10" s="353"/>
      <c r="QTZ10" s="353"/>
      <c r="QUA10" s="353"/>
      <c r="QUB10" s="353"/>
      <c r="QUC10" s="353"/>
      <c r="QUD10" s="353"/>
      <c r="QUE10" s="353"/>
      <c r="QUF10" s="353"/>
      <c r="QUG10" s="353"/>
      <c r="QUH10" s="353"/>
      <c r="QUI10" s="353"/>
      <c r="QUJ10" s="353"/>
      <c r="QUK10" s="353"/>
      <c r="QUL10" s="353"/>
      <c r="QUM10" s="353"/>
      <c r="QUN10" s="353"/>
      <c r="QUO10" s="353"/>
      <c r="QUP10" s="353"/>
      <c r="QUQ10" s="353"/>
      <c r="QUR10" s="353"/>
      <c r="QUS10" s="353"/>
      <c r="QUT10" s="353"/>
      <c r="QUU10" s="353"/>
      <c r="QUV10" s="353"/>
      <c r="QUW10" s="353"/>
      <c r="QUX10" s="353"/>
      <c r="QUY10" s="353"/>
      <c r="QUZ10" s="353"/>
      <c r="QVA10" s="353"/>
      <c r="QVB10" s="353"/>
      <c r="QVC10" s="353"/>
      <c r="QVD10" s="353"/>
      <c r="QVE10" s="353"/>
      <c r="QVF10" s="353"/>
      <c r="QVG10" s="353"/>
      <c r="QVH10" s="353"/>
      <c r="QVI10" s="353"/>
      <c r="QVJ10" s="353"/>
      <c r="QVK10" s="353"/>
      <c r="QVL10" s="353"/>
      <c r="QVM10" s="353"/>
      <c r="QVN10" s="353"/>
      <c r="QVO10" s="353"/>
      <c r="QVP10" s="353"/>
      <c r="QVQ10" s="353"/>
      <c r="QVR10" s="353"/>
      <c r="QVS10" s="353"/>
      <c r="QVT10" s="353"/>
      <c r="QVU10" s="353"/>
      <c r="QVV10" s="353"/>
      <c r="QVW10" s="353"/>
      <c r="QVX10" s="353"/>
      <c r="QVY10" s="353"/>
      <c r="QVZ10" s="353"/>
      <c r="QWA10" s="353"/>
      <c r="QWB10" s="353"/>
      <c r="QWC10" s="353"/>
      <c r="QWD10" s="353"/>
      <c r="QWE10" s="353"/>
      <c r="QWF10" s="353"/>
      <c r="QWG10" s="353"/>
      <c r="QWH10" s="353"/>
      <c r="QWI10" s="353"/>
      <c r="QWJ10" s="353"/>
      <c r="QWK10" s="353"/>
      <c r="QWL10" s="353"/>
      <c r="QWM10" s="353"/>
      <c r="QWN10" s="353"/>
      <c r="QWO10" s="353"/>
      <c r="QWP10" s="353"/>
      <c r="QWQ10" s="353"/>
      <c r="QWR10" s="353"/>
      <c r="QWS10" s="353"/>
      <c r="QWT10" s="353"/>
      <c r="QWU10" s="353"/>
      <c r="QWV10" s="353"/>
      <c r="QWW10" s="353"/>
      <c r="QWX10" s="353"/>
      <c r="QWY10" s="353"/>
      <c r="QWZ10" s="353"/>
      <c r="QXA10" s="353"/>
      <c r="QXB10" s="353"/>
      <c r="QXC10" s="353"/>
      <c r="QXD10" s="353"/>
      <c r="QXE10" s="353"/>
      <c r="QXF10" s="353"/>
      <c r="QXG10" s="353"/>
      <c r="QXH10" s="353"/>
      <c r="QXI10" s="353"/>
      <c r="QXJ10" s="353"/>
      <c r="QXK10" s="353"/>
      <c r="QXL10" s="353"/>
      <c r="QXM10" s="353"/>
      <c r="QXN10" s="353"/>
      <c r="QXO10" s="353"/>
      <c r="QXP10" s="353"/>
      <c r="QXQ10" s="353"/>
      <c r="QXR10" s="353"/>
      <c r="QXS10" s="353"/>
      <c r="QXT10" s="353"/>
      <c r="QXU10" s="353"/>
      <c r="QXV10" s="353"/>
      <c r="QXW10" s="353"/>
      <c r="QXX10" s="353"/>
      <c r="QXY10" s="353"/>
      <c r="QXZ10" s="353"/>
      <c r="QYA10" s="353"/>
      <c r="QYB10" s="353"/>
      <c r="QYC10" s="353"/>
      <c r="QYD10" s="353"/>
      <c r="QYE10" s="353"/>
      <c r="QYF10" s="353"/>
      <c r="QYG10" s="353"/>
      <c r="QYH10" s="353"/>
      <c r="QYI10" s="353"/>
      <c r="QYJ10" s="353"/>
      <c r="QYK10" s="353"/>
      <c r="QYL10" s="353"/>
      <c r="QYM10" s="353"/>
      <c r="QYN10" s="353"/>
      <c r="QYO10" s="353"/>
      <c r="QYP10" s="353"/>
      <c r="QYQ10" s="353"/>
      <c r="QYR10" s="353"/>
      <c r="QYS10" s="353"/>
      <c r="QYT10" s="353"/>
      <c r="QYU10" s="353"/>
      <c r="QYV10" s="353"/>
      <c r="QYW10" s="353"/>
      <c r="QYX10" s="353"/>
      <c r="QYY10" s="353"/>
      <c r="QYZ10" s="353"/>
      <c r="QZA10" s="353"/>
      <c r="QZB10" s="353"/>
      <c r="QZC10" s="353"/>
      <c r="QZD10" s="353"/>
      <c r="QZE10" s="353"/>
      <c r="QZF10" s="353"/>
      <c r="QZG10" s="353"/>
      <c r="QZH10" s="353"/>
      <c r="QZI10" s="353"/>
      <c r="QZJ10" s="353"/>
      <c r="QZK10" s="353"/>
      <c r="QZL10" s="353"/>
      <c r="QZM10" s="353"/>
      <c r="QZN10" s="353"/>
      <c r="QZO10" s="353"/>
      <c r="QZP10" s="353"/>
      <c r="QZQ10" s="353"/>
      <c r="QZR10" s="353"/>
      <c r="QZS10" s="353"/>
      <c r="QZT10" s="353"/>
      <c r="QZU10" s="353"/>
      <c r="QZV10" s="353"/>
      <c r="QZW10" s="353"/>
      <c r="QZX10" s="353"/>
      <c r="QZY10" s="353"/>
      <c r="QZZ10" s="353"/>
      <c r="RAA10" s="353"/>
      <c r="RAB10" s="353"/>
      <c r="RAC10" s="353"/>
      <c r="RAD10" s="353"/>
      <c r="RAE10" s="353"/>
      <c r="RAF10" s="353"/>
      <c r="RAG10" s="353"/>
      <c r="RAH10" s="353"/>
      <c r="RAI10" s="353"/>
      <c r="RAJ10" s="353"/>
      <c r="RAK10" s="353"/>
      <c r="RAL10" s="353"/>
      <c r="RAM10" s="353"/>
      <c r="RAN10" s="353"/>
      <c r="RAO10" s="353"/>
      <c r="RAP10" s="353"/>
      <c r="RAQ10" s="353"/>
      <c r="RAR10" s="353"/>
      <c r="RAS10" s="353"/>
      <c r="RAT10" s="353"/>
      <c r="RAU10" s="353"/>
      <c r="RAV10" s="353"/>
      <c r="RAW10" s="353"/>
      <c r="RAX10" s="353"/>
      <c r="RAY10" s="353"/>
      <c r="RAZ10" s="353"/>
      <c r="RBA10" s="353"/>
      <c r="RBB10" s="353"/>
      <c r="RBC10" s="353"/>
      <c r="RBD10" s="353"/>
      <c r="RBE10" s="353"/>
      <c r="RBF10" s="353"/>
      <c r="RBG10" s="353"/>
      <c r="RBH10" s="353"/>
      <c r="RBI10" s="353"/>
      <c r="RBJ10" s="353"/>
      <c r="RBK10" s="353"/>
      <c r="RBL10" s="353"/>
      <c r="RBM10" s="353"/>
      <c r="RBN10" s="353"/>
      <c r="RBO10" s="353"/>
      <c r="RBP10" s="353"/>
      <c r="RBQ10" s="353"/>
      <c r="RBR10" s="353"/>
      <c r="RBS10" s="353"/>
      <c r="RBT10" s="353"/>
      <c r="RBU10" s="353"/>
      <c r="RBV10" s="353"/>
      <c r="RBW10" s="353"/>
      <c r="RBX10" s="353"/>
      <c r="RBY10" s="353"/>
      <c r="RBZ10" s="353"/>
      <c r="RCA10" s="353"/>
      <c r="RCB10" s="353"/>
      <c r="RCC10" s="353"/>
      <c r="RCD10" s="353"/>
      <c r="RCE10" s="353"/>
      <c r="RCF10" s="353"/>
      <c r="RCG10" s="353"/>
      <c r="RCH10" s="353"/>
      <c r="RCI10" s="353"/>
      <c r="RCJ10" s="353"/>
      <c r="RCK10" s="353"/>
      <c r="RCL10" s="353"/>
      <c r="RCM10" s="353"/>
      <c r="RCN10" s="353"/>
      <c r="RCO10" s="353"/>
      <c r="RCP10" s="353"/>
      <c r="RCQ10" s="353"/>
      <c r="RCR10" s="353"/>
      <c r="RCS10" s="353"/>
      <c r="RCT10" s="353"/>
      <c r="RCU10" s="353"/>
      <c r="RCV10" s="353"/>
      <c r="RCW10" s="353"/>
      <c r="RCX10" s="353"/>
      <c r="RCY10" s="353"/>
      <c r="RCZ10" s="353"/>
      <c r="RDA10" s="353"/>
      <c r="RDB10" s="353"/>
      <c r="RDC10" s="353"/>
      <c r="RDD10" s="353"/>
      <c r="RDE10" s="353"/>
      <c r="RDF10" s="353"/>
      <c r="RDG10" s="353"/>
      <c r="RDH10" s="353"/>
      <c r="RDI10" s="353"/>
      <c r="RDJ10" s="353"/>
      <c r="RDK10" s="353"/>
      <c r="RDL10" s="353"/>
      <c r="RDM10" s="353"/>
      <c r="RDN10" s="353"/>
      <c r="RDO10" s="353"/>
      <c r="RDP10" s="353"/>
      <c r="RDQ10" s="353"/>
      <c r="RDR10" s="353"/>
      <c r="RDS10" s="353"/>
      <c r="RDT10" s="353"/>
      <c r="RDU10" s="353"/>
      <c r="RDV10" s="353"/>
      <c r="RDW10" s="353"/>
      <c r="RDX10" s="353"/>
      <c r="RDY10" s="353"/>
      <c r="RDZ10" s="353"/>
      <c r="REA10" s="353"/>
      <c r="REB10" s="353"/>
      <c r="REC10" s="353"/>
      <c r="RED10" s="353"/>
      <c r="REE10" s="353"/>
      <c r="REF10" s="353"/>
      <c r="REG10" s="353"/>
      <c r="REH10" s="353"/>
      <c r="REI10" s="353"/>
      <c r="REJ10" s="353"/>
      <c r="REK10" s="353"/>
      <c r="REL10" s="353"/>
      <c r="REM10" s="353"/>
      <c r="REN10" s="353"/>
      <c r="REO10" s="353"/>
      <c r="REP10" s="353"/>
      <c r="REQ10" s="353"/>
      <c r="RER10" s="353"/>
      <c r="RES10" s="353"/>
      <c r="RET10" s="353"/>
      <c r="REU10" s="353"/>
      <c r="REV10" s="353"/>
      <c r="REW10" s="353"/>
      <c r="REX10" s="353"/>
      <c r="REY10" s="353"/>
      <c r="REZ10" s="353"/>
      <c r="RFA10" s="353"/>
      <c r="RFB10" s="353"/>
      <c r="RFC10" s="353"/>
      <c r="RFD10" s="353"/>
      <c r="RFE10" s="353"/>
      <c r="RFF10" s="353"/>
      <c r="RFG10" s="353"/>
      <c r="RFH10" s="353"/>
      <c r="RFI10" s="353"/>
      <c r="RFJ10" s="353"/>
      <c r="RFK10" s="353"/>
      <c r="RFL10" s="353"/>
      <c r="RFM10" s="353"/>
      <c r="RFN10" s="353"/>
      <c r="RFO10" s="353"/>
      <c r="RFP10" s="353"/>
      <c r="RFQ10" s="353"/>
      <c r="RFR10" s="353"/>
      <c r="RFS10" s="353"/>
      <c r="RFT10" s="353"/>
      <c r="RFU10" s="353"/>
      <c r="RFV10" s="353"/>
      <c r="RFW10" s="353"/>
      <c r="RFX10" s="353"/>
      <c r="RFY10" s="353"/>
      <c r="RFZ10" s="353"/>
      <c r="RGA10" s="353"/>
      <c r="RGB10" s="353"/>
      <c r="RGC10" s="353"/>
      <c r="RGD10" s="353"/>
      <c r="RGE10" s="353"/>
      <c r="RGF10" s="353"/>
      <c r="RGG10" s="353"/>
      <c r="RGH10" s="353"/>
      <c r="RGI10" s="353"/>
      <c r="RGJ10" s="353"/>
      <c r="RGK10" s="353"/>
      <c r="RGL10" s="353"/>
      <c r="RGM10" s="353"/>
      <c r="RGN10" s="353"/>
      <c r="RGO10" s="353"/>
      <c r="RGP10" s="353"/>
      <c r="RGQ10" s="353"/>
      <c r="RGR10" s="353"/>
      <c r="RGS10" s="353"/>
      <c r="RGT10" s="353"/>
      <c r="RGU10" s="353"/>
      <c r="RGV10" s="353"/>
      <c r="RGW10" s="353"/>
      <c r="RGX10" s="353"/>
      <c r="RGY10" s="353"/>
      <c r="RGZ10" s="353"/>
      <c r="RHA10" s="353"/>
      <c r="RHB10" s="353"/>
      <c r="RHC10" s="353"/>
      <c r="RHD10" s="353"/>
      <c r="RHE10" s="353"/>
      <c r="RHF10" s="353"/>
      <c r="RHG10" s="353"/>
      <c r="RHH10" s="353"/>
      <c r="RHI10" s="353"/>
      <c r="RHJ10" s="353"/>
      <c r="RHK10" s="353"/>
      <c r="RHL10" s="353"/>
      <c r="RHM10" s="353"/>
      <c r="RHN10" s="353"/>
      <c r="RHO10" s="353"/>
      <c r="RHP10" s="353"/>
      <c r="RHQ10" s="353"/>
      <c r="RHR10" s="353"/>
      <c r="RHS10" s="353"/>
      <c r="RHT10" s="353"/>
      <c r="RHU10" s="353"/>
      <c r="RHV10" s="353"/>
      <c r="RHW10" s="353"/>
      <c r="RHX10" s="353"/>
      <c r="RHY10" s="353"/>
      <c r="RHZ10" s="353"/>
      <c r="RIA10" s="353"/>
      <c r="RIB10" s="353"/>
      <c r="RIC10" s="353"/>
      <c r="RID10" s="353"/>
      <c r="RIE10" s="353"/>
      <c r="RIF10" s="353"/>
      <c r="RIG10" s="353"/>
      <c r="RIH10" s="353"/>
      <c r="RII10" s="353"/>
      <c r="RIJ10" s="353"/>
      <c r="RIK10" s="353"/>
      <c r="RIL10" s="353"/>
      <c r="RIM10" s="353"/>
      <c r="RIN10" s="353"/>
      <c r="RIO10" s="353"/>
      <c r="RIP10" s="353"/>
      <c r="RIQ10" s="353"/>
      <c r="RIR10" s="353"/>
      <c r="RIS10" s="353"/>
      <c r="RIT10" s="353"/>
      <c r="RIU10" s="353"/>
      <c r="RIV10" s="353"/>
      <c r="RIW10" s="353"/>
      <c r="RIX10" s="353"/>
      <c r="RIY10" s="353"/>
      <c r="RIZ10" s="353"/>
      <c r="RJA10" s="353"/>
      <c r="RJB10" s="353"/>
      <c r="RJC10" s="353"/>
      <c r="RJD10" s="353"/>
      <c r="RJE10" s="353"/>
      <c r="RJF10" s="353"/>
      <c r="RJG10" s="353"/>
      <c r="RJH10" s="353"/>
      <c r="RJI10" s="353"/>
      <c r="RJJ10" s="353"/>
      <c r="RJK10" s="353"/>
      <c r="RJL10" s="353"/>
      <c r="RJM10" s="353"/>
      <c r="RJN10" s="353"/>
      <c r="RJO10" s="353"/>
      <c r="RJP10" s="353"/>
      <c r="RJQ10" s="353"/>
      <c r="RJR10" s="353"/>
      <c r="RJS10" s="353"/>
      <c r="RJT10" s="353"/>
      <c r="RJU10" s="353"/>
      <c r="RJV10" s="353"/>
      <c r="RJW10" s="353"/>
      <c r="RJX10" s="353"/>
      <c r="RJY10" s="353"/>
      <c r="RJZ10" s="353"/>
      <c r="RKA10" s="353"/>
      <c r="RKB10" s="353"/>
      <c r="RKC10" s="353"/>
      <c r="RKD10" s="353"/>
      <c r="RKE10" s="353"/>
      <c r="RKF10" s="353"/>
      <c r="RKG10" s="353"/>
      <c r="RKH10" s="353"/>
      <c r="RKI10" s="353"/>
      <c r="RKJ10" s="353"/>
      <c r="RKK10" s="353"/>
      <c r="RKL10" s="353"/>
      <c r="RKM10" s="353"/>
      <c r="RKN10" s="353"/>
      <c r="RKO10" s="353"/>
      <c r="RKP10" s="353"/>
      <c r="RKQ10" s="353"/>
      <c r="RKR10" s="353"/>
      <c r="RKS10" s="353"/>
      <c r="RKT10" s="353"/>
      <c r="RKU10" s="353"/>
      <c r="RKV10" s="353"/>
      <c r="RKW10" s="353"/>
      <c r="RKX10" s="353"/>
      <c r="RKY10" s="353"/>
      <c r="RKZ10" s="353"/>
      <c r="RLA10" s="353"/>
      <c r="RLB10" s="353"/>
      <c r="RLC10" s="353"/>
      <c r="RLD10" s="353"/>
      <c r="RLE10" s="353"/>
      <c r="RLF10" s="353"/>
      <c r="RLG10" s="353"/>
      <c r="RLH10" s="353"/>
      <c r="RLI10" s="353"/>
      <c r="RLJ10" s="353"/>
      <c r="RLK10" s="353"/>
      <c r="RLL10" s="353"/>
      <c r="RLM10" s="353"/>
      <c r="RLN10" s="353"/>
      <c r="RLO10" s="353"/>
      <c r="RLP10" s="353"/>
      <c r="RLQ10" s="353"/>
      <c r="RLR10" s="353"/>
      <c r="RLS10" s="353"/>
      <c r="RLT10" s="353"/>
      <c r="RLU10" s="353"/>
      <c r="RLV10" s="353"/>
      <c r="RLW10" s="353"/>
      <c r="RLX10" s="353"/>
      <c r="RLY10" s="353"/>
      <c r="RLZ10" s="353"/>
      <c r="RMA10" s="353"/>
      <c r="RMB10" s="353"/>
      <c r="RMC10" s="353"/>
      <c r="RMD10" s="353"/>
      <c r="RME10" s="353"/>
      <c r="RMF10" s="353"/>
      <c r="RMG10" s="353"/>
      <c r="RMH10" s="353"/>
      <c r="RMI10" s="353"/>
      <c r="RMJ10" s="353"/>
      <c r="RMK10" s="353"/>
      <c r="RML10" s="353"/>
      <c r="RMM10" s="353"/>
      <c r="RMN10" s="353"/>
      <c r="RMO10" s="353"/>
      <c r="RMP10" s="353"/>
      <c r="RMQ10" s="353"/>
      <c r="RMR10" s="353"/>
      <c r="RMS10" s="353"/>
      <c r="RMT10" s="353"/>
      <c r="RMU10" s="353"/>
      <c r="RMV10" s="353"/>
      <c r="RMW10" s="353"/>
      <c r="RMX10" s="353"/>
      <c r="RMY10" s="353"/>
      <c r="RMZ10" s="353"/>
      <c r="RNA10" s="353"/>
      <c r="RNB10" s="353"/>
      <c r="RNC10" s="353"/>
      <c r="RND10" s="353"/>
      <c r="RNE10" s="353"/>
      <c r="RNF10" s="353"/>
      <c r="RNG10" s="353"/>
      <c r="RNH10" s="353"/>
      <c r="RNI10" s="353"/>
      <c r="RNJ10" s="353"/>
      <c r="RNK10" s="353"/>
      <c r="RNL10" s="353"/>
      <c r="RNM10" s="353"/>
      <c r="RNN10" s="353"/>
      <c r="RNO10" s="353"/>
      <c r="RNP10" s="353"/>
      <c r="RNQ10" s="353"/>
      <c r="RNR10" s="353"/>
      <c r="RNS10" s="353"/>
      <c r="RNT10" s="353"/>
      <c r="RNU10" s="353"/>
      <c r="RNV10" s="353"/>
      <c r="RNW10" s="353"/>
      <c r="RNX10" s="353"/>
      <c r="RNY10" s="353"/>
      <c r="RNZ10" s="353"/>
      <c r="ROA10" s="353"/>
      <c r="ROB10" s="353"/>
      <c r="ROC10" s="353"/>
      <c r="ROD10" s="353"/>
      <c r="ROE10" s="353"/>
      <c r="ROF10" s="353"/>
      <c r="ROG10" s="353"/>
      <c r="ROH10" s="353"/>
      <c r="ROI10" s="353"/>
      <c r="ROJ10" s="353"/>
      <c r="ROK10" s="353"/>
      <c r="ROL10" s="353"/>
      <c r="ROM10" s="353"/>
      <c r="RON10" s="353"/>
      <c r="ROO10" s="353"/>
      <c r="ROP10" s="353"/>
      <c r="ROQ10" s="353"/>
      <c r="ROR10" s="353"/>
      <c r="ROS10" s="353"/>
      <c r="ROT10" s="353"/>
      <c r="ROU10" s="353"/>
      <c r="ROV10" s="353"/>
      <c r="ROW10" s="353"/>
      <c r="ROX10" s="353"/>
      <c r="ROY10" s="353"/>
      <c r="ROZ10" s="353"/>
      <c r="RPA10" s="353"/>
      <c r="RPB10" s="353"/>
      <c r="RPC10" s="353"/>
      <c r="RPD10" s="353"/>
      <c r="RPE10" s="353"/>
      <c r="RPF10" s="353"/>
      <c r="RPG10" s="353"/>
      <c r="RPH10" s="353"/>
      <c r="RPI10" s="353"/>
      <c r="RPJ10" s="353"/>
      <c r="RPK10" s="353"/>
      <c r="RPL10" s="353"/>
      <c r="RPM10" s="353"/>
      <c r="RPN10" s="353"/>
      <c r="RPO10" s="353"/>
      <c r="RPP10" s="353"/>
      <c r="RPQ10" s="353"/>
      <c r="RPR10" s="353"/>
      <c r="RPS10" s="353"/>
      <c r="RPT10" s="353"/>
      <c r="RPU10" s="353"/>
      <c r="RPV10" s="353"/>
      <c r="RPW10" s="353"/>
      <c r="RPX10" s="353"/>
      <c r="RPY10" s="353"/>
      <c r="RPZ10" s="353"/>
      <c r="RQA10" s="353"/>
      <c r="RQB10" s="353"/>
      <c r="RQC10" s="353"/>
      <c r="RQD10" s="353"/>
      <c r="RQE10" s="353"/>
      <c r="RQF10" s="353"/>
      <c r="RQG10" s="353"/>
      <c r="RQH10" s="353"/>
      <c r="RQI10" s="353"/>
      <c r="RQJ10" s="353"/>
      <c r="RQK10" s="353"/>
      <c r="RQL10" s="353"/>
      <c r="RQM10" s="353"/>
      <c r="RQN10" s="353"/>
      <c r="RQO10" s="353"/>
      <c r="RQP10" s="353"/>
      <c r="RQQ10" s="353"/>
      <c r="RQR10" s="353"/>
      <c r="RQS10" s="353"/>
      <c r="RQT10" s="353"/>
      <c r="RQU10" s="353"/>
      <c r="RQV10" s="353"/>
      <c r="RQW10" s="353"/>
      <c r="RQX10" s="353"/>
      <c r="RQY10" s="353"/>
      <c r="RQZ10" s="353"/>
      <c r="RRA10" s="353"/>
      <c r="RRB10" s="353"/>
      <c r="RRC10" s="353"/>
      <c r="RRD10" s="353"/>
      <c r="RRE10" s="353"/>
      <c r="RRF10" s="353"/>
      <c r="RRG10" s="353"/>
      <c r="RRH10" s="353"/>
      <c r="RRI10" s="353"/>
      <c r="RRJ10" s="353"/>
      <c r="RRK10" s="353"/>
      <c r="RRL10" s="353"/>
      <c r="RRM10" s="353"/>
      <c r="RRN10" s="353"/>
      <c r="RRO10" s="353"/>
      <c r="RRP10" s="353"/>
      <c r="RRQ10" s="353"/>
      <c r="RRR10" s="353"/>
      <c r="RRS10" s="353"/>
      <c r="RRT10" s="353"/>
      <c r="RRU10" s="353"/>
      <c r="RRV10" s="353"/>
      <c r="RRW10" s="353"/>
      <c r="RRX10" s="353"/>
      <c r="RRY10" s="353"/>
      <c r="RRZ10" s="353"/>
      <c r="RSA10" s="353"/>
      <c r="RSB10" s="353"/>
      <c r="RSC10" s="353"/>
      <c r="RSD10" s="353"/>
      <c r="RSE10" s="353"/>
      <c r="RSF10" s="353"/>
      <c r="RSG10" s="353"/>
      <c r="RSH10" s="353"/>
      <c r="RSI10" s="353"/>
      <c r="RSJ10" s="353"/>
      <c r="RSK10" s="353"/>
      <c r="RSL10" s="353"/>
      <c r="RSM10" s="353"/>
      <c r="RSN10" s="353"/>
      <c r="RSO10" s="353"/>
      <c r="RSP10" s="353"/>
      <c r="RSQ10" s="353"/>
      <c r="RSR10" s="353"/>
      <c r="RSS10" s="353"/>
      <c r="RST10" s="353"/>
      <c r="RSU10" s="353"/>
      <c r="RSV10" s="353"/>
      <c r="RSW10" s="353"/>
      <c r="RSX10" s="353"/>
      <c r="RSY10" s="353"/>
      <c r="RSZ10" s="353"/>
      <c r="RTA10" s="353"/>
      <c r="RTB10" s="353"/>
      <c r="RTC10" s="353"/>
      <c r="RTD10" s="353"/>
      <c r="RTE10" s="353"/>
      <c r="RTF10" s="353"/>
      <c r="RTG10" s="353"/>
      <c r="RTH10" s="353"/>
      <c r="RTI10" s="353"/>
      <c r="RTJ10" s="353"/>
      <c r="RTK10" s="353"/>
      <c r="RTL10" s="353"/>
      <c r="RTM10" s="353"/>
      <c r="RTN10" s="353"/>
      <c r="RTO10" s="353"/>
      <c r="RTP10" s="353"/>
      <c r="RTQ10" s="353"/>
      <c r="RTR10" s="353"/>
      <c r="RTS10" s="353"/>
      <c r="RTT10" s="353"/>
      <c r="RTU10" s="353"/>
      <c r="RTV10" s="353"/>
      <c r="RTW10" s="353"/>
      <c r="RTX10" s="353"/>
      <c r="RTY10" s="353"/>
      <c r="RTZ10" s="353"/>
      <c r="RUA10" s="353"/>
      <c r="RUB10" s="353"/>
      <c r="RUC10" s="353"/>
      <c r="RUD10" s="353"/>
      <c r="RUE10" s="353"/>
      <c r="RUF10" s="353"/>
      <c r="RUG10" s="353"/>
      <c r="RUH10" s="353"/>
      <c r="RUI10" s="353"/>
      <c r="RUJ10" s="353"/>
      <c r="RUK10" s="353"/>
      <c r="RUL10" s="353"/>
      <c r="RUM10" s="353"/>
      <c r="RUN10" s="353"/>
      <c r="RUO10" s="353"/>
      <c r="RUP10" s="353"/>
      <c r="RUQ10" s="353"/>
      <c r="RUR10" s="353"/>
      <c r="RUS10" s="353"/>
      <c r="RUT10" s="353"/>
      <c r="RUU10" s="353"/>
      <c r="RUV10" s="353"/>
      <c r="RUW10" s="353"/>
      <c r="RUX10" s="353"/>
      <c r="RUY10" s="353"/>
      <c r="RUZ10" s="353"/>
      <c r="RVA10" s="353"/>
      <c r="RVB10" s="353"/>
      <c r="RVC10" s="353"/>
      <c r="RVD10" s="353"/>
      <c r="RVE10" s="353"/>
      <c r="RVF10" s="353"/>
      <c r="RVG10" s="353"/>
      <c r="RVH10" s="353"/>
      <c r="RVI10" s="353"/>
      <c r="RVJ10" s="353"/>
      <c r="RVK10" s="353"/>
      <c r="RVL10" s="353"/>
      <c r="RVM10" s="353"/>
      <c r="RVN10" s="353"/>
      <c r="RVO10" s="353"/>
      <c r="RVP10" s="353"/>
      <c r="RVQ10" s="353"/>
      <c r="RVR10" s="353"/>
      <c r="RVS10" s="353"/>
      <c r="RVT10" s="353"/>
      <c r="RVU10" s="353"/>
      <c r="RVV10" s="353"/>
      <c r="RVW10" s="353"/>
      <c r="RVX10" s="353"/>
      <c r="RVY10" s="353"/>
      <c r="RVZ10" s="353"/>
      <c r="RWA10" s="353"/>
      <c r="RWB10" s="353"/>
      <c r="RWC10" s="353"/>
      <c r="RWD10" s="353"/>
      <c r="RWE10" s="353"/>
      <c r="RWF10" s="353"/>
      <c r="RWG10" s="353"/>
      <c r="RWH10" s="353"/>
      <c r="RWI10" s="353"/>
      <c r="RWJ10" s="353"/>
      <c r="RWK10" s="353"/>
      <c r="RWL10" s="353"/>
      <c r="RWM10" s="353"/>
      <c r="RWN10" s="353"/>
      <c r="RWO10" s="353"/>
      <c r="RWP10" s="353"/>
      <c r="RWQ10" s="353"/>
      <c r="RWR10" s="353"/>
      <c r="RWS10" s="353"/>
      <c r="RWT10" s="353"/>
      <c r="RWU10" s="353"/>
      <c r="RWV10" s="353"/>
      <c r="RWW10" s="353"/>
      <c r="RWX10" s="353"/>
      <c r="RWY10" s="353"/>
      <c r="RWZ10" s="353"/>
      <c r="RXA10" s="353"/>
      <c r="RXB10" s="353"/>
      <c r="RXC10" s="353"/>
      <c r="RXD10" s="353"/>
      <c r="RXE10" s="353"/>
      <c r="RXF10" s="353"/>
      <c r="RXG10" s="353"/>
      <c r="RXH10" s="353"/>
      <c r="RXI10" s="353"/>
      <c r="RXJ10" s="353"/>
      <c r="RXK10" s="353"/>
      <c r="RXL10" s="353"/>
      <c r="RXM10" s="353"/>
      <c r="RXN10" s="353"/>
      <c r="RXO10" s="353"/>
      <c r="RXP10" s="353"/>
      <c r="RXQ10" s="353"/>
      <c r="RXR10" s="353"/>
      <c r="RXS10" s="353"/>
      <c r="RXT10" s="353"/>
      <c r="RXU10" s="353"/>
      <c r="RXV10" s="353"/>
      <c r="RXW10" s="353"/>
      <c r="RXX10" s="353"/>
      <c r="RXY10" s="353"/>
      <c r="RXZ10" s="353"/>
      <c r="RYA10" s="353"/>
      <c r="RYB10" s="353"/>
      <c r="RYC10" s="353"/>
      <c r="RYD10" s="353"/>
      <c r="RYE10" s="353"/>
      <c r="RYF10" s="353"/>
      <c r="RYG10" s="353"/>
      <c r="RYH10" s="353"/>
      <c r="RYI10" s="353"/>
      <c r="RYJ10" s="353"/>
      <c r="RYK10" s="353"/>
      <c r="RYL10" s="353"/>
      <c r="RYM10" s="353"/>
      <c r="RYN10" s="353"/>
      <c r="RYO10" s="353"/>
      <c r="RYP10" s="353"/>
      <c r="RYQ10" s="353"/>
      <c r="RYR10" s="353"/>
      <c r="RYS10" s="353"/>
      <c r="RYT10" s="353"/>
      <c r="RYU10" s="353"/>
      <c r="RYV10" s="353"/>
      <c r="RYW10" s="353"/>
      <c r="RYX10" s="353"/>
      <c r="RYY10" s="353"/>
      <c r="RYZ10" s="353"/>
      <c r="RZA10" s="353"/>
      <c r="RZB10" s="353"/>
      <c r="RZC10" s="353"/>
      <c r="RZD10" s="353"/>
      <c r="RZE10" s="353"/>
      <c r="RZF10" s="353"/>
      <c r="RZG10" s="353"/>
      <c r="RZH10" s="353"/>
      <c r="RZI10" s="353"/>
      <c r="RZJ10" s="353"/>
      <c r="RZK10" s="353"/>
      <c r="RZL10" s="353"/>
      <c r="RZM10" s="353"/>
      <c r="RZN10" s="353"/>
      <c r="RZO10" s="353"/>
      <c r="RZP10" s="353"/>
      <c r="RZQ10" s="353"/>
      <c r="RZR10" s="353"/>
      <c r="RZS10" s="353"/>
      <c r="RZT10" s="353"/>
      <c r="RZU10" s="353"/>
      <c r="RZV10" s="353"/>
      <c r="RZW10" s="353"/>
      <c r="RZX10" s="353"/>
      <c r="RZY10" s="353"/>
      <c r="RZZ10" s="353"/>
      <c r="SAA10" s="353"/>
      <c r="SAB10" s="353"/>
      <c r="SAC10" s="353"/>
      <c r="SAD10" s="353"/>
      <c r="SAE10" s="353"/>
      <c r="SAF10" s="353"/>
      <c r="SAG10" s="353"/>
      <c r="SAH10" s="353"/>
      <c r="SAI10" s="353"/>
      <c r="SAJ10" s="353"/>
      <c r="SAK10" s="353"/>
      <c r="SAL10" s="353"/>
      <c r="SAM10" s="353"/>
      <c r="SAN10" s="353"/>
      <c r="SAO10" s="353"/>
      <c r="SAP10" s="353"/>
      <c r="SAQ10" s="353"/>
      <c r="SAR10" s="353"/>
      <c r="SAS10" s="353"/>
      <c r="SAT10" s="353"/>
      <c r="SAU10" s="353"/>
      <c r="SAV10" s="353"/>
      <c r="SAW10" s="353"/>
      <c r="SAX10" s="353"/>
      <c r="SAY10" s="353"/>
      <c r="SAZ10" s="353"/>
      <c r="SBA10" s="353"/>
      <c r="SBB10" s="353"/>
      <c r="SBC10" s="353"/>
      <c r="SBD10" s="353"/>
      <c r="SBE10" s="353"/>
      <c r="SBF10" s="353"/>
      <c r="SBG10" s="353"/>
      <c r="SBH10" s="353"/>
      <c r="SBI10" s="353"/>
      <c r="SBJ10" s="353"/>
      <c r="SBK10" s="353"/>
      <c r="SBL10" s="353"/>
      <c r="SBM10" s="353"/>
      <c r="SBN10" s="353"/>
      <c r="SBO10" s="353"/>
      <c r="SBP10" s="353"/>
      <c r="SBQ10" s="353"/>
      <c r="SBR10" s="353"/>
      <c r="SBS10" s="353"/>
      <c r="SBT10" s="353"/>
      <c r="SBU10" s="353"/>
      <c r="SBV10" s="353"/>
      <c r="SBW10" s="353"/>
      <c r="SBX10" s="353"/>
      <c r="SBY10" s="353"/>
      <c r="SBZ10" s="353"/>
      <c r="SCA10" s="353"/>
      <c r="SCB10" s="353"/>
      <c r="SCC10" s="353"/>
      <c r="SCD10" s="353"/>
      <c r="SCE10" s="353"/>
      <c r="SCF10" s="353"/>
      <c r="SCG10" s="353"/>
      <c r="SCH10" s="353"/>
      <c r="SCI10" s="353"/>
      <c r="SCJ10" s="353"/>
      <c r="SCK10" s="353"/>
      <c r="SCL10" s="353"/>
      <c r="SCM10" s="353"/>
      <c r="SCN10" s="353"/>
      <c r="SCO10" s="353"/>
      <c r="SCP10" s="353"/>
      <c r="SCQ10" s="353"/>
      <c r="SCR10" s="353"/>
      <c r="SCS10" s="353"/>
      <c r="SCT10" s="353"/>
      <c r="SCU10" s="353"/>
      <c r="SCV10" s="353"/>
      <c r="SCW10" s="353"/>
      <c r="SCX10" s="353"/>
      <c r="SCY10" s="353"/>
      <c r="SCZ10" s="353"/>
      <c r="SDA10" s="353"/>
      <c r="SDB10" s="353"/>
      <c r="SDC10" s="353"/>
      <c r="SDD10" s="353"/>
      <c r="SDE10" s="353"/>
      <c r="SDF10" s="353"/>
      <c r="SDG10" s="353"/>
      <c r="SDH10" s="353"/>
      <c r="SDI10" s="353"/>
      <c r="SDJ10" s="353"/>
      <c r="SDK10" s="353"/>
      <c r="SDL10" s="353"/>
      <c r="SDM10" s="353"/>
      <c r="SDN10" s="353"/>
      <c r="SDO10" s="353"/>
      <c r="SDP10" s="353"/>
      <c r="SDQ10" s="353"/>
      <c r="SDR10" s="353"/>
      <c r="SDS10" s="353"/>
      <c r="SDT10" s="353"/>
      <c r="SDU10" s="353"/>
      <c r="SDV10" s="353"/>
      <c r="SDW10" s="353"/>
      <c r="SDX10" s="353"/>
      <c r="SDY10" s="353"/>
      <c r="SDZ10" s="353"/>
      <c r="SEA10" s="353"/>
      <c r="SEB10" s="353"/>
      <c r="SEC10" s="353"/>
      <c r="SED10" s="353"/>
      <c r="SEE10" s="353"/>
      <c r="SEF10" s="353"/>
      <c r="SEG10" s="353"/>
      <c r="SEH10" s="353"/>
      <c r="SEI10" s="353"/>
      <c r="SEJ10" s="353"/>
      <c r="SEK10" s="353"/>
      <c r="SEL10" s="353"/>
      <c r="SEM10" s="353"/>
      <c r="SEN10" s="353"/>
      <c r="SEO10" s="353"/>
      <c r="SEP10" s="353"/>
      <c r="SEQ10" s="353"/>
      <c r="SER10" s="353"/>
      <c r="SES10" s="353"/>
      <c r="SET10" s="353"/>
      <c r="SEU10" s="353"/>
      <c r="SEV10" s="353"/>
      <c r="SEW10" s="353"/>
      <c r="SEX10" s="353"/>
      <c r="SEY10" s="353"/>
      <c r="SEZ10" s="353"/>
      <c r="SFA10" s="353"/>
      <c r="SFB10" s="353"/>
      <c r="SFC10" s="353"/>
      <c r="SFD10" s="353"/>
      <c r="SFE10" s="353"/>
      <c r="SFF10" s="353"/>
      <c r="SFG10" s="353"/>
      <c r="SFH10" s="353"/>
      <c r="SFI10" s="353"/>
      <c r="SFJ10" s="353"/>
      <c r="SFK10" s="353"/>
      <c r="SFL10" s="353"/>
      <c r="SFM10" s="353"/>
      <c r="SFN10" s="353"/>
      <c r="SFO10" s="353"/>
      <c r="SFP10" s="353"/>
      <c r="SFQ10" s="353"/>
      <c r="SFR10" s="353"/>
      <c r="SFS10" s="353"/>
      <c r="SFT10" s="353"/>
      <c r="SFU10" s="353"/>
      <c r="SFV10" s="353"/>
      <c r="SFW10" s="353"/>
      <c r="SFX10" s="353"/>
      <c r="SFY10" s="353"/>
      <c r="SFZ10" s="353"/>
      <c r="SGA10" s="353"/>
      <c r="SGB10" s="353"/>
      <c r="SGC10" s="353"/>
      <c r="SGD10" s="353"/>
      <c r="SGE10" s="353"/>
      <c r="SGF10" s="353"/>
      <c r="SGG10" s="353"/>
      <c r="SGH10" s="353"/>
      <c r="SGI10" s="353"/>
      <c r="SGJ10" s="353"/>
      <c r="SGK10" s="353"/>
      <c r="SGL10" s="353"/>
      <c r="SGM10" s="353"/>
      <c r="SGN10" s="353"/>
      <c r="SGO10" s="353"/>
      <c r="SGP10" s="353"/>
      <c r="SGQ10" s="353"/>
      <c r="SGR10" s="353"/>
      <c r="SGS10" s="353"/>
      <c r="SGT10" s="353"/>
      <c r="SGU10" s="353"/>
      <c r="SGV10" s="353"/>
      <c r="SGW10" s="353"/>
      <c r="SGX10" s="353"/>
      <c r="SGY10" s="353"/>
      <c r="SGZ10" s="353"/>
      <c r="SHA10" s="353"/>
      <c r="SHB10" s="353"/>
      <c r="SHC10" s="353"/>
      <c r="SHD10" s="353"/>
      <c r="SHE10" s="353"/>
      <c r="SHF10" s="353"/>
      <c r="SHG10" s="353"/>
      <c r="SHH10" s="353"/>
      <c r="SHI10" s="353"/>
      <c r="SHJ10" s="353"/>
      <c r="SHK10" s="353"/>
      <c r="SHL10" s="353"/>
      <c r="SHM10" s="353"/>
      <c r="SHN10" s="353"/>
      <c r="SHO10" s="353"/>
      <c r="SHP10" s="353"/>
      <c r="SHQ10" s="353"/>
      <c r="SHR10" s="353"/>
      <c r="SHS10" s="353"/>
      <c r="SHT10" s="353"/>
      <c r="SHU10" s="353"/>
      <c r="SHV10" s="353"/>
      <c r="SHW10" s="353"/>
      <c r="SHX10" s="353"/>
      <c r="SHY10" s="353"/>
      <c r="SHZ10" s="353"/>
      <c r="SIA10" s="353"/>
      <c r="SIB10" s="353"/>
      <c r="SIC10" s="353"/>
      <c r="SID10" s="353"/>
      <c r="SIE10" s="353"/>
      <c r="SIF10" s="353"/>
      <c r="SIG10" s="353"/>
      <c r="SIH10" s="353"/>
      <c r="SII10" s="353"/>
      <c r="SIJ10" s="353"/>
      <c r="SIK10" s="353"/>
      <c r="SIL10" s="353"/>
      <c r="SIM10" s="353"/>
      <c r="SIN10" s="353"/>
      <c r="SIO10" s="353"/>
      <c r="SIP10" s="353"/>
      <c r="SIQ10" s="353"/>
      <c r="SIR10" s="353"/>
      <c r="SIS10" s="353"/>
      <c r="SIT10" s="353"/>
      <c r="SIU10" s="353"/>
      <c r="SIV10" s="353"/>
      <c r="SIW10" s="353"/>
      <c r="SIX10" s="353"/>
      <c r="SIY10" s="353"/>
      <c r="SIZ10" s="353"/>
      <c r="SJA10" s="353"/>
      <c r="SJB10" s="353"/>
      <c r="SJC10" s="353"/>
      <c r="SJD10" s="353"/>
      <c r="SJE10" s="353"/>
      <c r="SJF10" s="353"/>
      <c r="SJG10" s="353"/>
      <c r="SJH10" s="353"/>
      <c r="SJI10" s="353"/>
      <c r="SJJ10" s="353"/>
      <c r="SJK10" s="353"/>
      <c r="SJL10" s="353"/>
      <c r="SJM10" s="353"/>
      <c r="SJN10" s="353"/>
      <c r="SJO10" s="353"/>
      <c r="SJP10" s="353"/>
      <c r="SJQ10" s="353"/>
      <c r="SJR10" s="353"/>
      <c r="SJS10" s="353"/>
      <c r="SJT10" s="353"/>
      <c r="SJU10" s="353"/>
      <c r="SJV10" s="353"/>
      <c r="SJW10" s="353"/>
      <c r="SJX10" s="353"/>
      <c r="SJY10" s="353"/>
      <c r="SJZ10" s="353"/>
      <c r="SKA10" s="353"/>
      <c r="SKB10" s="353"/>
      <c r="SKC10" s="353"/>
      <c r="SKD10" s="353"/>
      <c r="SKE10" s="353"/>
      <c r="SKF10" s="353"/>
      <c r="SKG10" s="353"/>
      <c r="SKH10" s="353"/>
      <c r="SKI10" s="353"/>
      <c r="SKJ10" s="353"/>
      <c r="SKK10" s="353"/>
      <c r="SKL10" s="353"/>
      <c r="SKM10" s="353"/>
      <c r="SKN10" s="353"/>
      <c r="SKO10" s="353"/>
      <c r="SKP10" s="353"/>
      <c r="SKQ10" s="353"/>
      <c r="SKR10" s="353"/>
      <c r="SKS10" s="353"/>
      <c r="SKT10" s="353"/>
      <c r="SKU10" s="353"/>
      <c r="SKV10" s="353"/>
      <c r="SKW10" s="353"/>
      <c r="SKX10" s="353"/>
      <c r="SKY10" s="353"/>
      <c r="SKZ10" s="353"/>
      <c r="SLA10" s="353"/>
      <c r="SLB10" s="353"/>
      <c r="SLC10" s="353"/>
      <c r="SLD10" s="353"/>
      <c r="SLE10" s="353"/>
      <c r="SLF10" s="353"/>
      <c r="SLG10" s="353"/>
      <c r="SLH10" s="353"/>
      <c r="SLI10" s="353"/>
      <c r="SLJ10" s="353"/>
      <c r="SLK10" s="353"/>
      <c r="SLL10" s="353"/>
      <c r="SLM10" s="353"/>
      <c r="SLN10" s="353"/>
      <c r="SLO10" s="353"/>
      <c r="SLP10" s="353"/>
      <c r="SLQ10" s="353"/>
      <c r="SLR10" s="353"/>
      <c r="SLS10" s="353"/>
      <c r="SLT10" s="353"/>
      <c r="SLU10" s="353"/>
      <c r="SLV10" s="353"/>
      <c r="SLW10" s="353"/>
      <c r="SLX10" s="353"/>
      <c r="SLY10" s="353"/>
      <c r="SLZ10" s="353"/>
      <c r="SMA10" s="353"/>
      <c r="SMB10" s="353"/>
      <c r="SMC10" s="353"/>
      <c r="SMD10" s="353"/>
      <c r="SME10" s="353"/>
      <c r="SMF10" s="353"/>
      <c r="SMG10" s="353"/>
      <c r="SMH10" s="353"/>
      <c r="SMI10" s="353"/>
      <c r="SMJ10" s="353"/>
      <c r="SMK10" s="353"/>
      <c r="SML10" s="353"/>
      <c r="SMM10" s="353"/>
      <c r="SMN10" s="353"/>
      <c r="SMO10" s="353"/>
      <c r="SMP10" s="353"/>
      <c r="SMQ10" s="353"/>
      <c r="SMR10" s="353"/>
      <c r="SMS10" s="353"/>
      <c r="SMT10" s="353"/>
      <c r="SMU10" s="353"/>
      <c r="SMV10" s="353"/>
      <c r="SMW10" s="353"/>
      <c r="SMX10" s="353"/>
      <c r="SMY10" s="353"/>
      <c r="SMZ10" s="353"/>
      <c r="SNA10" s="353"/>
      <c r="SNB10" s="353"/>
      <c r="SNC10" s="353"/>
      <c r="SND10" s="353"/>
      <c r="SNE10" s="353"/>
      <c r="SNF10" s="353"/>
      <c r="SNG10" s="353"/>
      <c r="SNH10" s="353"/>
      <c r="SNI10" s="353"/>
      <c r="SNJ10" s="353"/>
      <c r="SNK10" s="353"/>
      <c r="SNL10" s="353"/>
      <c r="SNM10" s="353"/>
      <c r="SNN10" s="353"/>
      <c r="SNO10" s="353"/>
      <c r="SNP10" s="353"/>
      <c r="SNQ10" s="353"/>
      <c r="SNR10" s="353"/>
      <c r="SNS10" s="353"/>
      <c r="SNT10" s="353"/>
      <c r="SNU10" s="353"/>
      <c r="SNV10" s="353"/>
      <c r="SNW10" s="353"/>
      <c r="SNX10" s="353"/>
      <c r="SNY10" s="353"/>
      <c r="SNZ10" s="353"/>
      <c r="SOA10" s="353"/>
      <c r="SOB10" s="353"/>
      <c r="SOC10" s="353"/>
      <c r="SOD10" s="353"/>
      <c r="SOE10" s="353"/>
      <c r="SOF10" s="353"/>
      <c r="SOG10" s="353"/>
      <c r="SOH10" s="353"/>
      <c r="SOI10" s="353"/>
      <c r="SOJ10" s="353"/>
      <c r="SOK10" s="353"/>
      <c r="SOL10" s="353"/>
      <c r="SOM10" s="353"/>
      <c r="SON10" s="353"/>
      <c r="SOO10" s="353"/>
      <c r="SOP10" s="353"/>
      <c r="SOQ10" s="353"/>
      <c r="SOR10" s="353"/>
      <c r="SOS10" s="353"/>
      <c r="SOT10" s="353"/>
      <c r="SOU10" s="353"/>
      <c r="SOV10" s="353"/>
      <c r="SOW10" s="353"/>
      <c r="SOX10" s="353"/>
      <c r="SOY10" s="353"/>
      <c r="SOZ10" s="353"/>
      <c r="SPA10" s="353"/>
      <c r="SPB10" s="353"/>
      <c r="SPC10" s="353"/>
      <c r="SPD10" s="353"/>
      <c r="SPE10" s="353"/>
      <c r="SPF10" s="353"/>
      <c r="SPG10" s="353"/>
      <c r="SPH10" s="353"/>
      <c r="SPI10" s="353"/>
      <c r="SPJ10" s="353"/>
      <c r="SPK10" s="353"/>
      <c r="SPL10" s="353"/>
      <c r="SPM10" s="353"/>
      <c r="SPN10" s="353"/>
      <c r="SPO10" s="353"/>
      <c r="SPP10" s="353"/>
      <c r="SPQ10" s="353"/>
      <c r="SPR10" s="353"/>
      <c r="SPS10" s="353"/>
      <c r="SPT10" s="353"/>
      <c r="SPU10" s="353"/>
      <c r="SPV10" s="353"/>
      <c r="SPW10" s="353"/>
      <c r="SPX10" s="353"/>
      <c r="SPY10" s="353"/>
      <c r="SPZ10" s="353"/>
      <c r="SQA10" s="353"/>
      <c r="SQB10" s="353"/>
      <c r="SQC10" s="353"/>
      <c r="SQD10" s="353"/>
      <c r="SQE10" s="353"/>
      <c r="SQF10" s="353"/>
      <c r="SQG10" s="353"/>
      <c r="SQH10" s="353"/>
      <c r="SQI10" s="353"/>
      <c r="SQJ10" s="353"/>
      <c r="SQK10" s="353"/>
      <c r="SQL10" s="353"/>
      <c r="SQM10" s="353"/>
      <c r="SQN10" s="353"/>
      <c r="SQO10" s="353"/>
      <c r="SQP10" s="353"/>
      <c r="SQQ10" s="353"/>
      <c r="SQR10" s="353"/>
      <c r="SQS10" s="353"/>
      <c r="SQT10" s="353"/>
      <c r="SQU10" s="353"/>
      <c r="SQV10" s="353"/>
      <c r="SQW10" s="353"/>
      <c r="SQX10" s="353"/>
      <c r="SQY10" s="353"/>
      <c r="SQZ10" s="353"/>
      <c r="SRA10" s="353"/>
      <c r="SRB10" s="353"/>
      <c r="SRC10" s="353"/>
      <c r="SRD10" s="353"/>
      <c r="SRE10" s="353"/>
      <c r="SRF10" s="353"/>
      <c r="SRG10" s="353"/>
      <c r="SRH10" s="353"/>
      <c r="SRI10" s="353"/>
      <c r="SRJ10" s="353"/>
      <c r="SRK10" s="353"/>
      <c r="SRL10" s="353"/>
      <c r="SRM10" s="353"/>
      <c r="SRN10" s="353"/>
      <c r="SRO10" s="353"/>
      <c r="SRP10" s="353"/>
      <c r="SRQ10" s="353"/>
      <c r="SRR10" s="353"/>
      <c r="SRS10" s="353"/>
      <c r="SRT10" s="353"/>
      <c r="SRU10" s="353"/>
      <c r="SRV10" s="353"/>
      <c r="SRW10" s="353"/>
      <c r="SRX10" s="353"/>
      <c r="SRY10" s="353"/>
      <c r="SRZ10" s="353"/>
      <c r="SSA10" s="353"/>
      <c r="SSB10" s="353"/>
      <c r="SSC10" s="353"/>
      <c r="SSD10" s="353"/>
      <c r="SSE10" s="353"/>
      <c r="SSF10" s="353"/>
      <c r="SSG10" s="353"/>
      <c r="SSH10" s="353"/>
      <c r="SSI10" s="353"/>
      <c r="SSJ10" s="353"/>
      <c r="SSK10" s="353"/>
      <c r="SSL10" s="353"/>
      <c r="SSM10" s="353"/>
      <c r="SSN10" s="353"/>
      <c r="SSO10" s="353"/>
      <c r="SSP10" s="353"/>
      <c r="SSQ10" s="353"/>
      <c r="SSR10" s="353"/>
      <c r="SSS10" s="353"/>
      <c r="SST10" s="353"/>
      <c r="SSU10" s="353"/>
      <c r="SSV10" s="353"/>
      <c r="SSW10" s="353"/>
      <c r="SSX10" s="353"/>
      <c r="SSY10" s="353"/>
      <c r="SSZ10" s="353"/>
      <c r="STA10" s="353"/>
      <c r="STB10" s="353"/>
      <c r="STC10" s="353"/>
      <c r="STD10" s="353"/>
      <c r="STE10" s="353"/>
      <c r="STF10" s="353"/>
      <c r="STG10" s="353"/>
      <c r="STH10" s="353"/>
      <c r="STI10" s="353"/>
      <c r="STJ10" s="353"/>
      <c r="STK10" s="353"/>
      <c r="STL10" s="353"/>
      <c r="STM10" s="353"/>
      <c r="STN10" s="353"/>
      <c r="STO10" s="353"/>
      <c r="STP10" s="353"/>
      <c r="STQ10" s="353"/>
      <c r="STR10" s="353"/>
      <c r="STS10" s="353"/>
      <c r="STT10" s="353"/>
      <c r="STU10" s="353"/>
      <c r="STV10" s="353"/>
      <c r="STW10" s="353"/>
      <c r="STX10" s="353"/>
      <c r="STY10" s="353"/>
      <c r="STZ10" s="353"/>
      <c r="SUA10" s="353"/>
      <c r="SUB10" s="353"/>
      <c r="SUC10" s="353"/>
      <c r="SUD10" s="353"/>
      <c r="SUE10" s="353"/>
      <c r="SUF10" s="353"/>
      <c r="SUG10" s="353"/>
      <c r="SUH10" s="353"/>
      <c r="SUI10" s="353"/>
      <c r="SUJ10" s="353"/>
      <c r="SUK10" s="353"/>
      <c r="SUL10" s="353"/>
      <c r="SUM10" s="353"/>
      <c r="SUN10" s="353"/>
      <c r="SUO10" s="353"/>
      <c r="SUP10" s="353"/>
      <c r="SUQ10" s="353"/>
      <c r="SUR10" s="353"/>
      <c r="SUS10" s="353"/>
      <c r="SUT10" s="353"/>
      <c r="SUU10" s="353"/>
      <c r="SUV10" s="353"/>
      <c r="SUW10" s="353"/>
      <c r="SUX10" s="353"/>
      <c r="SUY10" s="353"/>
      <c r="SUZ10" s="353"/>
      <c r="SVA10" s="353"/>
      <c r="SVB10" s="353"/>
      <c r="SVC10" s="353"/>
      <c r="SVD10" s="353"/>
      <c r="SVE10" s="353"/>
      <c r="SVF10" s="353"/>
      <c r="SVG10" s="353"/>
      <c r="SVH10" s="353"/>
      <c r="SVI10" s="353"/>
      <c r="SVJ10" s="353"/>
      <c r="SVK10" s="353"/>
      <c r="SVL10" s="353"/>
      <c r="SVM10" s="353"/>
      <c r="SVN10" s="353"/>
      <c r="SVO10" s="353"/>
      <c r="SVP10" s="353"/>
      <c r="SVQ10" s="353"/>
      <c r="SVR10" s="353"/>
      <c r="SVS10" s="353"/>
      <c r="SVT10" s="353"/>
      <c r="SVU10" s="353"/>
      <c r="SVV10" s="353"/>
      <c r="SVW10" s="353"/>
      <c r="SVX10" s="353"/>
      <c r="SVY10" s="353"/>
      <c r="SVZ10" s="353"/>
      <c r="SWA10" s="353"/>
      <c r="SWB10" s="353"/>
      <c r="SWC10" s="353"/>
      <c r="SWD10" s="353"/>
      <c r="SWE10" s="353"/>
      <c r="SWF10" s="353"/>
      <c r="SWG10" s="353"/>
      <c r="SWH10" s="353"/>
      <c r="SWI10" s="353"/>
      <c r="SWJ10" s="353"/>
      <c r="SWK10" s="353"/>
      <c r="SWL10" s="353"/>
      <c r="SWM10" s="353"/>
      <c r="SWN10" s="353"/>
      <c r="SWO10" s="353"/>
      <c r="SWP10" s="353"/>
      <c r="SWQ10" s="353"/>
      <c r="SWR10" s="353"/>
      <c r="SWS10" s="353"/>
      <c r="SWT10" s="353"/>
      <c r="SWU10" s="353"/>
      <c r="SWV10" s="353"/>
      <c r="SWW10" s="353"/>
      <c r="SWX10" s="353"/>
      <c r="SWY10" s="353"/>
      <c r="SWZ10" s="353"/>
      <c r="SXA10" s="353"/>
      <c r="SXB10" s="353"/>
      <c r="SXC10" s="353"/>
      <c r="SXD10" s="353"/>
      <c r="SXE10" s="353"/>
      <c r="SXF10" s="353"/>
      <c r="SXG10" s="353"/>
      <c r="SXH10" s="353"/>
      <c r="SXI10" s="353"/>
      <c r="SXJ10" s="353"/>
      <c r="SXK10" s="353"/>
      <c r="SXL10" s="353"/>
      <c r="SXM10" s="353"/>
      <c r="SXN10" s="353"/>
      <c r="SXO10" s="353"/>
      <c r="SXP10" s="353"/>
      <c r="SXQ10" s="353"/>
      <c r="SXR10" s="353"/>
      <c r="SXS10" s="353"/>
      <c r="SXT10" s="353"/>
      <c r="SXU10" s="353"/>
      <c r="SXV10" s="353"/>
      <c r="SXW10" s="353"/>
      <c r="SXX10" s="353"/>
      <c r="SXY10" s="353"/>
      <c r="SXZ10" s="353"/>
      <c r="SYA10" s="353"/>
      <c r="SYB10" s="353"/>
      <c r="SYC10" s="353"/>
      <c r="SYD10" s="353"/>
      <c r="SYE10" s="353"/>
      <c r="SYF10" s="353"/>
      <c r="SYG10" s="353"/>
      <c r="SYH10" s="353"/>
      <c r="SYI10" s="353"/>
      <c r="SYJ10" s="353"/>
      <c r="SYK10" s="353"/>
      <c r="SYL10" s="353"/>
      <c r="SYM10" s="353"/>
      <c r="SYN10" s="353"/>
      <c r="SYO10" s="353"/>
      <c r="SYP10" s="353"/>
      <c r="SYQ10" s="353"/>
      <c r="SYR10" s="353"/>
      <c r="SYS10" s="353"/>
      <c r="SYT10" s="353"/>
      <c r="SYU10" s="353"/>
      <c r="SYV10" s="353"/>
      <c r="SYW10" s="353"/>
      <c r="SYX10" s="353"/>
      <c r="SYY10" s="353"/>
      <c r="SYZ10" s="353"/>
      <c r="SZA10" s="353"/>
      <c r="SZB10" s="353"/>
      <c r="SZC10" s="353"/>
      <c r="SZD10" s="353"/>
      <c r="SZE10" s="353"/>
      <c r="SZF10" s="353"/>
      <c r="SZG10" s="353"/>
      <c r="SZH10" s="353"/>
      <c r="SZI10" s="353"/>
      <c r="SZJ10" s="353"/>
      <c r="SZK10" s="353"/>
      <c r="SZL10" s="353"/>
      <c r="SZM10" s="353"/>
      <c r="SZN10" s="353"/>
      <c r="SZO10" s="353"/>
      <c r="SZP10" s="353"/>
      <c r="SZQ10" s="353"/>
      <c r="SZR10" s="353"/>
      <c r="SZS10" s="353"/>
      <c r="SZT10" s="353"/>
      <c r="SZU10" s="353"/>
      <c r="SZV10" s="353"/>
      <c r="SZW10" s="353"/>
      <c r="SZX10" s="353"/>
      <c r="SZY10" s="353"/>
      <c r="SZZ10" s="353"/>
      <c r="TAA10" s="353"/>
      <c r="TAB10" s="353"/>
      <c r="TAC10" s="353"/>
      <c r="TAD10" s="353"/>
      <c r="TAE10" s="353"/>
      <c r="TAF10" s="353"/>
      <c r="TAG10" s="353"/>
      <c r="TAH10" s="353"/>
      <c r="TAI10" s="353"/>
      <c r="TAJ10" s="353"/>
      <c r="TAK10" s="353"/>
      <c r="TAL10" s="353"/>
      <c r="TAM10" s="353"/>
      <c r="TAN10" s="353"/>
      <c r="TAO10" s="353"/>
      <c r="TAP10" s="353"/>
      <c r="TAQ10" s="353"/>
      <c r="TAR10" s="353"/>
      <c r="TAS10" s="353"/>
      <c r="TAT10" s="353"/>
      <c r="TAU10" s="353"/>
      <c r="TAV10" s="353"/>
      <c r="TAW10" s="353"/>
      <c r="TAX10" s="353"/>
      <c r="TAY10" s="353"/>
      <c r="TAZ10" s="353"/>
      <c r="TBA10" s="353"/>
      <c r="TBB10" s="353"/>
      <c r="TBC10" s="353"/>
      <c r="TBD10" s="353"/>
      <c r="TBE10" s="353"/>
      <c r="TBF10" s="353"/>
      <c r="TBG10" s="353"/>
      <c r="TBH10" s="353"/>
      <c r="TBI10" s="353"/>
      <c r="TBJ10" s="353"/>
      <c r="TBK10" s="353"/>
      <c r="TBL10" s="353"/>
      <c r="TBM10" s="353"/>
      <c r="TBN10" s="353"/>
      <c r="TBO10" s="353"/>
      <c r="TBP10" s="353"/>
      <c r="TBQ10" s="353"/>
      <c r="TBR10" s="353"/>
      <c r="TBS10" s="353"/>
      <c r="TBT10" s="353"/>
      <c r="TBU10" s="353"/>
      <c r="TBV10" s="353"/>
      <c r="TBW10" s="353"/>
      <c r="TBX10" s="353"/>
      <c r="TBY10" s="353"/>
      <c r="TBZ10" s="353"/>
      <c r="TCA10" s="353"/>
      <c r="TCB10" s="353"/>
      <c r="TCC10" s="353"/>
      <c r="TCD10" s="353"/>
      <c r="TCE10" s="353"/>
      <c r="TCF10" s="353"/>
      <c r="TCG10" s="353"/>
      <c r="TCH10" s="353"/>
      <c r="TCI10" s="353"/>
      <c r="TCJ10" s="353"/>
      <c r="TCK10" s="353"/>
      <c r="TCL10" s="353"/>
      <c r="TCM10" s="353"/>
      <c r="TCN10" s="353"/>
      <c r="TCO10" s="353"/>
      <c r="TCP10" s="353"/>
      <c r="TCQ10" s="353"/>
      <c r="TCR10" s="353"/>
      <c r="TCS10" s="353"/>
      <c r="TCT10" s="353"/>
      <c r="TCU10" s="353"/>
      <c r="TCV10" s="353"/>
      <c r="TCW10" s="353"/>
      <c r="TCX10" s="353"/>
      <c r="TCY10" s="353"/>
      <c r="TCZ10" s="353"/>
      <c r="TDA10" s="353"/>
      <c r="TDB10" s="353"/>
      <c r="TDC10" s="353"/>
      <c r="TDD10" s="353"/>
      <c r="TDE10" s="353"/>
      <c r="TDF10" s="353"/>
      <c r="TDG10" s="353"/>
      <c r="TDH10" s="353"/>
      <c r="TDI10" s="353"/>
      <c r="TDJ10" s="353"/>
      <c r="TDK10" s="353"/>
      <c r="TDL10" s="353"/>
      <c r="TDM10" s="353"/>
      <c r="TDN10" s="353"/>
      <c r="TDO10" s="353"/>
      <c r="TDP10" s="353"/>
      <c r="TDQ10" s="353"/>
      <c r="TDR10" s="353"/>
      <c r="TDS10" s="353"/>
      <c r="TDT10" s="353"/>
      <c r="TDU10" s="353"/>
      <c r="TDV10" s="353"/>
      <c r="TDW10" s="353"/>
      <c r="TDX10" s="353"/>
      <c r="TDY10" s="353"/>
      <c r="TDZ10" s="353"/>
      <c r="TEA10" s="353"/>
      <c r="TEB10" s="353"/>
      <c r="TEC10" s="353"/>
      <c r="TED10" s="353"/>
      <c r="TEE10" s="353"/>
      <c r="TEF10" s="353"/>
      <c r="TEG10" s="353"/>
      <c r="TEH10" s="353"/>
      <c r="TEI10" s="353"/>
      <c r="TEJ10" s="353"/>
      <c r="TEK10" s="353"/>
      <c r="TEL10" s="353"/>
      <c r="TEM10" s="353"/>
      <c r="TEN10" s="353"/>
      <c r="TEO10" s="353"/>
      <c r="TEP10" s="353"/>
      <c r="TEQ10" s="353"/>
      <c r="TER10" s="353"/>
      <c r="TES10" s="353"/>
      <c r="TET10" s="353"/>
      <c r="TEU10" s="353"/>
      <c r="TEV10" s="353"/>
      <c r="TEW10" s="353"/>
      <c r="TEX10" s="353"/>
      <c r="TEY10" s="353"/>
      <c r="TEZ10" s="353"/>
      <c r="TFA10" s="353"/>
      <c r="TFB10" s="353"/>
      <c r="TFC10" s="353"/>
      <c r="TFD10" s="353"/>
      <c r="TFE10" s="353"/>
      <c r="TFF10" s="353"/>
      <c r="TFG10" s="353"/>
      <c r="TFH10" s="353"/>
      <c r="TFI10" s="353"/>
      <c r="TFJ10" s="353"/>
      <c r="TFK10" s="353"/>
      <c r="TFL10" s="353"/>
      <c r="TFM10" s="353"/>
      <c r="TFN10" s="353"/>
      <c r="TFO10" s="353"/>
      <c r="TFP10" s="353"/>
      <c r="TFQ10" s="353"/>
      <c r="TFR10" s="353"/>
      <c r="TFS10" s="353"/>
      <c r="TFT10" s="353"/>
      <c r="TFU10" s="353"/>
      <c r="TFV10" s="353"/>
      <c r="TFW10" s="353"/>
      <c r="TFX10" s="353"/>
      <c r="TFY10" s="353"/>
      <c r="TFZ10" s="353"/>
      <c r="TGA10" s="353"/>
      <c r="TGB10" s="353"/>
      <c r="TGC10" s="353"/>
      <c r="TGD10" s="353"/>
      <c r="TGE10" s="353"/>
      <c r="TGF10" s="353"/>
      <c r="TGG10" s="353"/>
      <c r="TGH10" s="353"/>
      <c r="TGI10" s="353"/>
      <c r="TGJ10" s="353"/>
      <c r="TGK10" s="353"/>
      <c r="TGL10" s="353"/>
      <c r="TGM10" s="353"/>
      <c r="TGN10" s="353"/>
      <c r="TGO10" s="353"/>
      <c r="TGP10" s="353"/>
      <c r="TGQ10" s="353"/>
      <c r="TGR10" s="353"/>
      <c r="TGS10" s="353"/>
      <c r="TGT10" s="353"/>
      <c r="TGU10" s="353"/>
      <c r="TGV10" s="353"/>
      <c r="TGW10" s="353"/>
      <c r="TGX10" s="353"/>
      <c r="TGY10" s="353"/>
      <c r="TGZ10" s="353"/>
      <c r="THA10" s="353"/>
      <c r="THB10" s="353"/>
      <c r="THC10" s="353"/>
      <c r="THD10" s="353"/>
      <c r="THE10" s="353"/>
      <c r="THF10" s="353"/>
      <c r="THG10" s="353"/>
      <c r="THH10" s="353"/>
      <c r="THI10" s="353"/>
      <c r="THJ10" s="353"/>
      <c r="THK10" s="353"/>
      <c r="THL10" s="353"/>
      <c r="THM10" s="353"/>
      <c r="THN10" s="353"/>
      <c r="THO10" s="353"/>
      <c r="THP10" s="353"/>
      <c r="THQ10" s="353"/>
      <c r="THR10" s="353"/>
      <c r="THS10" s="353"/>
      <c r="THT10" s="353"/>
      <c r="THU10" s="353"/>
      <c r="THV10" s="353"/>
      <c r="THW10" s="353"/>
      <c r="THX10" s="353"/>
      <c r="THY10" s="353"/>
      <c r="THZ10" s="353"/>
      <c r="TIA10" s="353"/>
      <c r="TIB10" s="353"/>
      <c r="TIC10" s="353"/>
      <c r="TID10" s="353"/>
      <c r="TIE10" s="353"/>
      <c r="TIF10" s="353"/>
      <c r="TIG10" s="353"/>
      <c r="TIH10" s="353"/>
      <c r="TII10" s="353"/>
      <c r="TIJ10" s="353"/>
      <c r="TIK10" s="353"/>
      <c r="TIL10" s="353"/>
      <c r="TIM10" s="353"/>
      <c r="TIN10" s="353"/>
      <c r="TIO10" s="353"/>
      <c r="TIP10" s="353"/>
      <c r="TIQ10" s="353"/>
      <c r="TIR10" s="353"/>
      <c r="TIS10" s="353"/>
      <c r="TIT10" s="353"/>
      <c r="TIU10" s="353"/>
      <c r="TIV10" s="353"/>
      <c r="TIW10" s="353"/>
      <c r="TIX10" s="353"/>
      <c r="TIY10" s="353"/>
      <c r="TIZ10" s="353"/>
      <c r="TJA10" s="353"/>
      <c r="TJB10" s="353"/>
      <c r="TJC10" s="353"/>
      <c r="TJD10" s="353"/>
      <c r="TJE10" s="353"/>
      <c r="TJF10" s="353"/>
      <c r="TJG10" s="353"/>
      <c r="TJH10" s="353"/>
      <c r="TJI10" s="353"/>
      <c r="TJJ10" s="353"/>
      <c r="TJK10" s="353"/>
      <c r="TJL10" s="353"/>
      <c r="TJM10" s="353"/>
      <c r="TJN10" s="353"/>
      <c r="TJO10" s="353"/>
      <c r="TJP10" s="353"/>
      <c r="TJQ10" s="353"/>
      <c r="TJR10" s="353"/>
      <c r="TJS10" s="353"/>
      <c r="TJT10" s="353"/>
      <c r="TJU10" s="353"/>
      <c r="TJV10" s="353"/>
      <c r="TJW10" s="353"/>
      <c r="TJX10" s="353"/>
      <c r="TJY10" s="353"/>
      <c r="TJZ10" s="353"/>
      <c r="TKA10" s="353"/>
      <c r="TKB10" s="353"/>
      <c r="TKC10" s="353"/>
      <c r="TKD10" s="353"/>
      <c r="TKE10" s="353"/>
      <c r="TKF10" s="353"/>
      <c r="TKG10" s="353"/>
      <c r="TKH10" s="353"/>
      <c r="TKI10" s="353"/>
      <c r="TKJ10" s="353"/>
      <c r="TKK10" s="353"/>
      <c r="TKL10" s="353"/>
      <c r="TKM10" s="353"/>
      <c r="TKN10" s="353"/>
      <c r="TKO10" s="353"/>
      <c r="TKP10" s="353"/>
      <c r="TKQ10" s="353"/>
      <c r="TKR10" s="353"/>
      <c r="TKS10" s="353"/>
      <c r="TKT10" s="353"/>
      <c r="TKU10" s="353"/>
      <c r="TKV10" s="353"/>
      <c r="TKW10" s="353"/>
      <c r="TKX10" s="353"/>
      <c r="TKY10" s="353"/>
      <c r="TKZ10" s="353"/>
      <c r="TLA10" s="353"/>
      <c r="TLB10" s="353"/>
      <c r="TLC10" s="353"/>
      <c r="TLD10" s="353"/>
      <c r="TLE10" s="353"/>
      <c r="TLF10" s="353"/>
      <c r="TLG10" s="353"/>
      <c r="TLH10" s="353"/>
      <c r="TLI10" s="353"/>
      <c r="TLJ10" s="353"/>
      <c r="TLK10" s="353"/>
      <c r="TLL10" s="353"/>
      <c r="TLM10" s="353"/>
      <c r="TLN10" s="353"/>
      <c r="TLO10" s="353"/>
      <c r="TLP10" s="353"/>
      <c r="TLQ10" s="353"/>
      <c r="TLR10" s="353"/>
      <c r="TLS10" s="353"/>
      <c r="TLT10" s="353"/>
      <c r="TLU10" s="353"/>
      <c r="TLV10" s="353"/>
      <c r="TLW10" s="353"/>
      <c r="TLX10" s="353"/>
      <c r="TLY10" s="353"/>
      <c r="TLZ10" s="353"/>
      <c r="TMA10" s="353"/>
      <c r="TMB10" s="353"/>
      <c r="TMC10" s="353"/>
      <c r="TMD10" s="353"/>
      <c r="TME10" s="353"/>
      <c r="TMF10" s="353"/>
      <c r="TMG10" s="353"/>
      <c r="TMH10" s="353"/>
      <c r="TMI10" s="353"/>
      <c r="TMJ10" s="353"/>
      <c r="TMK10" s="353"/>
      <c r="TML10" s="353"/>
      <c r="TMM10" s="353"/>
      <c r="TMN10" s="353"/>
      <c r="TMO10" s="353"/>
      <c r="TMP10" s="353"/>
      <c r="TMQ10" s="353"/>
      <c r="TMR10" s="353"/>
      <c r="TMS10" s="353"/>
      <c r="TMT10" s="353"/>
      <c r="TMU10" s="353"/>
      <c r="TMV10" s="353"/>
      <c r="TMW10" s="353"/>
      <c r="TMX10" s="353"/>
      <c r="TMY10" s="353"/>
      <c r="TMZ10" s="353"/>
      <c r="TNA10" s="353"/>
      <c r="TNB10" s="353"/>
      <c r="TNC10" s="353"/>
      <c r="TND10" s="353"/>
      <c r="TNE10" s="353"/>
      <c r="TNF10" s="353"/>
      <c r="TNG10" s="353"/>
      <c r="TNH10" s="353"/>
      <c r="TNI10" s="353"/>
      <c r="TNJ10" s="353"/>
      <c r="TNK10" s="353"/>
      <c r="TNL10" s="353"/>
      <c r="TNM10" s="353"/>
      <c r="TNN10" s="353"/>
      <c r="TNO10" s="353"/>
      <c r="TNP10" s="353"/>
      <c r="TNQ10" s="353"/>
      <c r="TNR10" s="353"/>
      <c r="TNS10" s="353"/>
      <c r="TNT10" s="353"/>
      <c r="TNU10" s="353"/>
      <c r="TNV10" s="353"/>
      <c r="TNW10" s="353"/>
      <c r="TNX10" s="353"/>
      <c r="TNY10" s="353"/>
      <c r="TNZ10" s="353"/>
      <c r="TOA10" s="353"/>
      <c r="TOB10" s="353"/>
      <c r="TOC10" s="353"/>
      <c r="TOD10" s="353"/>
      <c r="TOE10" s="353"/>
      <c r="TOF10" s="353"/>
      <c r="TOG10" s="353"/>
      <c r="TOH10" s="353"/>
      <c r="TOI10" s="353"/>
      <c r="TOJ10" s="353"/>
      <c r="TOK10" s="353"/>
      <c r="TOL10" s="353"/>
      <c r="TOM10" s="353"/>
      <c r="TON10" s="353"/>
      <c r="TOO10" s="353"/>
      <c r="TOP10" s="353"/>
      <c r="TOQ10" s="353"/>
      <c r="TOR10" s="353"/>
      <c r="TOS10" s="353"/>
      <c r="TOT10" s="353"/>
      <c r="TOU10" s="353"/>
      <c r="TOV10" s="353"/>
      <c r="TOW10" s="353"/>
      <c r="TOX10" s="353"/>
      <c r="TOY10" s="353"/>
      <c r="TOZ10" s="353"/>
      <c r="TPA10" s="353"/>
      <c r="TPB10" s="353"/>
      <c r="TPC10" s="353"/>
      <c r="TPD10" s="353"/>
      <c r="TPE10" s="353"/>
      <c r="TPF10" s="353"/>
      <c r="TPG10" s="353"/>
      <c r="TPH10" s="353"/>
      <c r="TPI10" s="353"/>
      <c r="TPJ10" s="353"/>
      <c r="TPK10" s="353"/>
      <c r="TPL10" s="353"/>
      <c r="TPM10" s="353"/>
      <c r="TPN10" s="353"/>
      <c r="TPO10" s="353"/>
      <c r="TPP10" s="353"/>
      <c r="TPQ10" s="353"/>
      <c r="TPR10" s="353"/>
      <c r="TPS10" s="353"/>
      <c r="TPT10" s="353"/>
      <c r="TPU10" s="353"/>
      <c r="TPV10" s="353"/>
      <c r="TPW10" s="353"/>
      <c r="TPX10" s="353"/>
      <c r="TPY10" s="353"/>
      <c r="TPZ10" s="353"/>
      <c r="TQA10" s="353"/>
      <c r="TQB10" s="353"/>
      <c r="TQC10" s="353"/>
      <c r="TQD10" s="353"/>
      <c r="TQE10" s="353"/>
      <c r="TQF10" s="353"/>
      <c r="TQG10" s="353"/>
      <c r="TQH10" s="353"/>
      <c r="TQI10" s="353"/>
      <c r="TQJ10" s="353"/>
      <c r="TQK10" s="353"/>
      <c r="TQL10" s="353"/>
      <c r="TQM10" s="353"/>
      <c r="TQN10" s="353"/>
      <c r="TQO10" s="353"/>
      <c r="TQP10" s="353"/>
      <c r="TQQ10" s="353"/>
      <c r="TQR10" s="353"/>
      <c r="TQS10" s="353"/>
      <c r="TQT10" s="353"/>
      <c r="TQU10" s="353"/>
      <c r="TQV10" s="353"/>
      <c r="TQW10" s="353"/>
      <c r="TQX10" s="353"/>
      <c r="TQY10" s="353"/>
      <c r="TQZ10" s="353"/>
      <c r="TRA10" s="353"/>
      <c r="TRB10" s="353"/>
      <c r="TRC10" s="353"/>
      <c r="TRD10" s="353"/>
      <c r="TRE10" s="353"/>
      <c r="TRF10" s="353"/>
      <c r="TRG10" s="353"/>
      <c r="TRH10" s="353"/>
      <c r="TRI10" s="353"/>
      <c r="TRJ10" s="353"/>
      <c r="TRK10" s="353"/>
      <c r="TRL10" s="353"/>
      <c r="TRM10" s="353"/>
      <c r="TRN10" s="353"/>
      <c r="TRO10" s="353"/>
      <c r="TRP10" s="353"/>
      <c r="TRQ10" s="353"/>
      <c r="TRR10" s="353"/>
      <c r="TRS10" s="353"/>
      <c r="TRT10" s="353"/>
      <c r="TRU10" s="353"/>
      <c r="TRV10" s="353"/>
      <c r="TRW10" s="353"/>
      <c r="TRX10" s="353"/>
      <c r="TRY10" s="353"/>
      <c r="TRZ10" s="353"/>
      <c r="TSA10" s="353"/>
      <c r="TSB10" s="353"/>
      <c r="TSC10" s="353"/>
      <c r="TSD10" s="353"/>
      <c r="TSE10" s="353"/>
      <c r="TSF10" s="353"/>
      <c r="TSG10" s="353"/>
      <c r="TSH10" s="353"/>
      <c r="TSI10" s="353"/>
      <c r="TSJ10" s="353"/>
      <c r="TSK10" s="353"/>
      <c r="TSL10" s="353"/>
      <c r="TSM10" s="353"/>
      <c r="TSN10" s="353"/>
      <c r="TSO10" s="353"/>
      <c r="TSP10" s="353"/>
      <c r="TSQ10" s="353"/>
      <c r="TSR10" s="353"/>
      <c r="TSS10" s="353"/>
      <c r="TST10" s="353"/>
      <c r="TSU10" s="353"/>
      <c r="TSV10" s="353"/>
      <c r="TSW10" s="353"/>
      <c r="TSX10" s="353"/>
      <c r="TSY10" s="353"/>
      <c r="TSZ10" s="353"/>
      <c r="TTA10" s="353"/>
      <c r="TTB10" s="353"/>
      <c r="TTC10" s="353"/>
      <c r="TTD10" s="353"/>
      <c r="TTE10" s="353"/>
      <c r="TTF10" s="353"/>
      <c r="TTG10" s="353"/>
      <c r="TTH10" s="353"/>
      <c r="TTI10" s="353"/>
      <c r="TTJ10" s="353"/>
      <c r="TTK10" s="353"/>
      <c r="TTL10" s="353"/>
      <c r="TTM10" s="353"/>
      <c r="TTN10" s="353"/>
      <c r="TTO10" s="353"/>
      <c r="TTP10" s="353"/>
      <c r="TTQ10" s="353"/>
      <c r="TTR10" s="353"/>
      <c r="TTS10" s="353"/>
      <c r="TTT10" s="353"/>
      <c r="TTU10" s="353"/>
      <c r="TTV10" s="353"/>
      <c r="TTW10" s="353"/>
      <c r="TTX10" s="353"/>
      <c r="TTY10" s="353"/>
      <c r="TTZ10" s="353"/>
      <c r="TUA10" s="353"/>
      <c r="TUB10" s="353"/>
      <c r="TUC10" s="353"/>
      <c r="TUD10" s="353"/>
      <c r="TUE10" s="353"/>
      <c r="TUF10" s="353"/>
      <c r="TUG10" s="353"/>
      <c r="TUH10" s="353"/>
      <c r="TUI10" s="353"/>
      <c r="TUJ10" s="353"/>
      <c r="TUK10" s="353"/>
      <c r="TUL10" s="353"/>
      <c r="TUM10" s="353"/>
      <c r="TUN10" s="353"/>
      <c r="TUO10" s="353"/>
      <c r="TUP10" s="353"/>
      <c r="TUQ10" s="353"/>
      <c r="TUR10" s="353"/>
      <c r="TUS10" s="353"/>
      <c r="TUT10" s="353"/>
      <c r="TUU10" s="353"/>
      <c r="TUV10" s="353"/>
      <c r="TUW10" s="353"/>
      <c r="TUX10" s="353"/>
      <c r="TUY10" s="353"/>
      <c r="TUZ10" s="353"/>
      <c r="TVA10" s="353"/>
      <c r="TVB10" s="353"/>
      <c r="TVC10" s="353"/>
      <c r="TVD10" s="353"/>
      <c r="TVE10" s="353"/>
      <c r="TVF10" s="353"/>
      <c r="TVG10" s="353"/>
      <c r="TVH10" s="353"/>
      <c r="TVI10" s="353"/>
      <c r="TVJ10" s="353"/>
      <c r="TVK10" s="353"/>
      <c r="TVL10" s="353"/>
      <c r="TVM10" s="353"/>
      <c r="TVN10" s="353"/>
      <c r="TVO10" s="353"/>
      <c r="TVP10" s="353"/>
      <c r="TVQ10" s="353"/>
      <c r="TVR10" s="353"/>
      <c r="TVS10" s="353"/>
      <c r="TVT10" s="353"/>
      <c r="TVU10" s="353"/>
      <c r="TVV10" s="353"/>
      <c r="TVW10" s="353"/>
      <c r="TVX10" s="353"/>
      <c r="TVY10" s="353"/>
      <c r="TVZ10" s="353"/>
      <c r="TWA10" s="353"/>
      <c r="TWB10" s="353"/>
      <c r="TWC10" s="353"/>
      <c r="TWD10" s="353"/>
      <c r="TWE10" s="353"/>
      <c r="TWF10" s="353"/>
      <c r="TWG10" s="353"/>
      <c r="TWH10" s="353"/>
      <c r="TWI10" s="353"/>
      <c r="TWJ10" s="353"/>
      <c r="TWK10" s="353"/>
      <c r="TWL10" s="353"/>
      <c r="TWM10" s="353"/>
      <c r="TWN10" s="353"/>
      <c r="TWO10" s="353"/>
      <c r="TWP10" s="353"/>
      <c r="TWQ10" s="353"/>
      <c r="TWR10" s="353"/>
      <c r="TWS10" s="353"/>
      <c r="TWT10" s="353"/>
      <c r="TWU10" s="353"/>
      <c r="TWV10" s="353"/>
      <c r="TWW10" s="353"/>
      <c r="TWX10" s="353"/>
      <c r="TWY10" s="353"/>
      <c r="TWZ10" s="353"/>
      <c r="TXA10" s="353"/>
      <c r="TXB10" s="353"/>
      <c r="TXC10" s="353"/>
      <c r="TXD10" s="353"/>
      <c r="TXE10" s="353"/>
      <c r="TXF10" s="353"/>
      <c r="TXG10" s="353"/>
      <c r="TXH10" s="353"/>
      <c r="TXI10" s="353"/>
      <c r="TXJ10" s="353"/>
      <c r="TXK10" s="353"/>
      <c r="TXL10" s="353"/>
      <c r="TXM10" s="353"/>
      <c r="TXN10" s="353"/>
      <c r="TXO10" s="353"/>
      <c r="TXP10" s="353"/>
      <c r="TXQ10" s="353"/>
      <c r="TXR10" s="353"/>
      <c r="TXS10" s="353"/>
      <c r="TXT10" s="353"/>
      <c r="TXU10" s="353"/>
      <c r="TXV10" s="353"/>
      <c r="TXW10" s="353"/>
      <c r="TXX10" s="353"/>
      <c r="TXY10" s="353"/>
      <c r="TXZ10" s="353"/>
      <c r="TYA10" s="353"/>
      <c r="TYB10" s="353"/>
      <c r="TYC10" s="353"/>
      <c r="TYD10" s="353"/>
      <c r="TYE10" s="353"/>
      <c r="TYF10" s="353"/>
      <c r="TYG10" s="353"/>
      <c r="TYH10" s="353"/>
      <c r="TYI10" s="353"/>
      <c r="TYJ10" s="353"/>
      <c r="TYK10" s="353"/>
      <c r="TYL10" s="353"/>
      <c r="TYM10" s="353"/>
      <c r="TYN10" s="353"/>
      <c r="TYO10" s="353"/>
      <c r="TYP10" s="353"/>
      <c r="TYQ10" s="353"/>
      <c r="TYR10" s="353"/>
      <c r="TYS10" s="353"/>
      <c r="TYT10" s="353"/>
      <c r="TYU10" s="353"/>
      <c r="TYV10" s="353"/>
      <c r="TYW10" s="353"/>
      <c r="TYX10" s="353"/>
      <c r="TYY10" s="353"/>
      <c r="TYZ10" s="353"/>
      <c r="TZA10" s="353"/>
      <c r="TZB10" s="353"/>
      <c r="TZC10" s="353"/>
      <c r="TZD10" s="353"/>
      <c r="TZE10" s="353"/>
      <c r="TZF10" s="353"/>
      <c r="TZG10" s="353"/>
      <c r="TZH10" s="353"/>
      <c r="TZI10" s="353"/>
      <c r="TZJ10" s="353"/>
      <c r="TZK10" s="353"/>
      <c r="TZL10" s="353"/>
      <c r="TZM10" s="353"/>
      <c r="TZN10" s="353"/>
      <c r="TZO10" s="353"/>
      <c r="TZP10" s="353"/>
      <c r="TZQ10" s="353"/>
      <c r="TZR10" s="353"/>
      <c r="TZS10" s="353"/>
      <c r="TZT10" s="353"/>
      <c r="TZU10" s="353"/>
      <c r="TZV10" s="353"/>
      <c r="TZW10" s="353"/>
      <c r="TZX10" s="353"/>
      <c r="TZY10" s="353"/>
      <c r="TZZ10" s="353"/>
      <c r="UAA10" s="353"/>
      <c r="UAB10" s="353"/>
      <c r="UAC10" s="353"/>
      <c r="UAD10" s="353"/>
      <c r="UAE10" s="353"/>
      <c r="UAF10" s="353"/>
      <c r="UAG10" s="353"/>
      <c r="UAH10" s="353"/>
      <c r="UAI10" s="353"/>
      <c r="UAJ10" s="353"/>
      <c r="UAK10" s="353"/>
      <c r="UAL10" s="353"/>
      <c r="UAM10" s="353"/>
      <c r="UAN10" s="353"/>
      <c r="UAO10" s="353"/>
      <c r="UAP10" s="353"/>
      <c r="UAQ10" s="353"/>
      <c r="UAR10" s="353"/>
      <c r="UAS10" s="353"/>
      <c r="UAT10" s="353"/>
      <c r="UAU10" s="353"/>
      <c r="UAV10" s="353"/>
      <c r="UAW10" s="353"/>
      <c r="UAX10" s="353"/>
      <c r="UAY10" s="353"/>
      <c r="UAZ10" s="353"/>
      <c r="UBA10" s="353"/>
      <c r="UBB10" s="353"/>
      <c r="UBC10" s="353"/>
      <c r="UBD10" s="353"/>
      <c r="UBE10" s="353"/>
      <c r="UBF10" s="353"/>
      <c r="UBG10" s="353"/>
      <c r="UBH10" s="353"/>
      <c r="UBI10" s="353"/>
      <c r="UBJ10" s="353"/>
      <c r="UBK10" s="353"/>
      <c r="UBL10" s="353"/>
      <c r="UBM10" s="353"/>
      <c r="UBN10" s="353"/>
      <c r="UBO10" s="353"/>
      <c r="UBP10" s="353"/>
      <c r="UBQ10" s="353"/>
      <c r="UBR10" s="353"/>
      <c r="UBS10" s="353"/>
      <c r="UBT10" s="353"/>
      <c r="UBU10" s="353"/>
      <c r="UBV10" s="353"/>
      <c r="UBW10" s="353"/>
      <c r="UBX10" s="353"/>
      <c r="UBY10" s="353"/>
      <c r="UBZ10" s="353"/>
      <c r="UCA10" s="353"/>
      <c r="UCB10" s="353"/>
      <c r="UCC10" s="353"/>
      <c r="UCD10" s="353"/>
      <c r="UCE10" s="353"/>
      <c r="UCF10" s="353"/>
      <c r="UCG10" s="353"/>
      <c r="UCH10" s="353"/>
      <c r="UCI10" s="353"/>
      <c r="UCJ10" s="353"/>
      <c r="UCK10" s="353"/>
      <c r="UCL10" s="353"/>
      <c r="UCM10" s="353"/>
      <c r="UCN10" s="353"/>
      <c r="UCO10" s="353"/>
      <c r="UCP10" s="353"/>
      <c r="UCQ10" s="353"/>
      <c r="UCR10" s="353"/>
      <c r="UCS10" s="353"/>
      <c r="UCT10" s="353"/>
      <c r="UCU10" s="353"/>
      <c r="UCV10" s="353"/>
      <c r="UCW10" s="353"/>
      <c r="UCX10" s="353"/>
      <c r="UCY10" s="353"/>
      <c r="UCZ10" s="353"/>
      <c r="UDA10" s="353"/>
      <c r="UDB10" s="353"/>
      <c r="UDC10" s="353"/>
      <c r="UDD10" s="353"/>
      <c r="UDE10" s="353"/>
      <c r="UDF10" s="353"/>
      <c r="UDG10" s="353"/>
      <c r="UDH10" s="353"/>
      <c r="UDI10" s="353"/>
      <c r="UDJ10" s="353"/>
      <c r="UDK10" s="353"/>
      <c r="UDL10" s="353"/>
      <c r="UDM10" s="353"/>
      <c r="UDN10" s="353"/>
      <c r="UDO10" s="353"/>
      <c r="UDP10" s="353"/>
      <c r="UDQ10" s="353"/>
      <c r="UDR10" s="353"/>
      <c r="UDS10" s="353"/>
      <c r="UDT10" s="353"/>
      <c r="UDU10" s="353"/>
      <c r="UDV10" s="353"/>
      <c r="UDW10" s="353"/>
      <c r="UDX10" s="353"/>
      <c r="UDY10" s="353"/>
      <c r="UDZ10" s="353"/>
      <c r="UEA10" s="353"/>
      <c r="UEB10" s="353"/>
      <c r="UEC10" s="353"/>
      <c r="UED10" s="353"/>
      <c r="UEE10" s="353"/>
      <c r="UEF10" s="353"/>
      <c r="UEG10" s="353"/>
      <c r="UEH10" s="353"/>
      <c r="UEI10" s="353"/>
      <c r="UEJ10" s="353"/>
      <c r="UEK10" s="353"/>
      <c r="UEL10" s="353"/>
      <c r="UEM10" s="353"/>
      <c r="UEN10" s="353"/>
      <c r="UEO10" s="353"/>
      <c r="UEP10" s="353"/>
      <c r="UEQ10" s="353"/>
      <c r="UER10" s="353"/>
      <c r="UES10" s="353"/>
      <c r="UET10" s="353"/>
      <c r="UEU10" s="353"/>
      <c r="UEV10" s="353"/>
      <c r="UEW10" s="353"/>
      <c r="UEX10" s="353"/>
      <c r="UEY10" s="353"/>
      <c r="UEZ10" s="353"/>
      <c r="UFA10" s="353"/>
      <c r="UFB10" s="353"/>
      <c r="UFC10" s="353"/>
      <c r="UFD10" s="353"/>
      <c r="UFE10" s="353"/>
      <c r="UFF10" s="353"/>
      <c r="UFG10" s="353"/>
      <c r="UFH10" s="353"/>
      <c r="UFI10" s="353"/>
      <c r="UFJ10" s="353"/>
      <c r="UFK10" s="353"/>
      <c r="UFL10" s="353"/>
      <c r="UFM10" s="353"/>
      <c r="UFN10" s="353"/>
      <c r="UFO10" s="353"/>
      <c r="UFP10" s="353"/>
      <c r="UFQ10" s="353"/>
      <c r="UFR10" s="353"/>
      <c r="UFS10" s="353"/>
      <c r="UFT10" s="353"/>
      <c r="UFU10" s="353"/>
      <c r="UFV10" s="353"/>
      <c r="UFW10" s="353"/>
      <c r="UFX10" s="353"/>
      <c r="UFY10" s="353"/>
      <c r="UFZ10" s="353"/>
      <c r="UGA10" s="353"/>
      <c r="UGB10" s="353"/>
      <c r="UGC10" s="353"/>
      <c r="UGD10" s="353"/>
      <c r="UGE10" s="353"/>
      <c r="UGF10" s="353"/>
      <c r="UGG10" s="353"/>
      <c r="UGH10" s="353"/>
      <c r="UGI10" s="353"/>
      <c r="UGJ10" s="353"/>
      <c r="UGK10" s="353"/>
      <c r="UGL10" s="353"/>
      <c r="UGM10" s="353"/>
      <c r="UGN10" s="353"/>
      <c r="UGO10" s="353"/>
      <c r="UGP10" s="353"/>
      <c r="UGQ10" s="353"/>
      <c r="UGR10" s="353"/>
      <c r="UGS10" s="353"/>
      <c r="UGT10" s="353"/>
      <c r="UGU10" s="353"/>
      <c r="UGV10" s="353"/>
      <c r="UGW10" s="353"/>
      <c r="UGX10" s="353"/>
      <c r="UGY10" s="353"/>
      <c r="UGZ10" s="353"/>
      <c r="UHA10" s="353"/>
      <c r="UHB10" s="353"/>
      <c r="UHC10" s="353"/>
      <c r="UHD10" s="353"/>
      <c r="UHE10" s="353"/>
      <c r="UHF10" s="353"/>
      <c r="UHG10" s="353"/>
      <c r="UHH10" s="353"/>
      <c r="UHI10" s="353"/>
      <c r="UHJ10" s="353"/>
      <c r="UHK10" s="353"/>
      <c r="UHL10" s="353"/>
      <c r="UHM10" s="353"/>
      <c r="UHN10" s="353"/>
      <c r="UHO10" s="353"/>
      <c r="UHP10" s="353"/>
      <c r="UHQ10" s="353"/>
      <c r="UHR10" s="353"/>
      <c r="UHS10" s="353"/>
      <c r="UHT10" s="353"/>
      <c r="UHU10" s="353"/>
      <c r="UHV10" s="353"/>
      <c r="UHW10" s="353"/>
      <c r="UHX10" s="353"/>
      <c r="UHY10" s="353"/>
      <c r="UHZ10" s="353"/>
      <c r="UIA10" s="353"/>
      <c r="UIB10" s="353"/>
      <c r="UIC10" s="353"/>
      <c r="UID10" s="353"/>
      <c r="UIE10" s="353"/>
      <c r="UIF10" s="353"/>
      <c r="UIG10" s="353"/>
      <c r="UIH10" s="353"/>
      <c r="UII10" s="353"/>
      <c r="UIJ10" s="353"/>
      <c r="UIK10" s="353"/>
      <c r="UIL10" s="353"/>
      <c r="UIM10" s="353"/>
      <c r="UIN10" s="353"/>
      <c r="UIO10" s="353"/>
      <c r="UIP10" s="353"/>
      <c r="UIQ10" s="353"/>
      <c r="UIR10" s="353"/>
      <c r="UIS10" s="353"/>
      <c r="UIT10" s="353"/>
      <c r="UIU10" s="353"/>
      <c r="UIV10" s="353"/>
      <c r="UIW10" s="353"/>
      <c r="UIX10" s="353"/>
      <c r="UIY10" s="353"/>
      <c r="UIZ10" s="353"/>
      <c r="UJA10" s="353"/>
      <c r="UJB10" s="353"/>
      <c r="UJC10" s="353"/>
      <c r="UJD10" s="353"/>
      <c r="UJE10" s="353"/>
      <c r="UJF10" s="353"/>
      <c r="UJG10" s="353"/>
      <c r="UJH10" s="353"/>
      <c r="UJI10" s="353"/>
      <c r="UJJ10" s="353"/>
      <c r="UJK10" s="353"/>
      <c r="UJL10" s="353"/>
      <c r="UJM10" s="353"/>
      <c r="UJN10" s="353"/>
      <c r="UJO10" s="353"/>
      <c r="UJP10" s="353"/>
      <c r="UJQ10" s="353"/>
      <c r="UJR10" s="353"/>
      <c r="UJS10" s="353"/>
      <c r="UJT10" s="353"/>
      <c r="UJU10" s="353"/>
      <c r="UJV10" s="353"/>
      <c r="UJW10" s="353"/>
      <c r="UJX10" s="353"/>
      <c r="UJY10" s="353"/>
      <c r="UJZ10" s="353"/>
      <c r="UKA10" s="353"/>
      <c r="UKB10" s="353"/>
      <c r="UKC10" s="353"/>
      <c r="UKD10" s="353"/>
      <c r="UKE10" s="353"/>
      <c r="UKF10" s="353"/>
      <c r="UKG10" s="353"/>
      <c r="UKH10" s="353"/>
      <c r="UKI10" s="353"/>
      <c r="UKJ10" s="353"/>
      <c r="UKK10" s="353"/>
      <c r="UKL10" s="353"/>
      <c r="UKM10" s="353"/>
      <c r="UKN10" s="353"/>
      <c r="UKO10" s="353"/>
      <c r="UKP10" s="353"/>
      <c r="UKQ10" s="353"/>
      <c r="UKR10" s="353"/>
      <c r="UKS10" s="353"/>
      <c r="UKT10" s="353"/>
      <c r="UKU10" s="353"/>
      <c r="UKV10" s="353"/>
      <c r="UKW10" s="353"/>
      <c r="UKX10" s="353"/>
      <c r="UKY10" s="353"/>
      <c r="UKZ10" s="353"/>
      <c r="ULA10" s="353"/>
      <c r="ULB10" s="353"/>
      <c r="ULC10" s="353"/>
      <c r="ULD10" s="353"/>
      <c r="ULE10" s="353"/>
      <c r="ULF10" s="353"/>
      <c r="ULG10" s="353"/>
      <c r="ULH10" s="353"/>
      <c r="ULI10" s="353"/>
      <c r="ULJ10" s="353"/>
      <c r="ULK10" s="353"/>
      <c r="ULL10" s="353"/>
      <c r="ULM10" s="353"/>
      <c r="ULN10" s="353"/>
      <c r="ULO10" s="353"/>
      <c r="ULP10" s="353"/>
      <c r="ULQ10" s="353"/>
      <c r="ULR10" s="353"/>
      <c r="ULS10" s="353"/>
      <c r="ULT10" s="353"/>
      <c r="ULU10" s="353"/>
      <c r="ULV10" s="353"/>
      <c r="ULW10" s="353"/>
      <c r="ULX10" s="353"/>
      <c r="ULY10" s="353"/>
      <c r="ULZ10" s="353"/>
      <c r="UMA10" s="353"/>
      <c r="UMB10" s="353"/>
      <c r="UMC10" s="353"/>
      <c r="UMD10" s="353"/>
      <c r="UME10" s="353"/>
      <c r="UMF10" s="353"/>
      <c r="UMG10" s="353"/>
      <c r="UMH10" s="353"/>
      <c r="UMI10" s="353"/>
      <c r="UMJ10" s="353"/>
      <c r="UMK10" s="353"/>
      <c r="UML10" s="353"/>
      <c r="UMM10" s="353"/>
      <c r="UMN10" s="353"/>
      <c r="UMO10" s="353"/>
      <c r="UMP10" s="353"/>
      <c r="UMQ10" s="353"/>
      <c r="UMR10" s="353"/>
      <c r="UMS10" s="353"/>
      <c r="UMT10" s="353"/>
      <c r="UMU10" s="353"/>
      <c r="UMV10" s="353"/>
      <c r="UMW10" s="353"/>
      <c r="UMX10" s="353"/>
      <c r="UMY10" s="353"/>
      <c r="UMZ10" s="353"/>
      <c r="UNA10" s="353"/>
      <c r="UNB10" s="353"/>
      <c r="UNC10" s="353"/>
      <c r="UND10" s="353"/>
      <c r="UNE10" s="353"/>
      <c r="UNF10" s="353"/>
      <c r="UNG10" s="353"/>
      <c r="UNH10" s="353"/>
      <c r="UNI10" s="353"/>
      <c r="UNJ10" s="353"/>
      <c r="UNK10" s="353"/>
      <c r="UNL10" s="353"/>
      <c r="UNM10" s="353"/>
      <c r="UNN10" s="353"/>
      <c r="UNO10" s="353"/>
      <c r="UNP10" s="353"/>
      <c r="UNQ10" s="353"/>
      <c r="UNR10" s="353"/>
      <c r="UNS10" s="353"/>
      <c r="UNT10" s="353"/>
      <c r="UNU10" s="353"/>
      <c r="UNV10" s="353"/>
      <c r="UNW10" s="353"/>
      <c r="UNX10" s="353"/>
      <c r="UNY10" s="353"/>
      <c r="UNZ10" s="353"/>
      <c r="UOA10" s="353"/>
      <c r="UOB10" s="353"/>
      <c r="UOC10" s="353"/>
      <c r="UOD10" s="353"/>
      <c r="UOE10" s="353"/>
      <c r="UOF10" s="353"/>
      <c r="UOG10" s="353"/>
      <c r="UOH10" s="353"/>
      <c r="UOI10" s="353"/>
      <c r="UOJ10" s="353"/>
      <c r="UOK10" s="353"/>
      <c r="UOL10" s="353"/>
      <c r="UOM10" s="353"/>
      <c r="UON10" s="353"/>
      <c r="UOO10" s="353"/>
      <c r="UOP10" s="353"/>
      <c r="UOQ10" s="353"/>
      <c r="UOR10" s="353"/>
      <c r="UOS10" s="353"/>
      <c r="UOT10" s="353"/>
      <c r="UOU10" s="353"/>
      <c r="UOV10" s="353"/>
      <c r="UOW10" s="353"/>
      <c r="UOX10" s="353"/>
      <c r="UOY10" s="353"/>
      <c r="UOZ10" s="353"/>
      <c r="UPA10" s="353"/>
      <c r="UPB10" s="353"/>
      <c r="UPC10" s="353"/>
      <c r="UPD10" s="353"/>
      <c r="UPE10" s="353"/>
      <c r="UPF10" s="353"/>
      <c r="UPG10" s="353"/>
      <c r="UPH10" s="353"/>
      <c r="UPI10" s="353"/>
      <c r="UPJ10" s="353"/>
      <c r="UPK10" s="353"/>
      <c r="UPL10" s="353"/>
      <c r="UPM10" s="353"/>
      <c r="UPN10" s="353"/>
      <c r="UPO10" s="353"/>
      <c r="UPP10" s="353"/>
      <c r="UPQ10" s="353"/>
      <c r="UPR10" s="353"/>
      <c r="UPS10" s="353"/>
      <c r="UPT10" s="353"/>
      <c r="UPU10" s="353"/>
      <c r="UPV10" s="353"/>
      <c r="UPW10" s="353"/>
      <c r="UPX10" s="353"/>
      <c r="UPY10" s="353"/>
      <c r="UPZ10" s="353"/>
      <c r="UQA10" s="353"/>
      <c r="UQB10" s="353"/>
      <c r="UQC10" s="353"/>
      <c r="UQD10" s="353"/>
      <c r="UQE10" s="353"/>
      <c r="UQF10" s="353"/>
      <c r="UQG10" s="353"/>
      <c r="UQH10" s="353"/>
      <c r="UQI10" s="353"/>
      <c r="UQJ10" s="353"/>
      <c r="UQK10" s="353"/>
      <c r="UQL10" s="353"/>
      <c r="UQM10" s="353"/>
      <c r="UQN10" s="353"/>
      <c r="UQO10" s="353"/>
      <c r="UQP10" s="353"/>
      <c r="UQQ10" s="353"/>
      <c r="UQR10" s="353"/>
      <c r="UQS10" s="353"/>
      <c r="UQT10" s="353"/>
      <c r="UQU10" s="353"/>
      <c r="UQV10" s="353"/>
      <c r="UQW10" s="353"/>
      <c r="UQX10" s="353"/>
      <c r="UQY10" s="353"/>
      <c r="UQZ10" s="353"/>
      <c r="URA10" s="353"/>
      <c r="URB10" s="353"/>
      <c r="URC10" s="353"/>
      <c r="URD10" s="353"/>
      <c r="URE10" s="353"/>
      <c r="URF10" s="353"/>
      <c r="URG10" s="353"/>
      <c r="URH10" s="353"/>
      <c r="URI10" s="353"/>
      <c r="URJ10" s="353"/>
      <c r="URK10" s="353"/>
      <c r="URL10" s="353"/>
      <c r="URM10" s="353"/>
      <c r="URN10" s="353"/>
      <c r="URO10" s="353"/>
      <c r="URP10" s="353"/>
      <c r="URQ10" s="353"/>
      <c r="URR10" s="353"/>
      <c r="URS10" s="353"/>
      <c r="URT10" s="353"/>
      <c r="URU10" s="353"/>
      <c r="URV10" s="353"/>
      <c r="URW10" s="353"/>
      <c r="URX10" s="353"/>
      <c r="URY10" s="353"/>
      <c r="URZ10" s="353"/>
      <c r="USA10" s="353"/>
      <c r="USB10" s="353"/>
      <c r="USC10" s="353"/>
      <c r="USD10" s="353"/>
      <c r="USE10" s="353"/>
      <c r="USF10" s="353"/>
      <c r="USG10" s="353"/>
      <c r="USH10" s="353"/>
      <c r="USI10" s="353"/>
      <c r="USJ10" s="353"/>
      <c r="USK10" s="353"/>
      <c r="USL10" s="353"/>
      <c r="USM10" s="353"/>
      <c r="USN10" s="353"/>
      <c r="USO10" s="353"/>
      <c r="USP10" s="353"/>
      <c r="USQ10" s="353"/>
      <c r="USR10" s="353"/>
      <c r="USS10" s="353"/>
      <c r="UST10" s="353"/>
      <c r="USU10" s="353"/>
      <c r="USV10" s="353"/>
      <c r="USW10" s="353"/>
      <c r="USX10" s="353"/>
      <c r="USY10" s="353"/>
      <c r="USZ10" s="353"/>
      <c r="UTA10" s="353"/>
      <c r="UTB10" s="353"/>
      <c r="UTC10" s="353"/>
      <c r="UTD10" s="353"/>
      <c r="UTE10" s="353"/>
      <c r="UTF10" s="353"/>
      <c r="UTG10" s="353"/>
      <c r="UTH10" s="353"/>
      <c r="UTI10" s="353"/>
      <c r="UTJ10" s="353"/>
      <c r="UTK10" s="353"/>
      <c r="UTL10" s="353"/>
      <c r="UTM10" s="353"/>
      <c r="UTN10" s="353"/>
      <c r="UTO10" s="353"/>
      <c r="UTP10" s="353"/>
      <c r="UTQ10" s="353"/>
      <c r="UTR10" s="353"/>
      <c r="UTS10" s="353"/>
      <c r="UTT10" s="353"/>
      <c r="UTU10" s="353"/>
      <c r="UTV10" s="353"/>
      <c r="UTW10" s="353"/>
      <c r="UTX10" s="353"/>
      <c r="UTY10" s="353"/>
      <c r="UTZ10" s="353"/>
      <c r="UUA10" s="353"/>
      <c r="UUB10" s="353"/>
      <c r="UUC10" s="353"/>
      <c r="UUD10" s="353"/>
      <c r="UUE10" s="353"/>
      <c r="UUF10" s="353"/>
      <c r="UUG10" s="353"/>
      <c r="UUH10" s="353"/>
      <c r="UUI10" s="353"/>
      <c r="UUJ10" s="353"/>
      <c r="UUK10" s="353"/>
      <c r="UUL10" s="353"/>
      <c r="UUM10" s="353"/>
      <c r="UUN10" s="353"/>
      <c r="UUO10" s="353"/>
      <c r="UUP10" s="353"/>
      <c r="UUQ10" s="353"/>
      <c r="UUR10" s="353"/>
      <c r="UUS10" s="353"/>
      <c r="UUT10" s="353"/>
      <c r="UUU10" s="353"/>
      <c r="UUV10" s="353"/>
      <c r="UUW10" s="353"/>
      <c r="UUX10" s="353"/>
      <c r="UUY10" s="353"/>
      <c r="UUZ10" s="353"/>
      <c r="UVA10" s="353"/>
      <c r="UVB10" s="353"/>
      <c r="UVC10" s="353"/>
      <c r="UVD10" s="353"/>
      <c r="UVE10" s="353"/>
      <c r="UVF10" s="353"/>
      <c r="UVG10" s="353"/>
      <c r="UVH10" s="353"/>
      <c r="UVI10" s="353"/>
      <c r="UVJ10" s="353"/>
      <c r="UVK10" s="353"/>
      <c r="UVL10" s="353"/>
      <c r="UVM10" s="353"/>
      <c r="UVN10" s="353"/>
      <c r="UVO10" s="353"/>
      <c r="UVP10" s="353"/>
      <c r="UVQ10" s="353"/>
      <c r="UVR10" s="353"/>
      <c r="UVS10" s="353"/>
      <c r="UVT10" s="353"/>
      <c r="UVU10" s="353"/>
      <c r="UVV10" s="353"/>
      <c r="UVW10" s="353"/>
      <c r="UVX10" s="353"/>
      <c r="UVY10" s="353"/>
      <c r="UVZ10" s="353"/>
      <c r="UWA10" s="353"/>
      <c r="UWB10" s="353"/>
      <c r="UWC10" s="353"/>
      <c r="UWD10" s="353"/>
      <c r="UWE10" s="353"/>
      <c r="UWF10" s="353"/>
      <c r="UWG10" s="353"/>
      <c r="UWH10" s="353"/>
      <c r="UWI10" s="353"/>
      <c r="UWJ10" s="353"/>
      <c r="UWK10" s="353"/>
      <c r="UWL10" s="353"/>
      <c r="UWM10" s="353"/>
      <c r="UWN10" s="353"/>
      <c r="UWO10" s="353"/>
      <c r="UWP10" s="353"/>
      <c r="UWQ10" s="353"/>
      <c r="UWR10" s="353"/>
      <c r="UWS10" s="353"/>
      <c r="UWT10" s="353"/>
      <c r="UWU10" s="353"/>
      <c r="UWV10" s="353"/>
      <c r="UWW10" s="353"/>
      <c r="UWX10" s="353"/>
      <c r="UWY10" s="353"/>
      <c r="UWZ10" s="353"/>
      <c r="UXA10" s="353"/>
      <c r="UXB10" s="353"/>
      <c r="UXC10" s="353"/>
      <c r="UXD10" s="353"/>
      <c r="UXE10" s="353"/>
      <c r="UXF10" s="353"/>
      <c r="UXG10" s="353"/>
      <c r="UXH10" s="353"/>
      <c r="UXI10" s="353"/>
      <c r="UXJ10" s="353"/>
      <c r="UXK10" s="353"/>
      <c r="UXL10" s="353"/>
      <c r="UXM10" s="353"/>
      <c r="UXN10" s="353"/>
      <c r="UXO10" s="353"/>
      <c r="UXP10" s="353"/>
      <c r="UXQ10" s="353"/>
      <c r="UXR10" s="353"/>
      <c r="UXS10" s="353"/>
      <c r="UXT10" s="353"/>
      <c r="UXU10" s="353"/>
      <c r="UXV10" s="353"/>
      <c r="UXW10" s="353"/>
      <c r="UXX10" s="353"/>
      <c r="UXY10" s="353"/>
      <c r="UXZ10" s="353"/>
      <c r="UYA10" s="353"/>
      <c r="UYB10" s="353"/>
      <c r="UYC10" s="353"/>
      <c r="UYD10" s="353"/>
      <c r="UYE10" s="353"/>
      <c r="UYF10" s="353"/>
      <c r="UYG10" s="353"/>
      <c r="UYH10" s="353"/>
      <c r="UYI10" s="353"/>
      <c r="UYJ10" s="353"/>
      <c r="UYK10" s="353"/>
      <c r="UYL10" s="353"/>
      <c r="UYM10" s="353"/>
      <c r="UYN10" s="353"/>
      <c r="UYO10" s="353"/>
      <c r="UYP10" s="353"/>
      <c r="UYQ10" s="353"/>
      <c r="UYR10" s="353"/>
      <c r="UYS10" s="353"/>
      <c r="UYT10" s="353"/>
      <c r="UYU10" s="353"/>
      <c r="UYV10" s="353"/>
      <c r="UYW10" s="353"/>
      <c r="UYX10" s="353"/>
      <c r="UYY10" s="353"/>
      <c r="UYZ10" s="353"/>
      <c r="UZA10" s="353"/>
      <c r="UZB10" s="353"/>
      <c r="UZC10" s="353"/>
      <c r="UZD10" s="353"/>
      <c r="UZE10" s="353"/>
      <c r="UZF10" s="353"/>
      <c r="UZG10" s="353"/>
      <c r="UZH10" s="353"/>
      <c r="UZI10" s="353"/>
      <c r="UZJ10" s="353"/>
      <c r="UZK10" s="353"/>
      <c r="UZL10" s="353"/>
      <c r="UZM10" s="353"/>
      <c r="UZN10" s="353"/>
      <c r="UZO10" s="353"/>
      <c r="UZP10" s="353"/>
      <c r="UZQ10" s="353"/>
      <c r="UZR10" s="353"/>
      <c r="UZS10" s="353"/>
      <c r="UZT10" s="353"/>
      <c r="UZU10" s="353"/>
      <c r="UZV10" s="353"/>
      <c r="UZW10" s="353"/>
      <c r="UZX10" s="353"/>
      <c r="UZY10" s="353"/>
      <c r="UZZ10" s="353"/>
      <c r="VAA10" s="353"/>
      <c r="VAB10" s="353"/>
      <c r="VAC10" s="353"/>
      <c r="VAD10" s="353"/>
      <c r="VAE10" s="353"/>
      <c r="VAF10" s="353"/>
      <c r="VAG10" s="353"/>
      <c r="VAH10" s="353"/>
      <c r="VAI10" s="353"/>
      <c r="VAJ10" s="353"/>
      <c r="VAK10" s="353"/>
      <c r="VAL10" s="353"/>
      <c r="VAM10" s="353"/>
      <c r="VAN10" s="353"/>
      <c r="VAO10" s="353"/>
      <c r="VAP10" s="353"/>
      <c r="VAQ10" s="353"/>
      <c r="VAR10" s="353"/>
      <c r="VAS10" s="353"/>
      <c r="VAT10" s="353"/>
      <c r="VAU10" s="353"/>
      <c r="VAV10" s="353"/>
      <c r="VAW10" s="353"/>
      <c r="VAX10" s="353"/>
      <c r="VAY10" s="353"/>
      <c r="VAZ10" s="353"/>
      <c r="VBA10" s="353"/>
      <c r="VBB10" s="353"/>
      <c r="VBC10" s="353"/>
      <c r="VBD10" s="353"/>
      <c r="VBE10" s="353"/>
      <c r="VBF10" s="353"/>
      <c r="VBG10" s="353"/>
      <c r="VBH10" s="353"/>
      <c r="VBI10" s="353"/>
      <c r="VBJ10" s="353"/>
      <c r="VBK10" s="353"/>
      <c r="VBL10" s="353"/>
      <c r="VBM10" s="353"/>
      <c r="VBN10" s="353"/>
      <c r="VBO10" s="353"/>
      <c r="VBP10" s="353"/>
      <c r="VBQ10" s="353"/>
      <c r="VBR10" s="353"/>
      <c r="VBS10" s="353"/>
      <c r="VBT10" s="353"/>
      <c r="VBU10" s="353"/>
      <c r="VBV10" s="353"/>
      <c r="VBW10" s="353"/>
      <c r="VBX10" s="353"/>
      <c r="VBY10" s="353"/>
      <c r="VBZ10" s="353"/>
      <c r="VCA10" s="353"/>
      <c r="VCB10" s="353"/>
      <c r="VCC10" s="353"/>
      <c r="VCD10" s="353"/>
      <c r="VCE10" s="353"/>
      <c r="VCF10" s="353"/>
      <c r="VCG10" s="353"/>
      <c r="VCH10" s="353"/>
      <c r="VCI10" s="353"/>
      <c r="VCJ10" s="353"/>
      <c r="VCK10" s="353"/>
      <c r="VCL10" s="353"/>
      <c r="VCM10" s="353"/>
      <c r="VCN10" s="353"/>
      <c r="VCO10" s="353"/>
      <c r="VCP10" s="353"/>
      <c r="VCQ10" s="353"/>
      <c r="VCR10" s="353"/>
      <c r="VCS10" s="353"/>
      <c r="VCT10" s="353"/>
      <c r="VCU10" s="353"/>
      <c r="VCV10" s="353"/>
      <c r="VCW10" s="353"/>
      <c r="VCX10" s="353"/>
      <c r="VCY10" s="353"/>
      <c r="VCZ10" s="353"/>
      <c r="VDA10" s="353"/>
      <c r="VDB10" s="353"/>
      <c r="VDC10" s="353"/>
      <c r="VDD10" s="353"/>
      <c r="VDE10" s="353"/>
      <c r="VDF10" s="353"/>
      <c r="VDG10" s="353"/>
      <c r="VDH10" s="353"/>
      <c r="VDI10" s="353"/>
      <c r="VDJ10" s="353"/>
      <c r="VDK10" s="353"/>
      <c r="VDL10" s="353"/>
      <c r="VDM10" s="353"/>
      <c r="VDN10" s="353"/>
      <c r="VDO10" s="353"/>
      <c r="VDP10" s="353"/>
      <c r="VDQ10" s="353"/>
      <c r="VDR10" s="353"/>
      <c r="VDS10" s="353"/>
      <c r="VDT10" s="353"/>
      <c r="VDU10" s="353"/>
      <c r="VDV10" s="353"/>
      <c r="VDW10" s="353"/>
      <c r="VDX10" s="353"/>
      <c r="VDY10" s="353"/>
      <c r="VDZ10" s="353"/>
      <c r="VEA10" s="353"/>
      <c r="VEB10" s="353"/>
      <c r="VEC10" s="353"/>
      <c r="VED10" s="353"/>
      <c r="VEE10" s="353"/>
      <c r="VEF10" s="353"/>
      <c r="VEG10" s="353"/>
      <c r="VEH10" s="353"/>
      <c r="VEI10" s="353"/>
      <c r="VEJ10" s="353"/>
      <c r="VEK10" s="353"/>
      <c r="VEL10" s="353"/>
      <c r="VEM10" s="353"/>
      <c r="VEN10" s="353"/>
      <c r="VEO10" s="353"/>
      <c r="VEP10" s="353"/>
      <c r="VEQ10" s="353"/>
      <c r="VER10" s="353"/>
      <c r="VES10" s="353"/>
      <c r="VET10" s="353"/>
      <c r="VEU10" s="353"/>
      <c r="VEV10" s="353"/>
      <c r="VEW10" s="353"/>
      <c r="VEX10" s="353"/>
      <c r="VEY10" s="353"/>
      <c r="VEZ10" s="353"/>
      <c r="VFA10" s="353"/>
      <c r="VFB10" s="353"/>
      <c r="VFC10" s="353"/>
      <c r="VFD10" s="353"/>
      <c r="VFE10" s="353"/>
      <c r="VFF10" s="353"/>
      <c r="VFG10" s="353"/>
      <c r="VFH10" s="353"/>
      <c r="VFI10" s="353"/>
      <c r="VFJ10" s="353"/>
      <c r="VFK10" s="353"/>
      <c r="VFL10" s="353"/>
      <c r="VFM10" s="353"/>
      <c r="VFN10" s="353"/>
      <c r="VFO10" s="353"/>
      <c r="VFP10" s="353"/>
      <c r="VFQ10" s="353"/>
      <c r="VFR10" s="353"/>
      <c r="VFS10" s="353"/>
      <c r="VFT10" s="353"/>
      <c r="VFU10" s="353"/>
      <c r="VFV10" s="353"/>
      <c r="VFW10" s="353"/>
      <c r="VFX10" s="353"/>
      <c r="VFY10" s="353"/>
      <c r="VFZ10" s="353"/>
      <c r="VGA10" s="353"/>
      <c r="VGB10" s="353"/>
      <c r="VGC10" s="353"/>
      <c r="VGD10" s="353"/>
      <c r="VGE10" s="353"/>
      <c r="VGF10" s="353"/>
      <c r="VGG10" s="353"/>
      <c r="VGH10" s="353"/>
      <c r="VGI10" s="353"/>
      <c r="VGJ10" s="353"/>
      <c r="VGK10" s="353"/>
      <c r="VGL10" s="353"/>
      <c r="VGM10" s="353"/>
      <c r="VGN10" s="353"/>
      <c r="VGO10" s="353"/>
      <c r="VGP10" s="353"/>
      <c r="VGQ10" s="353"/>
      <c r="VGR10" s="353"/>
      <c r="VGS10" s="353"/>
      <c r="VGT10" s="353"/>
      <c r="VGU10" s="353"/>
      <c r="VGV10" s="353"/>
      <c r="VGW10" s="353"/>
      <c r="VGX10" s="353"/>
      <c r="VGY10" s="353"/>
      <c r="VGZ10" s="353"/>
      <c r="VHA10" s="353"/>
      <c r="VHB10" s="353"/>
      <c r="VHC10" s="353"/>
      <c r="VHD10" s="353"/>
      <c r="VHE10" s="353"/>
      <c r="VHF10" s="353"/>
      <c r="VHG10" s="353"/>
      <c r="VHH10" s="353"/>
      <c r="VHI10" s="353"/>
      <c r="VHJ10" s="353"/>
      <c r="VHK10" s="353"/>
      <c r="VHL10" s="353"/>
      <c r="VHM10" s="353"/>
      <c r="VHN10" s="353"/>
      <c r="VHO10" s="353"/>
      <c r="VHP10" s="353"/>
      <c r="VHQ10" s="353"/>
      <c r="VHR10" s="353"/>
      <c r="VHS10" s="353"/>
      <c r="VHT10" s="353"/>
      <c r="VHU10" s="353"/>
      <c r="VHV10" s="353"/>
      <c r="VHW10" s="353"/>
      <c r="VHX10" s="353"/>
      <c r="VHY10" s="353"/>
      <c r="VHZ10" s="353"/>
      <c r="VIA10" s="353"/>
      <c r="VIB10" s="353"/>
      <c r="VIC10" s="353"/>
      <c r="VID10" s="353"/>
      <c r="VIE10" s="353"/>
      <c r="VIF10" s="353"/>
      <c r="VIG10" s="353"/>
      <c r="VIH10" s="353"/>
      <c r="VII10" s="353"/>
      <c r="VIJ10" s="353"/>
      <c r="VIK10" s="353"/>
      <c r="VIL10" s="353"/>
      <c r="VIM10" s="353"/>
      <c r="VIN10" s="353"/>
      <c r="VIO10" s="353"/>
      <c r="VIP10" s="353"/>
      <c r="VIQ10" s="353"/>
      <c r="VIR10" s="353"/>
      <c r="VIS10" s="353"/>
      <c r="VIT10" s="353"/>
      <c r="VIU10" s="353"/>
      <c r="VIV10" s="353"/>
      <c r="VIW10" s="353"/>
      <c r="VIX10" s="353"/>
      <c r="VIY10" s="353"/>
      <c r="VIZ10" s="353"/>
      <c r="VJA10" s="353"/>
      <c r="VJB10" s="353"/>
      <c r="VJC10" s="353"/>
      <c r="VJD10" s="353"/>
      <c r="VJE10" s="353"/>
      <c r="VJF10" s="353"/>
      <c r="VJG10" s="353"/>
      <c r="VJH10" s="353"/>
      <c r="VJI10" s="353"/>
      <c r="VJJ10" s="353"/>
      <c r="VJK10" s="353"/>
      <c r="VJL10" s="353"/>
      <c r="VJM10" s="353"/>
      <c r="VJN10" s="353"/>
      <c r="VJO10" s="353"/>
      <c r="VJP10" s="353"/>
      <c r="VJQ10" s="353"/>
      <c r="VJR10" s="353"/>
      <c r="VJS10" s="353"/>
      <c r="VJT10" s="353"/>
      <c r="VJU10" s="353"/>
      <c r="VJV10" s="353"/>
      <c r="VJW10" s="353"/>
      <c r="VJX10" s="353"/>
      <c r="VJY10" s="353"/>
      <c r="VJZ10" s="353"/>
      <c r="VKA10" s="353"/>
      <c r="VKB10" s="353"/>
      <c r="VKC10" s="353"/>
      <c r="VKD10" s="353"/>
      <c r="VKE10" s="353"/>
      <c r="VKF10" s="353"/>
      <c r="VKG10" s="353"/>
      <c r="VKH10" s="353"/>
      <c r="VKI10" s="353"/>
      <c r="VKJ10" s="353"/>
      <c r="VKK10" s="353"/>
      <c r="VKL10" s="353"/>
      <c r="VKM10" s="353"/>
      <c r="VKN10" s="353"/>
      <c r="VKO10" s="353"/>
      <c r="VKP10" s="353"/>
      <c r="VKQ10" s="353"/>
      <c r="VKR10" s="353"/>
      <c r="VKS10" s="353"/>
      <c r="VKT10" s="353"/>
      <c r="VKU10" s="353"/>
      <c r="VKV10" s="353"/>
      <c r="VKW10" s="353"/>
      <c r="VKX10" s="353"/>
      <c r="VKY10" s="353"/>
      <c r="VKZ10" s="353"/>
      <c r="VLA10" s="353"/>
      <c r="VLB10" s="353"/>
      <c r="VLC10" s="353"/>
      <c r="VLD10" s="353"/>
      <c r="VLE10" s="353"/>
      <c r="VLF10" s="353"/>
      <c r="VLG10" s="353"/>
      <c r="VLH10" s="353"/>
      <c r="VLI10" s="353"/>
      <c r="VLJ10" s="353"/>
      <c r="VLK10" s="353"/>
      <c r="VLL10" s="353"/>
      <c r="VLM10" s="353"/>
      <c r="VLN10" s="353"/>
      <c r="VLO10" s="353"/>
      <c r="VLP10" s="353"/>
      <c r="VLQ10" s="353"/>
      <c r="VLR10" s="353"/>
      <c r="VLS10" s="353"/>
      <c r="VLT10" s="353"/>
      <c r="VLU10" s="353"/>
      <c r="VLV10" s="353"/>
      <c r="VLW10" s="353"/>
      <c r="VLX10" s="353"/>
      <c r="VLY10" s="353"/>
      <c r="VLZ10" s="353"/>
      <c r="VMA10" s="353"/>
      <c r="VMB10" s="353"/>
      <c r="VMC10" s="353"/>
      <c r="VMD10" s="353"/>
      <c r="VME10" s="353"/>
      <c r="VMF10" s="353"/>
      <c r="VMG10" s="353"/>
      <c r="VMH10" s="353"/>
      <c r="VMI10" s="353"/>
      <c r="VMJ10" s="353"/>
      <c r="VMK10" s="353"/>
      <c r="VML10" s="353"/>
      <c r="VMM10" s="353"/>
      <c r="VMN10" s="353"/>
      <c r="VMO10" s="353"/>
      <c r="VMP10" s="353"/>
      <c r="VMQ10" s="353"/>
      <c r="VMR10" s="353"/>
      <c r="VMS10" s="353"/>
      <c r="VMT10" s="353"/>
      <c r="VMU10" s="353"/>
      <c r="VMV10" s="353"/>
      <c r="VMW10" s="353"/>
      <c r="VMX10" s="353"/>
      <c r="VMY10" s="353"/>
      <c r="VMZ10" s="353"/>
      <c r="VNA10" s="353"/>
      <c r="VNB10" s="353"/>
      <c r="VNC10" s="353"/>
      <c r="VND10" s="353"/>
      <c r="VNE10" s="353"/>
      <c r="VNF10" s="353"/>
      <c r="VNG10" s="353"/>
      <c r="VNH10" s="353"/>
      <c r="VNI10" s="353"/>
      <c r="VNJ10" s="353"/>
      <c r="VNK10" s="353"/>
      <c r="VNL10" s="353"/>
      <c r="VNM10" s="353"/>
      <c r="VNN10" s="353"/>
      <c r="VNO10" s="353"/>
      <c r="VNP10" s="353"/>
      <c r="VNQ10" s="353"/>
      <c r="VNR10" s="353"/>
      <c r="VNS10" s="353"/>
      <c r="VNT10" s="353"/>
      <c r="VNU10" s="353"/>
      <c r="VNV10" s="353"/>
      <c r="VNW10" s="353"/>
      <c r="VNX10" s="353"/>
      <c r="VNY10" s="353"/>
      <c r="VNZ10" s="353"/>
      <c r="VOA10" s="353"/>
      <c r="VOB10" s="353"/>
      <c r="VOC10" s="353"/>
      <c r="VOD10" s="353"/>
      <c r="VOE10" s="353"/>
      <c r="VOF10" s="353"/>
      <c r="VOG10" s="353"/>
      <c r="VOH10" s="353"/>
      <c r="VOI10" s="353"/>
      <c r="VOJ10" s="353"/>
      <c r="VOK10" s="353"/>
      <c r="VOL10" s="353"/>
      <c r="VOM10" s="353"/>
      <c r="VON10" s="353"/>
      <c r="VOO10" s="353"/>
      <c r="VOP10" s="353"/>
      <c r="VOQ10" s="353"/>
      <c r="VOR10" s="353"/>
      <c r="VOS10" s="353"/>
      <c r="VOT10" s="353"/>
      <c r="VOU10" s="353"/>
      <c r="VOV10" s="353"/>
      <c r="VOW10" s="353"/>
      <c r="VOX10" s="353"/>
      <c r="VOY10" s="353"/>
      <c r="VOZ10" s="353"/>
      <c r="VPA10" s="353"/>
      <c r="VPB10" s="353"/>
      <c r="VPC10" s="353"/>
      <c r="VPD10" s="353"/>
      <c r="VPE10" s="353"/>
      <c r="VPF10" s="353"/>
      <c r="VPG10" s="353"/>
      <c r="VPH10" s="353"/>
      <c r="VPI10" s="353"/>
      <c r="VPJ10" s="353"/>
      <c r="VPK10" s="353"/>
      <c r="VPL10" s="353"/>
      <c r="VPM10" s="353"/>
      <c r="VPN10" s="353"/>
      <c r="VPO10" s="353"/>
      <c r="VPP10" s="353"/>
      <c r="VPQ10" s="353"/>
      <c r="VPR10" s="353"/>
      <c r="VPS10" s="353"/>
      <c r="VPT10" s="353"/>
      <c r="VPU10" s="353"/>
      <c r="VPV10" s="353"/>
      <c r="VPW10" s="353"/>
      <c r="VPX10" s="353"/>
      <c r="VPY10" s="353"/>
      <c r="VPZ10" s="353"/>
      <c r="VQA10" s="353"/>
      <c r="VQB10" s="353"/>
      <c r="VQC10" s="353"/>
      <c r="VQD10" s="353"/>
      <c r="VQE10" s="353"/>
      <c r="VQF10" s="353"/>
      <c r="VQG10" s="353"/>
      <c r="VQH10" s="353"/>
      <c r="VQI10" s="353"/>
      <c r="VQJ10" s="353"/>
      <c r="VQK10" s="353"/>
      <c r="VQL10" s="353"/>
      <c r="VQM10" s="353"/>
      <c r="VQN10" s="353"/>
      <c r="VQO10" s="353"/>
      <c r="VQP10" s="353"/>
      <c r="VQQ10" s="353"/>
      <c r="VQR10" s="353"/>
      <c r="VQS10" s="353"/>
      <c r="VQT10" s="353"/>
      <c r="VQU10" s="353"/>
      <c r="VQV10" s="353"/>
      <c r="VQW10" s="353"/>
      <c r="VQX10" s="353"/>
      <c r="VQY10" s="353"/>
      <c r="VQZ10" s="353"/>
      <c r="VRA10" s="353"/>
      <c r="VRB10" s="353"/>
      <c r="VRC10" s="353"/>
      <c r="VRD10" s="353"/>
      <c r="VRE10" s="353"/>
      <c r="VRF10" s="353"/>
      <c r="VRG10" s="353"/>
      <c r="VRH10" s="353"/>
      <c r="VRI10" s="353"/>
      <c r="VRJ10" s="353"/>
      <c r="VRK10" s="353"/>
      <c r="VRL10" s="353"/>
      <c r="VRM10" s="353"/>
      <c r="VRN10" s="353"/>
      <c r="VRO10" s="353"/>
      <c r="VRP10" s="353"/>
      <c r="VRQ10" s="353"/>
      <c r="VRR10" s="353"/>
      <c r="VRS10" s="353"/>
      <c r="VRT10" s="353"/>
      <c r="VRU10" s="353"/>
      <c r="VRV10" s="353"/>
      <c r="VRW10" s="353"/>
      <c r="VRX10" s="353"/>
      <c r="VRY10" s="353"/>
      <c r="VRZ10" s="353"/>
      <c r="VSA10" s="353"/>
      <c r="VSB10" s="353"/>
      <c r="VSC10" s="353"/>
      <c r="VSD10" s="353"/>
      <c r="VSE10" s="353"/>
      <c r="VSF10" s="353"/>
      <c r="VSG10" s="353"/>
      <c r="VSH10" s="353"/>
      <c r="VSI10" s="353"/>
      <c r="VSJ10" s="353"/>
      <c r="VSK10" s="353"/>
      <c r="VSL10" s="353"/>
      <c r="VSM10" s="353"/>
      <c r="VSN10" s="353"/>
      <c r="VSO10" s="353"/>
      <c r="VSP10" s="353"/>
      <c r="VSQ10" s="353"/>
      <c r="VSR10" s="353"/>
      <c r="VSS10" s="353"/>
      <c r="VST10" s="353"/>
      <c r="VSU10" s="353"/>
      <c r="VSV10" s="353"/>
      <c r="VSW10" s="353"/>
      <c r="VSX10" s="353"/>
      <c r="VSY10" s="353"/>
      <c r="VSZ10" s="353"/>
      <c r="VTA10" s="353"/>
      <c r="VTB10" s="353"/>
      <c r="VTC10" s="353"/>
      <c r="VTD10" s="353"/>
      <c r="VTE10" s="353"/>
      <c r="VTF10" s="353"/>
      <c r="VTG10" s="353"/>
      <c r="VTH10" s="353"/>
      <c r="VTI10" s="353"/>
      <c r="VTJ10" s="353"/>
      <c r="VTK10" s="353"/>
      <c r="VTL10" s="353"/>
      <c r="VTM10" s="353"/>
      <c r="VTN10" s="353"/>
      <c r="VTO10" s="353"/>
      <c r="VTP10" s="353"/>
      <c r="VTQ10" s="353"/>
      <c r="VTR10" s="353"/>
      <c r="VTS10" s="353"/>
      <c r="VTT10" s="353"/>
      <c r="VTU10" s="353"/>
      <c r="VTV10" s="353"/>
      <c r="VTW10" s="353"/>
      <c r="VTX10" s="353"/>
      <c r="VTY10" s="353"/>
      <c r="VTZ10" s="353"/>
      <c r="VUA10" s="353"/>
      <c r="VUB10" s="353"/>
      <c r="VUC10" s="353"/>
      <c r="VUD10" s="353"/>
      <c r="VUE10" s="353"/>
      <c r="VUF10" s="353"/>
      <c r="VUG10" s="353"/>
      <c r="VUH10" s="353"/>
      <c r="VUI10" s="353"/>
      <c r="VUJ10" s="353"/>
      <c r="VUK10" s="353"/>
      <c r="VUL10" s="353"/>
      <c r="VUM10" s="353"/>
      <c r="VUN10" s="353"/>
      <c r="VUO10" s="353"/>
      <c r="VUP10" s="353"/>
      <c r="VUQ10" s="353"/>
      <c r="VUR10" s="353"/>
      <c r="VUS10" s="353"/>
      <c r="VUT10" s="353"/>
      <c r="VUU10" s="353"/>
      <c r="VUV10" s="353"/>
      <c r="VUW10" s="353"/>
      <c r="VUX10" s="353"/>
      <c r="VUY10" s="353"/>
      <c r="VUZ10" s="353"/>
      <c r="VVA10" s="353"/>
      <c r="VVB10" s="353"/>
      <c r="VVC10" s="353"/>
      <c r="VVD10" s="353"/>
      <c r="VVE10" s="353"/>
      <c r="VVF10" s="353"/>
      <c r="VVG10" s="353"/>
      <c r="VVH10" s="353"/>
      <c r="VVI10" s="353"/>
      <c r="VVJ10" s="353"/>
      <c r="VVK10" s="353"/>
      <c r="VVL10" s="353"/>
      <c r="VVM10" s="353"/>
      <c r="VVN10" s="353"/>
      <c r="VVO10" s="353"/>
      <c r="VVP10" s="353"/>
      <c r="VVQ10" s="353"/>
      <c r="VVR10" s="353"/>
      <c r="VVS10" s="353"/>
      <c r="VVT10" s="353"/>
      <c r="VVU10" s="353"/>
      <c r="VVV10" s="353"/>
      <c r="VVW10" s="353"/>
      <c r="VVX10" s="353"/>
      <c r="VVY10" s="353"/>
      <c r="VVZ10" s="353"/>
      <c r="VWA10" s="353"/>
      <c r="VWB10" s="353"/>
      <c r="VWC10" s="353"/>
      <c r="VWD10" s="353"/>
      <c r="VWE10" s="353"/>
      <c r="VWF10" s="353"/>
      <c r="VWG10" s="353"/>
      <c r="VWH10" s="353"/>
      <c r="VWI10" s="353"/>
      <c r="VWJ10" s="353"/>
      <c r="VWK10" s="353"/>
      <c r="VWL10" s="353"/>
      <c r="VWM10" s="353"/>
      <c r="VWN10" s="353"/>
      <c r="VWO10" s="353"/>
      <c r="VWP10" s="353"/>
      <c r="VWQ10" s="353"/>
      <c r="VWR10" s="353"/>
      <c r="VWS10" s="353"/>
      <c r="VWT10" s="353"/>
      <c r="VWU10" s="353"/>
      <c r="VWV10" s="353"/>
      <c r="VWW10" s="353"/>
      <c r="VWX10" s="353"/>
      <c r="VWY10" s="353"/>
      <c r="VWZ10" s="353"/>
      <c r="VXA10" s="353"/>
      <c r="VXB10" s="353"/>
      <c r="VXC10" s="353"/>
      <c r="VXD10" s="353"/>
      <c r="VXE10" s="353"/>
      <c r="VXF10" s="353"/>
      <c r="VXG10" s="353"/>
      <c r="VXH10" s="353"/>
      <c r="VXI10" s="353"/>
      <c r="VXJ10" s="353"/>
      <c r="VXK10" s="353"/>
      <c r="VXL10" s="353"/>
      <c r="VXM10" s="353"/>
      <c r="VXN10" s="353"/>
      <c r="VXO10" s="353"/>
      <c r="VXP10" s="353"/>
      <c r="VXQ10" s="353"/>
      <c r="VXR10" s="353"/>
      <c r="VXS10" s="353"/>
      <c r="VXT10" s="353"/>
      <c r="VXU10" s="353"/>
      <c r="VXV10" s="353"/>
      <c r="VXW10" s="353"/>
      <c r="VXX10" s="353"/>
      <c r="VXY10" s="353"/>
      <c r="VXZ10" s="353"/>
      <c r="VYA10" s="353"/>
      <c r="VYB10" s="353"/>
      <c r="VYC10" s="353"/>
      <c r="VYD10" s="353"/>
      <c r="VYE10" s="353"/>
      <c r="VYF10" s="353"/>
      <c r="VYG10" s="353"/>
      <c r="VYH10" s="353"/>
      <c r="VYI10" s="353"/>
      <c r="VYJ10" s="353"/>
      <c r="VYK10" s="353"/>
      <c r="VYL10" s="353"/>
      <c r="VYM10" s="353"/>
      <c r="VYN10" s="353"/>
      <c r="VYO10" s="353"/>
      <c r="VYP10" s="353"/>
      <c r="VYQ10" s="353"/>
      <c r="VYR10" s="353"/>
      <c r="VYS10" s="353"/>
      <c r="VYT10" s="353"/>
      <c r="VYU10" s="353"/>
      <c r="VYV10" s="353"/>
      <c r="VYW10" s="353"/>
      <c r="VYX10" s="353"/>
      <c r="VYY10" s="353"/>
      <c r="VYZ10" s="353"/>
      <c r="VZA10" s="353"/>
      <c r="VZB10" s="353"/>
      <c r="VZC10" s="353"/>
      <c r="VZD10" s="353"/>
      <c r="VZE10" s="353"/>
      <c r="VZF10" s="353"/>
      <c r="VZG10" s="353"/>
      <c r="VZH10" s="353"/>
      <c r="VZI10" s="353"/>
      <c r="VZJ10" s="353"/>
      <c r="VZK10" s="353"/>
      <c r="VZL10" s="353"/>
      <c r="VZM10" s="353"/>
      <c r="VZN10" s="353"/>
      <c r="VZO10" s="353"/>
      <c r="VZP10" s="353"/>
      <c r="VZQ10" s="353"/>
      <c r="VZR10" s="353"/>
      <c r="VZS10" s="353"/>
      <c r="VZT10" s="353"/>
      <c r="VZU10" s="353"/>
      <c r="VZV10" s="353"/>
      <c r="VZW10" s="353"/>
      <c r="VZX10" s="353"/>
      <c r="VZY10" s="353"/>
      <c r="VZZ10" s="353"/>
      <c r="WAA10" s="353"/>
      <c r="WAB10" s="353"/>
      <c r="WAC10" s="353"/>
      <c r="WAD10" s="353"/>
      <c r="WAE10" s="353"/>
      <c r="WAF10" s="353"/>
      <c r="WAG10" s="353"/>
      <c r="WAH10" s="353"/>
      <c r="WAI10" s="353"/>
      <c r="WAJ10" s="353"/>
      <c r="WAK10" s="353"/>
      <c r="WAL10" s="353"/>
      <c r="WAM10" s="353"/>
      <c r="WAN10" s="353"/>
      <c r="WAO10" s="353"/>
      <c r="WAP10" s="353"/>
      <c r="WAQ10" s="353"/>
      <c r="WAR10" s="353"/>
      <c r="WAS10" s="353"/>
      <c r="WAT10" s="353"/>
      <c r="WAU10" s="353"/>
      <c r="WAV10" s="353"/>
      <c r="WAW10" s="353"/>
      <c r="WAX10" s="353"/>
      <c r="WAY10" s="353"/>
      <c r="WAZ10" s="353"/>
      <c r="WBA10" s="353"/>
      <c r="WBB10" s="353"/>
      <c r="WBC10" s="353"/>
      <c r="WBD10" s="353"/>
      <c r="WBE10" s="353"/>
      <c r="WBF10" s="353"/>
      <c r="WBG10" s="353"/>
      <c r="WBH10" s="353"/>
      <c r="WBI10" s="353"/>
      <c r="WBJ10" s="353"/>
      <c r="WBK10" s="353"/>
      <c r="WBL10" s="353"/>
      <c r="WBM10" s="353"/>
      <c r="WBN10" s="353"/>
      <c r="WBO10" s="353"/>
      <c r="WBP10" s="353"/>
      <c r="WBQ10" s="353"/>
      <c r="WBR10" s="353"/>
      <c r="WBS10" s="353"/>
      <c r="WBT10" s="353"/>
      <c r="WBU10" s="353"/>
      <c r="WBV10" s="353"/>
      <c r="WBW10" s="353"/>
      <c r="WBX10" s="353"/>
      <c r="WBY10" s="353"/>
      <c r="WBZ10" s="353"/>
      <c r="WCA10" s="353"/>
      <c r="WCB10" s="353"/>
      <c r="WCC10" s="353"/>
      <c r="WCD10" s="353"/>
      <c r="WCE10" s="353"/>
      <c r="WCF10" s="353"/>
      <c r="WCG10" s="353"/>
      <c r="WCH10" s="353"/>
      <c r="WCI10" s="353"/>
      <c r="WCJ10" s="353"/>
      <c r="WCK10" s="353"/>
      <c r="WCL10" s="353"/>
      <c r="WCM10" s="353"/>
      <c r="WCN10" s="353"/>
      <c r="WCO10" s="353"/>
      <c r="WCP10" s="353"/>
      <c r="WCQ10" s="353"/>
      <c r="WCR10" s="353"/>
      <c r="WCS10" s="353"/>
      <c r="WCT10" s="353"/>
      <c r="WCU10" s="353"/>
      <c r="WCV10" s="353"/>
      <c r="WCW10" s="353"/>
      <c r="WCX10" s="353"/>
      <c r="WCY10" s="353"/>
      <c r="WCZ10" s="353"/>
      <c r="WDA10" s="353"/>
      <c r="WDB10" s="353"/>
      <c r="WDC10" s="353"/>
      <c r="WDD10" s="353"/>
      <c r="WDE10" s="353"/>
      <c r="WDF10" s="353"/>
      <c r="WDG10" s="353"/>
      <c r="WDH10" s="353"/>
      <c r="WDI10" s="353"/>
      <c r="WDJ10" s="353"/>
      <c r="WDK10" s="353"/>
      <c r="WDL10" s="353"/>
      <c r="WDM10" s="353"/>
      <c r="WDN10" s="353"/>
      <c r="WDO10" s="353"/>
      <c r="WDP10" s="353"/>
      <c r="WDQ10" s="353"/>
      <c r="WDR10" s="353"/>
      <c r="WDS10" s="353"/>
      <c r="WDT10" s="353"/>
      <c r="WDU10" s="353"/>
      <c r="WDV10" s="353"/>
      <c r="WDW10" s="353"/>
      <c r="WDX10" s="353"/>
      <c r="WDY10" s="353"/>
      <c r="WDZ10" s="353"/>
      <c r="WEA10" s="353"/>
      <c r="WEB10" s="353"/>
      <c r="WEC10" s="353"/>
      <c r="WED10" s="353"/>
      <c r="WEE10" s="353"/>
      <c r="WEF10" s="353"/>
      <c r="WEG10" s="353"/>
      <c r="WEH10" s="353"/>
      <c r="WEI10" s="353"/>
      <c r="WEJ10" s="353"/>
      <c r="WEK10" s="353"/>
      <c r="WEL10" s="353"/>
      <c r="WEM10" s="353"/>
      <c r="WEN10" s="353"/>
      <c r="WEO10" s="353"/>
      <c r="WEP10" s="353"/>
      <c r="WEQ10" s="353"/>
      <c r="WER10" s="353"/>
      <c r="WES10" s="353"/>
      <c r="WET10" s="353"/>
      <c r="WEU10" s="353"/>
      <c r="WEV10" s="353"/>
      <c r="WEW10" s="353"/>
      <c r="WEX10" s="353"/>
      <c r="WEY10" s="353"/>
      <c r="WEZ10" s="353"/>
      <c r="WFA10" s="353"/>
      <c r="WFB10" s="353"/>
      <c r="WFC10" s="353"/>
      <c r="WFD10" s="353"/>
      <c r="WFE10" s="353"/>
      <c r="WFF10" s="353"/>
      <c r="WFG10" s="353"/>
      <c r="WFH10" s="353"/>
      <c r="WFI10" s="353"/>
      <c r="WFJ10" s="353"/>
      <c r="WFK10" s="353"/>
      <c r="WFL10" s="353"/>
      <c r="WFM10" s="353"/>
      <c r="WFN10" s="353"/>
      <c r="WFO10" s="353"/>
      <c r="WFP10" s="353"/>
      <c r="WFQ10" s="353"/>
      <c r="WFR10" s="353"/>
      <c r="WFS10" s="353"/>
      <c r="WFT10" s="353"/>
      <c r="WFU10" s="353"/>
      <c r="WFV10" s="353"/>
      <c r="WFW10" s="353"/>
      <c r="WFX10" s="353"/>
      <c r="WFY10" s="353"/>
      <c r="WFZ10" s="353"/>
      <c r="WGA10" s="353"/>
      <c r="WGB10" s="353"/>
      <c r="WGC10" s="353"/>
      <c r="WGD10" s="353"/>
      <c r="WGE10" s="353"/>
      <c r="WGF10" s="353"/>
      <c r="WGG10" s="353"/>
      <c r="WGH10" s="353"/>
      <c r="WGI10" s="353"/>
      <c r="WGJ10" s="353"/>
      <c r="WGK10" s="353"/>
      <c r="WGL10" s="353"/>
      <c r="WGM10" s="353"/>
      <c r="WGN10" s="353"/>
      <c r="WGO10" s="353"/>
      <c r="WGP10" s="353"/>
      <c r="WGQ10" s="353"/>
      <c r="WGR10" s="353"/>
      <c r="WGS10" s="353"/>
      <c r="WGT10" s="353"/>
      <c r="WGU10" s="353"/>
      <c r="WGV10" s="353"/>
      <c r="WGW10" s="353"/>
      <c r="WGX10" s="353"/>
      <c r="WGY10" s="353"/>
      <c r="WGZ10" s="353"/>
      <c r="WHA10" s="353"/>
      <c r="WHB10" s="353"/>
      <c r="WHC10" s="353"/>
      <c r="WHD10" s="353"/>
      <c r="WHE10" s="353"/>
      <c r="WHF10" s="353"/>
      <c r="WHG10" s="353"/>
      <c r="WHH10" s="353"/>
      <c r="WHI10" s="353"/>
      <c r="WHJ10" s="353"/>
      <c r="WHK10" s="353"/>
      <c r="WHL10" s="353"/>
      <c r="WHM10" s="353"/>
      <c r="WHN10" s="353"/>
      <c r="WHO10" s="353"/>
      <c r="WHP10" s="353"/>
      <c r="WHQ10" s="353"/>
      <c r="WHR10" s="353"/>
      <c r="WHS10" s="353"/>
      <c r="WHT10" s="353"/>
      <c r="WHU10" s="353"/>
      <c r="WHV10" s="353"/>
      <c r="WHW10" s="353"/>
      <c r="WHX10" s="353"/>
      <c r="WHY10" s="353"/>
      <c r="WHZ10" s="353"/>
      <c r="WIA10" s="353"/>
      <c r="WIB10" s="353"/>
      <c r="WIC10" s="353"/>
      <c r="WID10" s="353"/>
      <c r="WIE10" s="353"/>
      <c r="WIF10" s="353"/>
      <c r="WIG10" s="353"/>
      <c r="WIH10" s="353"/>
      <c r="WII10" s="353"/>
      <c r="WIJ10" s="353"/>
      <c r="WIK10" s="353"/>
      <c r="WIL10" s="353"/>
      <c r="WIM10" s="353"/>
      <c r="WIN10" s="353"/>
      <c r="WIO10" s="353"/>
      <c r="WIP10" s="353"/>
      <c r="WIQ10" s="353"/>
      <c r="WIR10" s="353"/>
      <c r="WIS10" s="353"/>
      <c r="WIT10" s="353"/>
      <c r="WIU10" s="353"/>
      <c r="WIV10" s="353"/>
      <c r="WIW10" s="353"/>
      <c r="WIX10" s="353"/>
      <c r="WIY10" s="353"/>
      <c r="WIZ10" s="353"/>
      <c r="WJA10" s="353"/>
      <c r="WJB10" s="353"/>
      <c r="WJC10" s="353"/>
      <c r="WJD10" s="353"/>
      <c r="WJE10" s="353"/>
      <c r="WJF10" s="353"/>
      <c r="WJG10" s="353"/>
      <c r="WJH10" s="353"/>
      <c r="WJI10" s="353"/>
      <c r="WJJ10" s="353"/>
      <c r="WJK10" s="353"/>
      <c r="WJL10" s="353"/>
      <c r="WJM10" s="353"/>
      <c r="WJN10" s="353"/>
      <c r="WJO10" s="353"/>
      <c r="WJP10" s="353"/>
      <c r="WJQ10" s="353"/>
      <c r="WJR10" s="353"/>
      <c r="WJS10" s="353"/>
      <c r="WJT10" s="353"/>
      <c r="WJU10" s="353"/>
      <c r="WJV10" s="353"/>
      <c r="WJW10" s="353"/>
      <c r="WJX10" s="353"/>
      <c r="WJY10" s="353"/>
      <c r="WJZ10" s="353"/>
      <c r="WKA10" s="353"/>
      <c r="WKB10" s="353"/>
      <c r="WKC10" s="353"/>
      <c r="WKD10" s="353"/>
      <c r="WKE10" s="353"/>
      <c r="WKF10" s="353"/>
      <c r="WKG10" s="353"/>
      <c r="WKH10" s="353"/>
      <c r="WKI10" s="353"/>
      <c r="WKJ10" s="353"/>
      <c r="WKK10" s="353"/>
      <c r="WKL10" s="353"/>
      <c r="WKM10" s="353"/>
      <c r="WKN10" s="353"/>
      <c r="WKO10" s="353"/>
      <c r="WKP10" s="353"/>
      <c r="WKQ10" s="353"/>
      <c r="WKR10" s="353"/>
      <c r="WKS10" s="353"/>
      <c r="WKT10" s="353"/>
      <c r="WKU10" s="353"/>
      <c r="WKV10" s="353"/>
      <c r="WKW10" s="353"/>
      <c r="WKX10" s="353"/>
      <c r="WKY10" s="353"/>
      <c r="WKZ10" s="353"/>
      <c r="WLA10" s="353"/>
      <c r="WLB10" s="353"/>
      <c r="WLC10" s="353"/>
      <c r="WLD10" s="353"/>
      <c r="WLE10" s="353"/>
      <c r="WLF10" s="353"/>
      <c r="WLG10" s="353"/>
      <c r="WLH10" s="353"/>
      <c r="WLI10" s="353"/>
      <c r="WLJ10" s="353"/>
      <c r="WLK10" s="353"/>
      <c r="WLL10" s="353"/>
      <c r="WLM10" s="353"/>
      <c r="WLN10" s="353"/>
      <c r="WLO10" s="353"/>
      <c r="WLP10" s="353"/>
      <c r="WLQ10" s="353"/>
      <c r="WLR10" s="353"/>
      <c r="WLS10" s="353"/>
      <c r="WLT10" s="353"/>
      <c r="WLU10" s="353"/>
      <c r="WLV10" s="353"/>
      <c r="WLW10" s="353"/>
      <c r="WLX10" s="353"/>
      <c r="WLY10" s="353"/>
      <c r="WLZ10" s="353"/>
      <c r="WMA10" s="353"/>
      <c r="WMB10" s="353"/>
      <c r="WMC10" s="353"/>
      <c r="WMD10" s="353"/>
      <c r="WME10" s="353"/>
      <c r="WMF10" s="353"/>
      <c r="WMG10" s="353"/>
      <c r="WMH10" s="353"/>
      <c r="WMI10" s="353"/>
      <c r="WMJ10" s="353"/>
      <c r="WMK10" s="353"/>
      <c r="WML10" s="353"/>
      <c r="WMM10" s="353"/>
      <c r="WMN10" s="353"/>
      <c r="WMO10" s="353"/>
      <c r="WMP10" s="353"/>
      <c r="WMQ10" s="353"/>
      <c r="WMR10" s="353"/>
      <c r="WMS10" s="353"/>
      <c r="WMT10" s="353"/>
      <c r="WMU10" s="353"/>
      <c r="WMV10" s="353"/>
      <c r="WMW10" s="353"/>
      <c r="WMX10" s="353"/>
      <c r="WMY10" s="353"/>
      <c r="WMZ10" s="353"/>
      <c r="WNA10" s="353"/>
      <c r="WNB10" s="353"/>
      <c r="WNC10" s="353"/>
      <c r="WND10" s="353"/>
      <c r="WNE10" s="353"/>
      <c r="WNF10" s="353"/>
      <c r="WNG10" s="353"/>
      <c r="WNH10" s="353"/>
      <c r="WNI10" s="353"/>
      <c r="WNJ10" s="353"/>
      <c r="WNK10" s="353"/>
      <c r="WNL10" s="353"/>
      <c r="WNM10" s="353"/>
      <c r="WNN10" s="353"/>
      <c r="WNO10" s="353"/>
      <c r="WNP10" s="353"/>
      <c r="WNQ10" s="353"/>
      <c r="WNR10" s="353"/>
      <c r="WNS10" s="353"/>
      <c r="WNT10" s="353"/>
      <c r="WNU10" s="353"/>
      <c r="WNV10" s="353"/>
      <c r="WNW10" s="353"/>
      <c r="WNX10" s="353"/>
      <c r="WNY10" s="353"/>
      <c r="WNZ10" s="353"/>
      <c r="WOA10" s="353"/>
      <c r="WOB10" s="353"/>
      <c r="WOC10" s="353"/>
      <c r="WOD10" s="353"/>
      <c r="WOE10" s="353"/>
      <c r="WOF10" s="353"/>
      <c r="WOG10" s="353"/>
      <c r="WOH10" s="353"/>
      <c r="WOI10" s="353"/>
      <c r="WOJ10" s="353"/>
      <c r="WOK10" s="353"/>
      <c r="WOL10" s="353"/>
      <c r="WOM10" s="353"/>
      <c r="WON10" s="353"/>
      <c r="WOO10" s="353"/>
      <c r="WOP10" s="353"/>
      <c r="WOQ10" s="353"/>
      <c r="WOR10" s="353"/>
      <c r="WOS10" s="353"/>
      <c r="WOT10" s="353"/>
      <c r="WOU10" s="353"/>
      <c r="WOV10" s="353"/>
      <c r="WOW10" s="353"/>
      <c r="WOX10" s="353"/>
      <c r="WOY10" s="353"/>
      <c r="WOZ10" s="353"/>
      <c r="WPA10" s="353"/>
      <c r="WPB10" s="353"/>
      <c r="WPC10" s="353"/>
      <c r="WPD10" s="353"/>
      <c r="WPE10" s="353"/>
      <c r="WPF10" s="353"/>
      <c r="WPG10" s="353"/>
      <c r="WPH10" s="353"/>
      <c r="WPI10" s="353"/>
      <c r="WPJ10" s="353"/>
      <c r="WPK10" s="353"/>
      <c r="WPL10" s="353"/>
      <c r="WPM10" s="353"/>
      <c r="WPN10" s="353"/>
      <c r="WPO10" s="353"/>
      <c r="WPP10" s="353"/>
      <c r="WPQ10" s="353"/>
      <c r="WPR10" s="353"/>
      <c r="WPS10" s="353"/>
      <c r="WPT10" s="353"/>
      <c r="WPU10" s="353"/>
      <c r="WPV10" s="353"/>
      <c r="WPW10" s="353"/>
      <c r="WPX10" s="353"/>
      <c r="WPY10" s="353"/>
      <c r="WPZ10" s="353"/>
      <c r="WQA10" s="353"/>
      <c r="WQB10" s="353"/>
      <c r="WQC10" s="353"/>
      <c r="WQD10" s="353"/>
      <c r="WQE10" s="353"/>
      <c r="WQF10" s="353"/>
      <c r="WQG10" s="353"/>
      <c r="WQH10" s="353"/>
      <c r="WQI10" s="353"/>
      <c r="WQJ10" s="353"/>
      <c r="WQK10" s="353"/>
      <c r="WQL10" s="353"/>
      <c r="WQM10" s="353"/>
      <c r="WQN10" s="353"/>
      <c r="WQO10" s="353"/>
      <c r="WQP10" s="353"/>
      <c r="WQQ10" s="353"/>
      <c r="WQR10" s="353"/>
      <c r="WQS10" s="353"/>
      <c r="WQT10" s="353"/>
      <c r="WQU10" s="353"/>
      <c r="WQV10" s="353"/>
      <c r="WQW10" s="353"/>
      <c r="WQX10" s="353"/>
      <c r="WQY10" s="353"/>
      <c r="WQZ10" s="353"/>
      <c r="WRA10" s="353"/>
      <c r="WRB10" s="353"/>
      <c r="WRC10" s="353"/>
      <c r="WRD10" s="353"/>
      <c r="WRE10" s="353"/>
      <c r="WRF10" s="353"/>
      <c r="WRG10" s="353"/>
      <c r="WRH10" s="353"/>
      <c r="WRI10" s="353"/>
      <c r="WRJ10" s="353"/>
      <c r="WRK10" s="353"/>
      <c r="WRL10" s="353"/>
      <c r="WRM10" s="353"/>
      <c r="WRN10" s="353"/>
      <c r="WRO10" s="353"/>
      <c r="WRP10" s="353"/>
      <c r="WRQ10" s="353"/>
      <c r="WRR10" s="353"/>
      <c r="WRS10" s="353"/>
      <c r="WRT10" s="353"/>
      <c r="WRU10" s="353"/>
      <c r="WRV10" s="353"/>
      <c r="WRW10" s="353"/>
      <c r="WRX10" s="353"/>
      <c r="WRY10" s="353"/>
      <c r="WRZ10" s="353"/>
      <c r="WSA10" s="353"/>
      <c r="WSB10" s="353"/>
      <c r="WSC10" s="353"/>
      <c r="WSD10" s="353"/>
      <c r="WSE10" s="353"/>
      <c r="WSF10" s="353"/>
      <c r="WSG10" s="353"/>
      <c r="WSH10" s="353"/>
      <c r="WSI10" s="353"/>
      <c r="WSJ10" s="353"/>
      <c r="WSK10" s="353"/>
      <c r="WSL10" s="353"/>
      <c r="WSM10" s="353"/>
      <c r="WSN10" s="353"/>
      <c r="WSO10" s="353"/>
      <c r="WSP10" s="353"/>
      <c r="WSQ10" s="353"/>
      <c r="WSR10" s="353"/>
      <c r="WSS10" s="353"/>
      <c r="WST10" s="353"/>
      <c r="WSU10" s="353"/>
      <c r="WSV10" s="353"/>
      <c r="WSW10" s="353"/>
      <c r="WSX10" s="353"/>
      <c r="WSY10" s="353"/>
      <c r="WSZ10" s="353"/>
      <c r="WTA10" s="353"/>
      <c r="WTB10" s="353"/>
      <c r="WTC10" s="353"/>
      <c r="WTD10" s="353"/>
      <c r="WTE10" s="353"/>
      <c r="WTF10" s="353"/>
      <c r="WTG10" s="353"/>
      <c r="WTH10" s="353"/>
      <c r="WTI10" s="353"/>
      <c r="WTJ10" s="353"/>
      <c r="WTK10" s="353"/>
      <c r="WTL10" s="353"/>
      <c r="WTM10" s="353"/>
      <c r="WTN10" s="353"/>
      <c r="WTO10" s="353"/>
      <c r="WTP10" s="353"/>
      <c r="WTQ10" s="353"/>
      <c r="WTR10" s="353"/>
      <c r="WTS10" s="353"/>
      <c r="WTT10" s="353"/>
      <c r="WTU10" s="353"/>
      <c r="WTV10" s="353"/>
      <c r="WTW10" s="353"/>
      <c r="WTX10" s="353"/>
      <c r="WTY10" s="353"/>
      <c r="WTZ10" s="353"/>
      <c r="WUA10" s="353"/>
      <c r="WUB10" s="353"/>
      <c r="WUC10" s="353"/>
      <c r="WUD10" s="353"/>
      <c r="WUE10" s="353"/>
      <c r="WUF10" s="353"/>
      <c r="WUG10" s="353"/>
      <c r="WUH10" s="353"/>
      <c r="WUI10" s="353"/>
      <c r="WUJ10" s="353"/>
      <c r="WUK10" s="353"/>
      <c r="WUL10" s="353"/>
      <c r="WUM10" s="353"/>
      <c r="WUN10" s="353"/>
      <c r="WUO10" s="353"/>
      <c r="WUP10" s="353"/>
      <c r="WUQ10" s="353"/>
      <c r="WUR10" s="353"/>
      <c r="WUS10" s="353"/>
      <c r="WUT10" s="353"/>
      <c r="WUU10" s="353"/>
      <c r="WUV10" s="353"/>
      <c r="WUW10" s="353"/>
      <c r="WUX10" s="353"/>
      <c r="WUY10" s="353"/>
      <c r="WUZ10" s="353"/>
      <c r="WVA10" s="353"/>
      <c r="WVB10" s="353"/>
      <c r="WVC10" s="353"/>
      <c r="WVD10" s="353"/>
      <c r="WVE10" s="353"/>
      <c r="WVF10" s="353"/>
      <c r="WVG10" s="353"/>
      <c r="WVH10" s="353"/>
      <c r="WVI10" s="353"/>
      <c r="WVJ10" s="353"/>
      <c r="WVK10" s="353"/>
      <c r="WVL10" s="353"/>
      <c r="WVM10" s="353"/>
      <c r="WVN10" s="353"/>
      <c r="WVO10" s="353"/>
      <c r="WVP10" s="353"/>
      <c r="WVQ10" s="353"/>
      <c r="WVR10" s="353"/>
      <c r="WVS10" s="353"/>
      <c r="WVT10" s="353"/>
      <c r="WVU10" s="353"/>
      <c r="WVV10" s="353"/>
      <c r="WVW10" s="353"/>
      <c r="WVX10" s="353"/>
      <c r="WVY10" s="353"/>
      <c r="WVZ10" s="353"/>
      <c r="WWA10" s="353"/>
      <c r="WWB10" s="353"/>
      <c r="WWC10" s="353"/>
      <c r="WWD10" s="353"/>
      <c r="WWE10" s="353"/>
      <c r="WWF10" s="353"/>
      <c r="WWG10" s="353"/>
      <c r="WWH10" s="353"/>
      <c r="WWI10" s="353"/>
      <c r="WWJ10" s="353"/>
      <c r="WWK10" s="353"/>
      <c r="WWL10" s="353"/>
      <c r="WWM10" s="353"/>
      <c r="WWN10" s="353"/>
      <c r="WWO10" s="353"/>
      <c r="WWP10" s="353"/>
      <c r="WWQ10" s="353"/>
      <c r="WWR10" s="353"/>
      <c r="WWS10" s="353"/>
      <c r="WWT10" s="353"/>
      <c r="WWU10" s="353"/>
      <c r="WWV10" s="353"/>
      <c r="WWW10" s="353"/>
      <c r="WWX10" s="353"/>
      <c r="WWY10" s="353"/>
      <c r="WWZ10" s="353"/>
      <c r="WXA10" s="353"/>
      <c r="WXB10" s="353"/>
      <c r="WXC10" s="353"/>
      <c r="WXD10" s="353"/>
      <c r="WXE10" s="353"/>
      <c r="WXF10" s="353"/>
      <c r="WXG10" s="353"/>
      <c r="WXH10" s="353"/>
      <c r="WXI10" s="353"/>
      <c r="WXJ10" s="353"/>
      <c r="WXK10" s="353"/>
      <c r="WXL10" s="353"/>
      <c r="WXM10" s="353"/>
      <c r="WXN10" s="353"/>
      <c r="WXO10" s="353"/>
      <c r="WXP10" s="353"/>
      <c r="WXQ10" s="353"/>
      <c r="WXR10" s="353"/>
      <c r="WXS10" s="353"/>
      <c r="WXT10" s="353"/>
      <c r="WXU10" s="353"/>
      <c r="WXV10" s="353"/>
      <c r="WXW10" s="353"/>
      <c r="WXX10" s="353"/>
      <c r="WXY10" s="353"/>
      <c r="WXZ10" s="353"/>
      <c r="WYA10" s="353"/>
      <c r="WYB10" s="353"/>
      <c r="WYC10" s="353"/>
      <c r="WYD10" s="353"/>
      <c r="WYE10" s="353"/>
      <c r="WYF10" s="353"/>
      <c r="WYG10" s="353"/>
      <c r="WYH10" s="353"/>
      <c r="WYI10" s="353"/>
      <c r="WYJ10" s="353"/>
      <c r="WYK10" s="353"/>
      <c r="WYL10" s="353"/>
      <c r="WYM10" s="353"/>
      <c r="WYN10" s="353"/>
      <c r="WYO10" s="353"/>
      <c r="WYP10" s="353"/>
      <c r="WYQ10" s="353"/>
      <c r="WYR10" s="353"/>
      <c r="WYS10" s="353"/>
      <c r="WYT10" s="353"/>
      <c r="WYU10" s="353"/>
      <c r="WYV10" s="353"/>
      <c r="WYW10" s="353"/>
      <c r="WYX10" s="353"/>
      <c r="WYY10" s="353"/>
      <c r="WYZ10" s="353"/>
      <c r="WZA10" s="353"/>
      <c r="WZB10" s="353"/>
      <c r="WZC10" s="353"/>
      <c r="WZD10" s="353"/>
      <c r="WZE10" s="353"/>
      <c r="WZF10" s="353"/>
      <c r="WZG10" s="353"/>
      <c r="WZH10" s="353"/>
      <c r="WZI10" s="353"/>
      <c r="WZJ10" s="353"/>
      <c r="WZK10" s="353"/>
      <c r="WZL10" s="353"/>
      <c r="WZM10" s="353"/>
      <c r="WZN10" s="353"/>
      <c r="WZO10" s="353"/>
      <c r="WZP10" s="353"/>
      <c r="WZQ10" s="353"/>
      <c r="WZR10" s="353"/>
      <c r="WZS10" s="353"/>
      <c r="WZT10" s="353"/>
      <c r="WZU10" s="353"/>
      <c r="WZV10" s="353"/>
      <c r="WZW10" s="353"/>
      <c r="WZX10" s="353"/>
      <c r="WZY10" s="353"/>
      <c r="WZZ10" s="353"/>
      <c r="XAA10" s="353"/>
      <c r="XAB10" s="353"/>
      <c r="XAC10" s="353"/>
      <c r="XAD10" s="353"/>
      <c r="XAE10" s="353"/>
      <c r="XAF10" s="353"/>
      <c r="XAG10" s="353"/>
      <c r="XAH10" s="353"/>
      <c r="XAI10" s="353"/>
      <c r="XAJ10" s="353"/>
      <c r="XAK10" s="353"/>
      <c r="XAL10" s="353"/>
      <c r="XAM10" s="353"/>
      <c r="XAN10" s="353"/>
      <c r="XAO10" s="353"/>
      <c r="XAP10" s="353"/>
      <c r="XAQ10" s="353"/>
      <c r="XAR10" s="353"/>
      <c r="XAS10" s="353"/>
      <c r="XAT10" s="353"/>
      <c r="XAU10" s="353"/>
      <c r="XAV10" s="353"/>
      <c r="XAW10" s="353"/>
      <c r="XAX10" s="353"/>
      <c r="XAY10" s="353"/>
      <c r="XAZ10" s="353"/>
      <c r="XBA10" s="353"/>
      <c r="XBB10" s="353"/>
      <c r="XBC10" s="353"/>
      <c r="XBD10" s="353"/>
      <c r="XBE10" s="353"/>
      <c r="XBF10" s="353"/>
      <c r="XBG10" s="353"/>
      <c r="XBH10" s="353"/>
      <c r="XBI10" s="353"/>
      <c r="XBJ10" s="353"/>
      <c r="XBK10" s="353"/>
      <c r="XBL10" s="353"/>
      <c r="XBM10" s="353"/>
      <c r="XBN10" s="353"/>
      <c r="XBO10" s="353"/>
      <c r="XBP10" s="353"/>
      <c r="XBQ10" s="353"/>
      <c r="XBR10" s="353"/>
      <c r="XBS10" s="353"/>
      <c r="XBT10" s="353"/>
      <c r="XBU10" s="353"/>
      <c r="XBV10" s="353"/>
      <c r="XBW10" s="353"/>
      <c r="XBX10" s="353"/>
      <c r="XBY10" s="353"/>
      <c r="XBZ10" s="353"/>
      <c r="XCA10" s="353"/>
      <c r="XCB10" s="353"/>
      <c r="XCC10" s="353"/>
      <c r="XCD10" s="353"/>
      <c r="XCE10" s="353"/>
      <c r="XCF10" s="353"/>
      <c r="XCG10" s="353"/>
      <c r="XCH10" s="353"/>
      <c r="XCI10" s="353"/>
      <c r="XCJ10" s="353"/>
      <c r="XCK10" s="353"/>
      <c r="XCL10" s="353"/>
      <c r="XCM10" s="353"/>
      <c r="XCN10" s="353"/>
      <c r="XCO10" s="353"/>
      <c r="XCP10" s="353"/>
      <c r="XCQ10" s="353"/>
      <c r="XCR10" s="353"/>
      <c r="XCS10" s="353"/>
      <c r="XCT10" s="353"/>
      <c r="XCU10" s="353"/>
      <c r="XCV10" s="353"/>
      <c r="XCW10" s="353"/>
      <c r="XCX10" s="353"/>
      <c r="XCY10" s="353"/>
      <c r="XCZ10" s="353"/>
      <c r="XDA10" s="353"/>
      <c r="XDB10" s="353"/>
      <c r="XDC10" s="353"/>
      <c r="XDD10" s="353"/>
      <c r="XDE10" s="353"/>
      <c r="XDF10" s="353"/>
      <c r="XDG10" s="353"/>
      <c r="XDH10" s="353"/>
      <c r="XDI10" s="353"/>
      <c r="XDJ10" s="353"/>
      <c r="XDK10" s="353"/>
      <c r="XDL10" s="353"/>
      <c r="XDM10" s="353"/>
      <c r="XDN10" s="353"/>
      <c r="XDO10" s="353"/>
      <c r="XDP10" s="353"/>
      <c r="XDQ10" s="353"/>
      <c r="XDR10" s="353"/>
      <c r="XDS10" s="353"/>
      <c r="XDT10" s="353"/>
      <c r="XDU10" s="353"/>
      <c r="XDV10" s="353"/>
      <c r="XDW10" s="353"/>
      <c r="XDX10" s="353"/>
      <c r="XDY10" s="353"/>
      <c r="XDZ10" s="353"/>
      <c r="XEA10" s="353"/>
      <c r="XEB10" s="353"/>
      <c r="XEC10" s="353"/>
      <c r="XED10" s="353"/>
      <c r="XEE10" s="353"/>
      <c r="XEF10" s="353"/>
      <c r="XEG10" s="353"/>
      <c r="XEH10" s="353"/>
      <c r="XEI10" s="353"/>
      <c r="XEJ10" s="353"/>
      <c r="XEK10" s="353"/>
      <c r="XEL10" s="353"/>
      <c r="XEM10" s="353"/>
      <c r="XEN10" s="353"/>
      <c r="XEO10" s="353"/>
      <c r="XEP10" s="353"/>
      <c r="XEQ10" s="353"/>
      <c r="XER10" s="353"/>
      <c r="XES10" s="353"/>
      <c r="XET10" s="353"/>
      <c r="XEU10" s="353"/>
      <c r="XEV10" s="353"/>
      <c r="XEW10" s="353"/>
      <c r="XEX10" s="353"/>
      <c r="XEY10" s="353"/>
      <c r="XEZ10" s="353"/>
      <c r="XFA10" s="353"/>
      <c r="XFB10" s="353"/>
      <c r="XFC10" s="353"/>
      <c r="XFD10" s="353"/>
    </row>
    <row r="11" spans="1:16384" ht="30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</row>
    <row r="12" spans="1:16384" ht="30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</row>
    <row r="13" spans="1:16384" ht="30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</row>
    <row r="14" spans="1:16384" ht="30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</row>
    <row r="15" spans="1:16384" ht="30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</row>
    <row r="16" spans="1:16384" ht="30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</row>
    <row r="17" spans="1:10" ht="30" customHeight="1"/>
    <row r="18" spans="1:10" ht="30" customHeight="1">
      <c r="A18" s="351">
        <f ca="1">TODAY()</f>
        <v>46104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 ht="24" customHeight="1"/>
    <row r="20" spans="1:10" ht="30" customHeight="1"/>
    <row r="21" spans="1:10" ht="20.100000000000001" customHeight="1"/>
    <row r="22" spans="1:10" ht="24.95" customHeight="1"/>
    <row r="23" spans="1:10" ht="9.9499999999999993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</row>
    <row r="24" spans="1:10" s="77" customFormat="1" ht="17.100000000000001" customHeight="1">
      <c r="A24" s="191" t="s">
        <v>3</v>
      </c>
      <c r="B24" s="78"/>
      <c r="C24" s="78"/>
      <c r="D24" s="78"/>
      <c r="E24" s="78"/>
      <c r="F24" s="78"/>
      <c r="G24" s="78"/>
      <c r="H24" s="78"/>
      <c r="I24" s="78"/>
      <c r="J24" s="78"/>
    </row>
    <row r="25" spans="1:10" s="77" customFormat="1" ht="17.100000000000001" customHeight="1">
      <c r="A25" s="348" t="s">
        <v>4</v>
      </c>
      <c r="B25" s="349"/>
      <c r="C25" s="349"/>
      <c r="D25" s="349"/>
      <c r="E25" s="349"/>
      <c r="F25" s="349"/>
      <c r="G25" s="349"/>
      <c r="H25" s="189"/>
      <c r="I25" s="189"/>
      <c r="J25" s="190" t="s">
        <v>5</v>
      </c>
    </row>
    <row r="26" spans="1:10" s="77" customFormat="1" ht="17.100000000000001" customHeight="1">
      <c r="A26" s="348" t="s">
        <v>6</v>
      </c>
      <c r="B26" s="349"/>
      <c r="C26" s="349"/>
      <c r="D26" s="349"/>
      <c r="E26" s="349"/>
      <c r="F26" s="349"/>
      <c r="G26" s="349"/>
      <c r="H26" s="189"/>
      <c r="I26" s="189"/>
      <c r="J26" s="190" t="s">
        <v>7</v>
      </c>
    </row>
    <row r="27" spans="1:10" s="77" customFormat="1" ht="13.5" customHeight="1">
      <c r="A27" s="348" t="s">
        <v>8</v>
      </c>
      <c r="B27" s="349"/>
      <c r="C27" s="349"/>
      <c r="D27" s="349"/>
      <c r="E27" s="349"/>
      <c r="F27" s="349"/>
      <c r="G27" s="349"/>
      <c r="H27" s="189"/>
      <c r="I27" s="189"/>
      <c r="J27" s="190" t="s">
        <v>9</v>
      </c>
    </row>
    <row r="28" spans="1:10" ht="13.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</row>
    <row r="29" spans="1:10" ht="30" hidden="1" customHeight="1">
      <c r="D29" t="s">
        <v>10</v>
      </c>
    </row>
  </sheetData>
  <mergeCells count="3283">
    <mergeCell ref="XEL10:XEP10"/>
    <mergeCell ref="XEQ10:XEU10"/>
    <mergeCell ref="XEV10:XEZ10"/>
    <mergeCell ref="XFA10:XFD10"/>
    <mergeCell ref="A10:J10"/>
    <mergeCell ref="XDM10:XDQ10"/>
    <mergeCell ref="XDR10:XDV10"/>
    <mergeCell ref="XDW10:XEA10"/>
    <mergeCell ref="XEB10:XEF10"/>
    <mergeCell ref="XEG10:XEK10"/>
    <mergeCell ref="XCN10:XCR10"/>
    <mergeCell ref="XCS10:XCW10"/>
    <mergeCell ref="XCX10:XDB10"/>
    <mergeCell ref="XDC10:XDG10"/>
    <mergeCell ref="XDH10:XDL10"/>
    <mergeCell ref="XBO10:XBS10"/>
    <mergeCell ref="XBT10:XBX10"/>
    <mergeCell ref="XBY10:XCC10"/>
    <mergeCell ref="XCD10:XCH10"/>
    <mergeCell ref="XCI10:XCM10"/>
    <mergeCell ref="XAP10:XAT10"/>
    <mergeCell ref="XAU10:XAY10"/>
    <mergeCell ref="XAZ10:XBD10"/>
    <mergeCell ref="XBE10:XBI10"/>
    <mergeCell ref="XBJ10:XBN10"/>
    <mergeCell ref="WZQ10:WZU10"/>
    <mergeCell ref="WZV10:WZZ10"/>
    <mergeCell ref="XAA10:XAE10"/>
    <mergeCell ref="XAF10:XAJ10"/>
    <mergeCell ref="XAK10:XAO10"/>
    <mergeCell ref="WYR10:WYV10"/>
    <mergeCell ref="WYW10:WZA10"/>
    <mergeCell ref="WZB10:WZF10"/>
    <mergeCell ref="WZG10:WZK10"/>
    <mergeCell ref="WZL10:WZP10"/>
    <mergeCell ref="WXS10:WXW10"/>
    <mergeCell ref="WXX10:WYB10"/>
    <mergeCell ref="WYC10:WYG10"/>
    <mergeCell ref="WYH10:WYL10"/>
    <mergeCell ref="WYM10:WYQ10"/>
    <mergeCell ref="WWT10:WWX10"/>
    <mergeCell ref="WWY10:WXC10"/>
    <mergeCell ref="WXD10:WXH10"/>
    <mergeCell ref="WXI10:WXM10"/>
    <mergeCell ref="WXN10:WXR10"/>
    <mergeCell ref="WVU10:WVY10"/>
    <mergeCell ref="WVZ10:WWD10"/>
    <mergeCell ref="WWE10:WWI10"/>
    <mergeCell ref="WWJ10:WWN10"/>
    <mergeCell ref="WWO10:WWS10"/>
    <mergeCell ref="WUV10:WUZ10"/>
    <mergeCell ref="WVA10:WVE10"/>
    <mergeCell ref="WVF10:WVJ10"/>
    <mergeCell ref="WVK10:WVO10"/>
    <mergeCell ref="WVP10:WVT10"/>
    <mergeCell ref="WTW10:WUA10"/>
    <mergeCell ref="WUB10:WUF10"/>
    <mergeCell ref="WUG10:WUK10"/>
    <mergeCell ref="WUL10:WUP10"/>
    <mergeCell ref="WUQ10:WUU10"/>
    <mergeCell ref="WSX10:WTB10"/>
    <mergeCell ref="WTC10:WTG10"/>
    <mergeCell ref="WTH10:WTL10"/>
    <mergeCell ref="WTM10:WTQ10"/>
    <mergeCell ref="WTR10:WTV10"/>
    <mergeCell ref="WRY10:WSC10"/>
    <mergeCell ref="WSD10:WSH10"/>
    <mergeCell ref="WSI10:WSM10"/>
    <mergeCell ref="WSN10:WSR10"/>
    <mergeCell ref="WSS10:WSW10"/>
    <mergeCell ref="WQZ10:WRD10"/>
    <mergeCell ref="WRE10:WRI10"/>
    <mergeCell ref="WRJ10:WRN10"/>
    <mergeCell ref="WRO10:WRS10"/>
    <mergeCell ref="WRT10:WRX10"/>
    <mergeCell ref="WQA10:WQE10"/>
    <mergeCell ref="WQF10:WQJ10"/>
    <mergeCell ref="WQK10:WQO10"/>
    <mergeCell ref="WQP10:WQT10"/>
    <mergeCell ref="WQU10:WQY10"/>
    <mergeCell ref="WPB10:WPF10"/>
    <mergeCell ref="WPG10:WPK10"/>
    <mergeCell ref="WPL10:WPP10"/>
    <mergeCell ref="WPQ10:WPU10"/>
    <mergeCell ref="WPV10:WPZ10"/>
    <mergeCell ref="WOC10:WOG10"/>
    <mergeCell ref="WOH10:WOL10"/>
    <mergeCell ref="WOM10:WOQ10"/>
    <mergeCell ref="WOR10:WOV10"/>
    <mergeCell ref="WOW10:WPA10"/>
    <mergeCell ref="WND10:WNH10"/>
    <mergeCell ref="WNI10:WNM10"/>
    <mergeCell ref="WNN10:WNR10"/>
    <mergeCell ref="WNS10:WNW10"/>
    <mergeCell ref="WNX10:WOB10"/>
    <mergeCell ref="WME10:WMI10"/>
    <mergeCell ref="WMJ10:WMN10"/>
    <mergeCell ref="WMO10:WMS10"/>
    <mergeCell ref="WMT10:WMX10"/>
    <mergeCell ref="WMY10:WNC10"/>
    <mergeCell ref="WLF10:WLJ10"/>
    <mergeCell ref="WLK10:WLO10"/>
    <mergeCell ref="WLP10:WLT10"/>
    <mergeCell ref="WLU10:WLY10"/>
    <mergeCell ref="WLZ10:WMD10"/>
    <mergeCell ref="WKG10:WKK10"/>
    <mergeCell ref="WKL10:WKP10"/>
    <mergeCell ref="WKQ10:WKU10"/>
    <mergeCell ref="WKV10:WKZ10"/>
    <mergeCell ref="WLA10:WLE10"/>
    <mergeCell ref="WJH10:WJL10"/>
    <mergeCell ref="WJM10:WJQ10"/>
    <mergeCell ref="WJR10:WJV10"/>
    <mergeCell ref="WJW10:WKA10"/>
    <mergeCell ref="WKB10:WKF10"/>
    <mergeCell ref="WII10:WIM10"/>
    <mergeCell ref="WIN10:WIR10"/>
    <mergeCell ref="WIS10:WIW10"/>
    <mergeCell ref="WIX10:WJB10"/>
    <mergeCell ref="WJC10:WJG10"/>
    <mergeCell ref="WHJ10:WHN10"/>
    <mergeCell ref="WHO10:WHS10"/>
    <mergeCell ref="WHT10:WHX10"/>
    <mergeCell ref="WHY10:WIC10"/>
    <mergeCell ref="WID10:WIH10"/>
    <mergeCell ref="WGK10:WGO10"/>
    <mergeCell ref="WGP10:WGT10"/>
    <mergeCell ref="WGU10:WGY10"/>
    <mergeCell ref="WGZ10:WHD10"/>
    <mergeCell ref="WHE10:WHI10"/>
    <mergeCell ref="WFL10:WFP10"/>
    <mergeCell ref="WFQ10:WFU10"/>
    <mergeCell ref="WFV10:WFZ10"/>
    <mergeCell ref="WGA10:WGE10"/>
    <mergeCell ref="WGF10:WGJ10"/>
    <mergeCell ref="WEM10:WEQ10"/>
    <mergeCell ref="WER10:WEV10"/>
    <mergeCell ref="WEW10:WFA10"/>
    <mergeCell ref="WFB10:WFF10"/>
    <mergeCell ref="WFG10:WFK10"/>
    <mergeCell ref="WDN10:WDR10"/>
    <mergeCell ref="WDS10:WDW10"/>
    <mergeCell ref="WDX10:WEB10"/>
    <mergeCell ref="WEC10:WEG10"/>
    <mergeCell ref="WEH10:WEL10"/>
    <mergeCell ref="WCO10:WCS10"/>
    <mergeCell ref="WCT10:WCX10"/>
    <mergeCell ref="WCY10:WDC10"/>
    <mergeCell ref="WDD10:WDH10"/>
    <mergeCell ref="WDI10:WDM10"/>
    <mergeCell ref="WBP10:WBT10"/>
    <mergeCell ref="WBU10:WBY10"/>
    <mergeCell ref="WBZ10:WCD10"/>
    <mergeCell ref="WCE10:WCI10"/>
    <mergeCell ref="WCJ10:WCN10"/>
    <mergeCell ref="WAQ10:WAU10"/>
    <mergeCell ref="WAV10:WAZ10"/>
    <mergeCell ref="WBA10:WBE10"/>
    <mergeCell ref="WBF10:WBJ10"/>
    <mergeCell ref="WBK10:WBO10"/>
    <mergeCell ref="VZR10:VZV10"/>
    <mergeCell ref="VZW10:WAA10"/>
    <mergeCell ref="WAB10:WAF10"/>
    <mergeCell ref="WAG10:WAK10"/>
    <mergeCell ref="WAL10:WAP10"/>
    <mergeCell ref="VYS10:VYW10"/>
    <mergeCell ref="VYX10:VZB10"/>
    <mergeCell ref="VZC10:VZG10"/>
    <mergeCell ref="VZH10:VZL10"/>
    <mergeCell ref="VZM10:VZQ10"/>
    <mergeCell ref="VXT10:VXX10"/>
    <mergeCell ref="VXY10:VYC10"/>
    <mergeCell ref="VYD10:VYH10"/>
    <mergeCell ref="VYI10:VYM10"/>
    <mergeCell ref="VYN10:VYR10"/>
    <mergeCell ref="VWU10:VWY10"/>
    <mergeCell ref="VWZ10:VXD10"/>
    <mergeCell ref="VXE10:VXI10"/>
    <mergeCell ref="VXJ10:VXN10"/>
    <mergeCell ref="VXO10:VXS10"/>
    <mergeCell ref="VVV10:VVZ10"/>
    <mergeCell ref="VWA10:VWE10"/>
    <mergeCell ref="VWF10:VWJ10"/>
    <mergeCell ref="VWK10:VWO10"/>
    <mergeCell ref="VWP10:VWT10"/>
    <mergeCell ref="VUW10:VVA10"/>
    <mergeCell ref="VVB10:VVF10"/>
    <mergeCell ref="VVG10:VVK10"/>
    <mergeCell ref="VVL10:VVP10"/>
    <mergeCell ref="VVQ10:VVU10"/>
    <mergeCell ref="VTX10:VUB10"/>
    <mergeCell ref="VUC10:VUG10"/>
    <mergeCell ref="VUH10:VUL10"/>
    <mergeCell ref="VUM10:VUQ10"/>
    <mergeCell ref="VUR10:VUV10"/>
    <mergeCell ref="VSY10:VTC10"/>
    <mergeCell ref="VTD10:VTH10"/>
    <mergeCell ref="VTI10:VTM10"/>
    <mergeCell ref="VTN10:VTR10"/>
    <mergeCell ref="VTS10:VTW10"/>
    <mergeCell ref="VRZ10:VSD10"/>
    <mergeCell ref="VSE10:VSI10"/>
    <mergeCell ref="VSJ10:VSN10"/>
    <mergeCell ref="VSO10:VSS10"/>
    <mergeCell ref="VST10:VSX10"/>
    <mergeCell ref="VRA10:VRE10"/>
    <mergeCell ref="VRF10:VRJ10"/>
    <mergeCell ref="VRK10:VRO10"/>
    <mergeCell ref="VRP10:VRT10"/>
    <mergeCell ref="VRU10:VRY10"/>
    <mergeCell ref="VQB10:VQF10"/>
    <mergeCell ref="VQG10:VQK10"/>
    <mergeCell ref="VQL10:VQP10"/>
    <mergeCell ref="VQQ10:VQU10"/>
    <mergeCell ref="VQV10:VQZ10"/>
    <mergeCell ref="VPC10:VPG10"/>
    <mergeCell ref="VPH10:VPL10"/>
    <mergeCell ref="VPM10:VPQ10"/>
    <mergeCell ref="VPR10:VPV10"/>
    <mergeCell ref="VPW10:VQA10"/>
    <mergeCell ref="VOD10:VOH10"/>
    <mergeCell ref="VOI10:VOM10"/>
    <mergeCell ref="VON10:VOR10"/>
    <mergeCell ref="VOS10:VOW10"/>
    <mergeCell ref="VOX10:VPB10"/>
    <mergeCell ref="VNE10:VNI10"/>
    <mergeCell ref="VNJ10:VNN10"/>
    <mergeCell ref="VNO10:VNS10"/>
    <mergeCell ref="VNT10:VNX10"/>
    <mergeCell ref="VNY10:VOC10"/>
    <mergeCell ref="VMF10:VMJ10"/>
    <mergeCell ref="VMK10:VMO10"/>
    <mergeCell ref="VMP10:VMT10"/>
    <mergeCell ref="VMU10:VMY10"/>
    <mergeCell ref="VMZ10:VND10"/>
    <mergeCell ref="VLG10:VLK10"/>
    <mergeCell ref="VLL10:VLP10"/>
    <mergeCell ref="VLQ10:VLU10"/>
    <mergeCell ref="VLV10:VLZ10"/>
    <mergeCell ref="VMA10:VME10"/>
    <mergeCell ref="VKH10:VKL10"/>
    <mergeCell ref="VKM10:VKQ10"/>
    <mergeCell ref="VKR10:VKV10"/>
    <mergeCell ref="VKW10:VLA10"/>
    <mergeCell ref="VLB10:VLF10"/>
    <mergeCell ref="VJI10:VJM10"/>
    <mergeCell ref="VJN10:VJR10"/>
    <mergeCell ref="VJS10:VJW10"/>
    <mergeCell ref="VJX10:VKB10"/>
    <mergeCell ref="VKC10:VKG10"/>
    <mergeCell ref="VIJ10:VIN10"/>
    <mergeCell ref="VIO10:VIS10"/>
    <mergeCell ref="VIT10:VIX10"/>
    <mergeCell ref="VIY10:VJC10"/>
    <mergeCell ref="VJD10:VJH10"/>
    <mergeCell ref="VHK10:VHO10"/>
    <mergeCell ref="VHP10:VHT10"/>
    <mergeCell ref="VHU10:VHY10"/>
    <mergeCell ref="VHZ10:VID10"/>
    <mergeCell ref="VIE10:VII10"/>
    <mergeCell ref="VGL10:VGP10"/>
    <mergeCell ref="VGQ10:VGU10"/>
    <mergeCell ref="VGV10:VGZ10"/>
    <mergeCell ref="VHA10:VHE10"/>
    <mergeCell ref="VHF10:VHJ10"/>
    <mergeCell ref="VFM10:VFQ10"/>
    <mergeCell ref="VFR10:VFV10"/>
    <mergeCell ref="VFW10:VGA10"/>
    <mergeCell ref="VGB10:VGF10"/>
    <mergeCell ref="VGG10:VGK10"/>
    <mergeCell ref="VEN10:VER10"/>
    <mergeCell ref="VES10:VEW10"/>
    <mergeCell ref="VEX10:VFB10"/>
    <mergeCell ref="VFC10:VFG10"/>
    <mergeCell ref="VFH10:VFL10"/>
    <mergeCell ref="VDO10:VDS10"/>
    <mergeCell ref="VDT10:VDX10"/>
    <mergeCell ref="VDY10:VEC10"/>
    <mergeCell ref="VED10:VEH10"/>
    <mergeCell ref="VEI10:VEM10"/>
    <mergeCell ref="VCP10:VCT10"/>
    <mergeCell ref="VCU10:VCY10"/>
    <mergeCell ref="VCZ10:VDD10"/>
    <mergeCell ref="VDE10:VDI10"/>
    <mergeCell ref="VDJ10:VDN10"/>
    <mergeCell ref="VBQ10:VBU10"/>
    <mergeCell ref="VBV10:VBZ10"/>
    <mergeCell ref="VCA10:VCE10"/>
    <mergeCell ref="VCF10:VCJ10"/>
    <mergeCell ref="VCK10:VCO10"/>
    <mergeCell ref="VAR10:VAV10"/>
    <mergeCell ref="VAW10:VBA10"/>
    <mergeCell ref="VBB10:VBF10"/>
    <mergeCell ref="VBG10:VBK10"/>
    <mergeCell ref="VBL10:VBP10"/>
    <mergeCell ref="UZS10:UZW10"/>
    <mergeCell ref="UZX10:VAB10"/>
    <mergeCell ref="VAC10:VAG10"/>
    <mergeCell ref="VAH10:VAL10"/>
    <mergeCell ref="VAM10:VAQ10"/>
    <mergeCell ref="UYT10:UYX10"/>
    <mergeCell ref="UYY10:UZC10"/>
    <mergeCell ref="UZD10:UZH10"/>
    <mergeCell ref="UZI10:UZM10"/>
    <mergeCell ref="UZN10:UZR10"/>
    <mergeCell ref="UXU10:UXY10"/>
    <mergeCell ref="UXZ10:UYD10"/>
    <mergeCell ref="UYE10:UYI10"/>
    <mergeCell ref="UYJ10:UYN10"/>
    <mergeCell ref="UYO10:UYS10"/>
    <mergeCell ref="UWV10:UWZ10"/>
    <mergeCell ref="UXA10:UXE10"/>
    <mergeCell ref="UXF10:UXJ10"/>
    <mergeCell ref="UXK10:UXO10"/>
    <mergeCell ref="UXP10:UXT10"/>
    <mergeCell ref="UVW10:UWA10"/>
    <mergeCell ref="UWB10:UWF10"/>
    <mergeCell ref="UWG10:UWK10"/>
    <mergeCell ref="UWL10:UWP10"/>
    <mergeCell ref="UWQ10:UWU10"/>
    <mergeCell ref="UUX10:UVB10"/>
    <mergeCell ref="UVC10:UVG10"/>
    <mergeCell ref="UVH10:UVL10"/>
    <mergeCell ref="UVM10:UVQ10"/>
    <mergeCell ref="UVR10:UVV10"/>
    <mergeCell ref="UTY10:UUC10"/>
    <mergeCell ref="UUD10:UUH10"/>
    <mergeCell ref="UUI10:UUM10"/>
    <mergeCell ref="UUN10:UUR10"/>
    <mergeCell ref="UUS10:UUW10"/>
    <mergeCell ref="USZ10:UTD10"/>
    <mergeCell ref="UTE10:UTI10"/>
    <mergeCell ref="UTJ10:UTN10"/>
    <mergeCell ref="UTO10:UTS10"/>
    <mergeCell ref="UTT10:UTX10"/>
    <mergeCell ref="USA10:USE10"/>
    <mergeCell ref="USF10:USJ10"/>
    <mergeCell ref="USK10:USO10"/>
    <mergeCell ref="USP10:UST10"/>
    <mergeCell ref="USU10:USY10"/>
    <mergeCell ref="URB10:URF10"/>
    <mergeCell ref="URG10:URK10"/>
    <mergeCell ref="URL10:URP10"/>
    <mergeCell ref="URQ10:URU10"/>
    <mergeCell ref="URV10:URZ10"/>
    <mergeCell ref="UQC10:UQG10"/>
    <mergeCell ref="UQH10:UQL10"/>
    <mergeCell ref="UQM10:UQQ10"/>
    <mergeCell ref="UQR10:UQV10"/>
    <mergeCell ref="UQW10:URA10"/>
    <mergeCell ref="UPD10:UPH10"/>
    <mergeCell ref="UPI10:UPM10"/>
    <mergeCell ref="UPN10:UPR10"/>
    <mergeCell ref="UPS10:UPW10"/>
    <mergeCell ref="UPX10:UQB10"/>
    <mergeCell ref="UOE10:UOI10"/>
    <mergeCell ref="UOJ10:UON10"/>
    <mergeCell ref="UOO10:UOS10"/>
    <mergeCell ref="UOT10:UOX10"/>
    <mergeCell ref="UOY10:UPC10"/>
    <mergeCell ref="UNF10:UNJ10"/>
    <mergeCell ref="UNK10:UNO10"/>
    <mergeCell ref="UNP10:UNT10"/>
    <mergeCell ref="UNU10:UNY10"/>
    <mergeCell ref="UNZ10:UOD10"/>
    <mergeCell ref="UMG10:UMK10"/>
    <mergeCell ref="UML10:UMP10"/>
    <mergeCell ref="UMQ10:UMU10"/>
    <mergeCell ref="UMV10:UMZ10"/>
    <mergeCell ref="UNA10:UNE10"/>
    <mergeCell ref="ULH10:ULL10"/>
    <mergeCell ref="ULM10:ULQ10"/>
    <mergeCell ref="ULR10:ULV10"/>
    <mergeCell ref="ULW10:UMA10"/>
    <mergeCell ref="UMB10:UMF10"/>
    <mergeCell ref="UKI10:UKM10"/>
    <mergeCell ref="UKN10:UKR10"/>
    <mergeCell ref="UKS10:UKW10"/>
    <mergeCell ref="UKX10:ULB10"/>
    <mergeCell ref="ULC10:ULG10"/>
    <mergeCell ref="UJJ10:UJN10"/>
    <mergeCell ref="UJO10:UJS10"/>
    <mergeCell ref="UJT10:UJX10"/>
    <mergeCell ref="UJY10:UKC10"/>
    <mergeCell ref="UKD10:UKH10"/>
    <mergeCell ref="UIK10:UIO10"/>
    <mergeCell ref="UIP10:UIT10"/>
    <mergeCell ref="UIU10:UIY10"/>
    <mergeCell ref="UIZ10:UJD10"/>
    <mergeCell ref="UJE10:UJI10"/>
    <mergeCell ref="UHL10:UHP10"/>
    <mergeCell ref="UHQ10:UHU10"/>
    <mergeCell ref="UHV10:UHZ10"/>
    <mergeCell ref="UIA10:UIE10"/>
    <mergeCell ref="UIF10:UIJ10"/>
    <mergeCell ref="UGM10:UGQ10"/>
    <mergeCell ref="UGR10:UGV10"/>
    <mergeCell ref="UGW10:UHA10"/>
    <mergeCell ref="UHB10:UHF10"/>
    <mergeCell ref="UHG10:UHK10"/>
    <mergeCell ref="UFN10:UFR10"/>
    <mergeCell ref="UFS10:UFW10"/>
    <mergeCell ref="UFX10:UGB10"/>
    <mergeCell ref="UGC10:UGG10"/>
    <mergeCell ref="UGH10:UGL10"/>
    <mergeCell ref="UEO10:UES10"/>
    <mergeCell ref="UET10:UEX10"/>
    <mergeCell ref="UEY10:UFC10"/>
    <mergeCell ref="UFD10:UFH10"/>
    <mergeCell ref="UFI10:UFM10"/>
    <mergeCell ref="UDP10:UDT10"/>
    <mergeCell ref="UDU10:UDY10"/>
    <mergeCell ref="UDZ10:UED10"/>
    <mergeCell ref="UEE10:UEI10"/>
    <mergeCell ref="UEJ10:UEN10"/>
    <mergeCell ref="UCQ10:UCU10"/>
    <mergeCell ref="UCV10:UCZ10"/>
    <mergeCell ref="UDA10:UDE10"/>
    <mergeCell ref="UDF10:UDJ10"/>
    <mergeCell ref="UDK10:UDO10"/>
    <mergeCell ref="UBR10:UBV10"/>
    <mergeCell ref="UBW10:UCA10"/>
    <mergeCell ref="UCB10:UCF10"/>
    <mergeCell ref="UCG10:UCK10"/>
    <mergeCell ref="UCL10:UCP10"/>
    <mergeCell ref="UAS10:UAW10"/>
    <mergeCell ref="UAX10:UBB10"/>
    <mergeCell ref="UBC10:UBG10"/>
    <mergeCell ref="UBH10:UBL10"/>
    <mergeCell ref="UBM10:UBQ10"/>
    <mergeCell ref="TZT10:TZX10"/>
    <mergeCell ref="TZY10:UAC10"/>
    <mergeCell ref="UAD10:UAH10"/>
    <mergeCell ref="UAI10:UAM10"/>
    <mergeCell ref="UAN10:UAR10"/>
    <mergeCell ref="TYU10:TYY10"/>
    <mergeCell ref="TYZ10:TZD10"/>
    <mergeCell ref="TZE10:TZI10"/>
    <mergeCell ref="TZJ10:TZN10"/>
    <mergeCell ref="TZO10:TZS10"/>
    <mergeCell ref="TXV10:TXZ10"/>
    <mergeCell ref="TYA10:TYE10"/>
    <mergeCell ref="TYF10:TYJ10"/>
    <mergeCell ref="TYK10:TYO10"/>
    <mergeCell ref="TYP10:TYT10"/>
    <mergeCell ref="TWW10:TXA10"/>
    <mergeCell ref="TXB10:TXF10"/>
    <mergeCell ref="TXG10:TXK10"/>
    <mergeCell ref="TXL10:TXP10"/>
    <mergeCell ref="TXQ10:TXU10"/>
    <mergeCell ref="TVX10:TWB10"/>
    <mergeCell ref="TWC10:TWG10"/>
    <mergeCell ref="TWH10:TWL10"/>
    <mergeCell ref="TWM10:TWQ10"/>
    <mergeCell ref="TWR10:TWV10"/>
    <mergeCell ref="TUY10:TVC10"/>
    <mergeCell ref="TVD10:TVH10"/>
    <mergeCell ref="TVI10:TVM10"/>
    <mergeCell ref="TVN10:TVR10"/>
    <mergeCell ref="TVS10:TVW10"/>
    <mergeCell ref="TTZ10:TUD10"/>
    <mergeCell ref="TUE10:TUI10"/>
    <mergeCell ref="TUJ10:TUN10"/>
    <mergeCell ref="TUO10:TUS10"/>
    <mergeCell ref="TUT10:TUX10"/>
    <mergeCell ref="TTA10:TTE10"/>
    <mergeCell ref="TTF10:TTJ10"/>
    <mergeCell ref="TTK10:TTO10"/>
    <mergeCell ref="TTP10:TTT10"/>
    <mergeCell ref="TTU10:TTY10"/>
    <mergeCell ref="TSB10:TSF10"/>
    <mergeCell ref="TSG10:TSK10"/>
    <mergeCell ref="TSL10:TSP10"/>
    <mergeCell ref="TSQ10:TSU10"/>
    <mergeCell ref="TSV10:TSZ10"/>
    <mergeCell ref="TRC10:TRG10"/>
    <mergeCell ref="TRH10:TRL10"/>
    <mergeCell ref="TRM10:TRQ10"/>
    <mergeCell ref="TRR10:TRV10"/>
    <mergeCell ref="TRW10:TSA10"/>
    <mergeCell ref="TQD10:TQH10"/>
    <mergeCell ref="TQI10:TQM10"/>
    <mergeCell ref="TQN10:TQR10"/>
    <mergeCell ref="TQS10:TQW10"/>
    <mergeCell ref="TQX10:TRB10"/>
    <mergeCell ref="TPE10:TPI10"/>
    <mergeCell ref="TPJ10:TPN10"/>
    <mergeCell ref="TPO10:TPS10"/>
    <mergeCell ref="TPT10:TPX10"/>
    <mergeCell ref="TPY10:TQC10"/>
    <mergeCell ref="TOF10:TOJ10"/>
    <mergeCell ref="TOK10:TOO10"/>
    <mergeCell ref="TOP10:TOT10"/>
    <mergeCell ref="TOU10:TOY10"/>
    <mergeCell ref="TOZ10:TPD10"/>
    <mergeCell ref="TNG10:TNK10"/>
    <mergeCell ref="TNL10:TNP10"/>
    <mergeCell ref="TNQ10:TNU10"/>
    <mergeCell ref="TNV10:TNZ10"/>
    <mergeCell ref="TOA10:TOE10"/>
    <mergeCell ref="TMH10:TML10"/>
    <mergeCell ref="TMM10:TMQ10"/>
    <mergeCell ref="TMR10:TMV10"/>
    <mergeCell ref="TMW10:TNA10"/>
    <mergeCell ref="TNB10:TNF10"/>
    <mergeCell ref="TLI10:TLM10"/>
    <mergeCell ref="TLN10:TLR10"/>
    <mergeCell ref="TLS10:TLW10"/>
    <mergeCell ref="TLX10:TMB10"/>
    <mergeCell ref="TMC10:TMG10"/>
    <mergeCell ref="TKJ10:TKN10"/>
    <mergeCell ref="TKO10:TKS10"/>
    <mergeCell ref="TKT10:TKX10"/>
    <mergeCell ref="TKY10:TLC10"/>
    <mergeCell ref="TLD10:TLH10"/>
    <mergeCell ref="TJK10:TJO10"/>
    <mergeCell ref="TJP10:TJT10"/>
    <mergeCell ref="TJU10:TJY10"/>
    <mergeCell ref="TJZ10:TKD10"/>
    <mergeCell ref="TKE10:TKI10"/>
    <mergeCell ref="TIL10:TIP10"/>
    <mergeCell ref="TIQ10:TIU10"/>
    <mergeCell ref="TIV10:TIZ10"/>
    <mergeCell ref="TJA10:TJE10"/>
    <mergeCell ref="TJF10:TJJ10"/>
    <mergeCell ref="THM10:THQ10"/>
    <mergeCell ref="THR10:THV10"/>
    <mergeCell ref="THW10:TIA10"/>
    <mergeCell ref="TIB10:TIF10"/>
    <mergeCell ref="TIG10:TIK10"/>
    <mergeCell ref="TGN10:TGR10"/>
    <mergeCell ref="TGS10:TGW10"/>
    <mergeCell ref="TGX10:THB10"/>
    <mergeCell ref="THC10:THG10"/>
    <mergeCell ref="THH10:THL10"/>
    <mergeCell ref="TFO10:TFS10"/>
    <mergeCell ref="TFT10:TFX10"/>
    <mergeCell ref="TFY10:TGC10"/>
    <mergeCell ref="TGD10:TGH10"/>
    <mergeCell ref="TGI10:TGM10"/>
    <mergeCell ref="TEP10:TET10"/>
    <mergeCell ref="TEU10:TEY10"/>
    <mergeCell ref="TEZ10:TFD10"/>
    <mergeCell ref="TFE10:TFI10"/>
    <mergeCell ref="TFJ10:TFN10"/>
    <mergeCell ref="TDQ10:TDU10"/>
    <mergeCell ref="TDV10:TDZ10"/>
    <mergeCell ref="TEA10:TEE10"/>
    <mergeCell ref="TEF10:TEJ10"/>
    <mergeCell ref="TEK10:TEO10"/>
    <mergeCell ref="TCR10:TCV10"/>
    <mergeCell ref="TCW10:TDA10"/>
    <mergeCell ref="TDB10:TDF10"/>
    <mergeCell ref="TDG10:TDK10"/>
    <mergeCell ref="TDL10:TDP10"/>
    <mergeCell ref="TBS10:TBW10"/>
    <mergeCell ref="TBX10:TCB10"/>
    <mergeCell ref="TCC10:TCG10"/>
    <mergeCell ref="TCH10:TCL10"/>
    <mergeCell ref="TCM10:TCQ10"/>
    <mergeCell ref="TAT10:TAX10"/>
    <mergeCell ref="TAY10:TBC10"/>
    <mergeCell ref="TBD10:TBH10"/>
    <mergeCell ref="TBI10:TBM10"/>
    <mergeCell ref="TBN10:TBR10"/>
    <mergeCell ref="SZU10:SZY10"/>
    <mergeCell ref="SZZ10:TAD10"/>
    <mergeCell ref="TAE10:TAI10"/>
    <mergeCell ref="TAJ10:TAN10"/>
    <mergeCell ref="TAO10:TAS10"/>
    <mergeCell ref="SYV10:SYZ10"/>
    <mergeCell ref="SZA10:SZE10"/>
    <mergeCell ref="SZF10:SZJ10"/>
    <mergeCell ref="SZK10:SZO10"/>
    <mergeCell ref="SZP10:SZT10"/>
    <mergeCell ref="SXW10:SYA10"/>
    <mergeCell ref="SYB10:SYF10"/>
    <mergeCell ref="SYG10:SYK10"/>
    <mergeCell ref="SYL10:SYP10"/>
    <mergeCell ref="SYQ10:SYU10"/>
    <mergeCell ref="SWX10:SXB10"/>
    <mergeCell ref="SXC10:SXG10"/>
    <mergeCell ref="SXH10:SXL10"/>
    <mergeCell ref="SXM10:SXQ10"/>
    <mergeCell ref="SXR10:SXV10"/>
    <mergeCell ref="SVY10:SWC10"/>
    <mergeCell ref="SWD10:SWH10"/>
    <mergeCell ref="SWI10:SWM10"/>
    <mergeCell ref="SWN10:SWR10"/>
    <mergeCell ref="SWS10:SWW10"/>
    <mergeCell ref="SUZ10:SVD10"/>
    <mergeCell ref="SVE10:SVI10"/>
    <mergeCell ref="SVJ10:SVN10"/>
    <mergeCell ref="SVO10:SVS10"/>
    <mergeCell ref="SVT10:SVX10"/>
    <mergeCell ref="SUA10:SUE10"/>
    <mergeCell ref="SUF10:SUJ10"/>
    <mergeCell ref="SUK10:SUO10"/>
    <mergeCell ref="SUP10:SUT10"/>
    <mergeCell ref="SUU10:SUY10"/>
    <mergeCell ref="STB10:STF10"/>
    <mergeCell ref="STG10:STK10"/>
    <mergeCell ref="STL10:STP10"/>
    <mergeCell ref="STQ10:STU10"/>
    <mergeCell ref="STV10:STZ10"/>
    <mergeCell ref="SSC10:SSG10"/>
    <mergeCell ref="SSH10:SSL10"/>
    <mergeCell ref="SSM10:SSQ10"/>
    <mergeCell ref="SSR10:SSV10"/>
    <mergeCell ref="SSW10:STA10"/>
    <mergeCell ref="SRD10:SRH10"/>
    <mergeCell ref="SRI10:SRM10"/>
    <mergeCell ref="SRN10:SRR10"/>
    <mergeCell ref="SRS10:SRW10"/>
    <mergeCell ref="SRX10:SSB10"/>
    <mergeCell ref="SQE10:SQI10"/>
    <mergeCell ref="SQJ10:SQN10"/>
    <mergeCell ref="SQO10:SQS10"/>
    <mergeCell ref="SQT10:SQX10"/>
    <mergeCell ref="SQY10:SRC10"/>
    <mergeCell ref="SPF10:SPJ10"/>
    <mergeCell ref="SPK10:SPO10"/>
    <mergeCell ref="SPP10:SPT10"/>
    <mergeCell ref="SPU10:SPY10"/>
    <mergeCell ref="SPZ10:SQD10"/>
    <mergeCell ref="SOG10:SOK10"/>
    <mergeCell ref="SOL10:SOP10"/>
    <mergeCell ref="SOQ10:SOU10"/>
    <mergeCell ref="SOV10:SOZ10"/>
    <mergeCell ref="SPA10:SPE10"/>
    <mergeCell ref="SNH10:SNL10"/>
    <mergeCell ref="SNM10:SNQ10"/>
    <mergeCell ref="SNR10:SNV10"/>
    <mergeCell ref="SNW10:SOA10"/>
    <mergeCell ref="SOB10:SOF10"/>
    <mergeCell ref="SMI10:SMM10"/>
    <mergeCell ref="SMN10:SMR10"/>
    <mergeCell ref="SMS10:SMW10"/>
    <mergeCell ref="SMX10:SNB10"/>
    <mergeCell ref="SNC10:SNG10"/>
    <mergeCell ref="SLJ10:SLN10"/>
    <mergeCell ref="SLO10:SLS10"/>
    <mergeCell ref="SLT10:SLX10"/>
    <mergeCell ref="SLY10:SMC10"/>
    <mergeCell ref="SMD10:SMH10"/>
    <mergeCell ref="SKK10:SKO10"/>
    <mergeCell ref="SKP10:SKT10"/>
    <mergeCell ref="SKU10:SKY10"/>
    <mergeCell ref="SKZ10:SLD10"/>
    <mergeCell ref="SLE10:SLI10"/>
    <mergeCell ref="SJL10:SJP10"/>
    <mergeCell ref="SJQ10:SJU10"/>
    <mergeCell ref="SJV10:SJZ10"/>
    <mergeCell ref="SKA10:SKE10"/>
    <mergeCell ref="SKF10:SKJ10"/>
    <mergeCell ref="SIM10:SIQ10"/>
    <mergeCell ref="SIR10:SIV10"/>
    <mergeCell ref="SIW10:SJA10"/>
    <mergeCell ref="SJB10:SJF10"/>
    <mergeCell ref="SJG10:SJK10"/>
    <mergeCell ref="SHN10:SHR10"/>
    <mergeCell ref="SHS10:SHW10"/>
    <mergeCell ref="SHX10:SIB10"/>
    <mergeCell ref="SIC10:SIG10"/>
    <mergeCell ref="SIH10:SIL10"/>
    <mergeCell ref="SGO10:SGS10"/>
    <mergeCell ref="SGT10:SGX10"/>
    <mergeCell ref="SGY10:SHC10"/>
    <mergeCell ref="SHD10:SHH10"/>
    <mergeCell ref="SHI10:SHM10"/>
    <mergeCell ref="SFP10:SFT10"/>
    <mergeCell ref="SFU10:SFY10"/>
    <mergeCell ref="SFZ10:SGD10"/>
    <mergeCell ref="SGE10:SGI10"/>
    <mergeCell ref="SGJ10:SGN10"/>
    <mergeCell ref="SEQ10:SEU10"/>
    <mergeCell ref="SEV10:SEZ10"/>
    <mergeCell ref="SFA10:SFE10"/>
    <mergeCell ref="SFF10:SFJ10"/>
    <mergeCell ref="SFK10:SFO10"/>
    <mergeCell ref="SDR10:SDV10"/>
    <mergeCell ref="SDW10:SEA10"/>
    <mergeCell ref="SEB10:SEF10"/>
    <mergeCell ref="SEG10:SEK10"/>
    <mergeCell ref="SEL10:SEP10"/>
    <mergeCell ref="SCS10:SCW10"/>
    <mergeCell ref="SCX10:SDB10"/>
    <mergeCell ref="SDC10:SDG10"/>
    <mergeCell ref="SDH10:SDL10"/>
    <mergeCell ref="SDM10:SDQ10"/>
    <mergeCell ref="SBT10:SBX10"/>
    <mergeCell ref="SBY10:SCC10"/>
    <mergeCell ref="SCD10:SCH10"/>
    <mergeCell ref="SCI10:SCM10"/>
    <mergeCell ref="SCN10:SCR10"/>
    <mergeCell ref="SAU10:SAY10"/>
    <mergeCell ref="SAZ10:SBD10"/>
    <mergeCell ref="SBE10:SBI10"/>
    <mergeCell ref="SBJ10:SBN10"/>
    <mergeCell ref="SBO10:SBS10"/>
    <mergeCell ref="RZV10:RZZ10"/>
    <mergeCell ref="SAA10:SAE10"/>
    <mergeCell ref="SAF10:SAJ10"/>
    <mergeCell ref="SAK10:SAO10"/>
    <mergeCell ref="SAP10:SAT10"/>
    <mergeCell ref="RYW10:RZA10"/>
    <mergeCell ref="RZB10:RZF10"/>
    <mergeCell ref="RZG10:RZK10"/>
    <mergeCell ref="RZL10:RZP10"/>
    <mergeCell ref="RZQ10:RZU10"/>
    <mergeCell ref="RXX10:RYB10"/>
    <mergeCell ref="RYC10:RYG10"/>
    <mergeCell ref="RYH10:RYL10"/>
    <mergeCell ref="RYM10:RYQ10"/>
    <mergeCell ref="RYR10:RYV10"/>
    <mergeCell ref="RWY10:RXC10"/>
    <mergeCell ref="RXD10:RXH10"/>
    <mergeCell ref="RXI10:RXM10"/>
    <mergeCell ref="RXN10:RXR10"/>
    <mergeCell ref="RXS10:RXW10"/>
    <mergeCell ref="RVZ10:RWD10"/>
    <mergeCell ref="RWE10:RWI10"/>
    <mergeCell ref="RWJ10:RWN10"/>
    <mergeCell ref="RWO10:RWS10"/>
    <mergeCell ref="RWT10:RWX10"/>
    <mergeCell ref="RVA10:RVE10"/>
    <mergeCell ref="RVF10:RVJ10"/>
    <mergeCell ref="RVK10:RVO10"/>
    <mergeCell ref="RVP10:RVT10"/>
    <mergeCell ref="RVU10:RVY10"/>
    <mergeCell ref="RUB10:RUF10"/>
    <mergeCell ref="RUG10:RUK10"/>
    <mergeCell ref="RUL10:RUP10"/>
    <mergeCell ref="RUQ10:RUU10"/>
    <mergeCell ref="RUV10:RUZ10"/>
    <mergeCell ref="RTC10:RTG10"/>
    <mergeCell ref="RTH10:RTL10"/>
    <mergeCell ref="RTM10:RTQ10"/>
    <mergeCell ref="RTR10:RTV10"/>
    <mergeCell ref="RTW10:RUA10"/>
    <mergeCell ref="RSD10:RSH10"/>
    <mergeCell ref="RSI10:RSM10"/>
    <mergeCell ref="RSN10:RSR10"/>
    <mergeCell ref="RSS10:RSW10"/>
    <mergeCell ref="RSX10:RTB10"/>
    <mergeCell ref="RRE10:RRI10"/>
    <mergeCell ref="RRJ10:RRN10"/>
    <mergeCell ref="RRO10:RRS10"/>
    <mergeCell ref="RRT10:RRX10"/>
    <mergeCell ref="RRY10:RSC10"/>
    <mergeCell ref="RQF10:RQJ10"/>
    <mergeCell ref="RQK10:RQO10"/>
    <mergeCell ref="RQP10:RQT10"/>
    <mergeCell ref="RQU10:RQY10"/>
    <mergeCell ref="RQZ10:RRD10"/>
    <mergeCell ref="RPG10:RPK10"/>
    <mergeCell ref="RPL10:RPP10"/>
    <mergeCell ref="RPQ10:RPU10"/>
    <mergeCell ref="RPV10:RPZ10"/>
    <mergeCell ref="RQA10:RQE10"/>
    <mergeCell ref="ROH10:ROL10"/>
    <mergeCell ref="ROM10:ROQ10"/>
    <mergeCell ref="ROR10:ROV10"/>
    <mergeCell ref="ROW10:RPA10"/>
    <mergeCell ref="RPB10:RPF10"/>
    <mergeCell ref="RNI10:RNM10"/>
    <mergeCell ref="RNN10:RNR10"/>
    <mergeCell ref="RNS10:RNW10"/>
    <mergeCell ref="RNX10:ROB10"/>
    <mergeCell ref="ROC10:ROG10"/>
    <mergeCell ref="RMJ10:RMN10"/>
    <mergeCell ref="RMO10:RMS10"/>
    <mergeCell ref="RMT10:RMX10"/>
    <mergeCell ref="RMY10:RNC10"/>
    <mergeCell ref="RND10:RNH10"/>
    <mergeCell ref="RLK10:RLO10"/>
    <mergeCell ref="RLP10:RLT10"/>
    <mergeCell ref="RLU10:RLY10"/>
    <mergeCell ref="RLZ10:RMD10"/>
    <mergeCell ref="RME10:RMI10"/>
    <mergeCell ref="RKL10:RKP10"/>
    <mergeCell ref="RKQ10:RKU10"/>
    <mergeCell ref="RKV10:RKZ10"/>
    <mergeCell ref="RLA10:RLE10"/>
    <mergeCell ref="RLF10:RLJ10"/>
    <mergeCell ref="RJM10:RJQ10"/>
    <mergeCell ref="RJR10:RJV10"/>
    <mergeCell ref="RJW10:RKA10"/>
    <mergeCell ref="RKB10:RKF10"/>
    <mergeCell ref="RKG10:RKK10"/>
    <mergeCell ref="RIN10:RIR10"/>
    <mergeCell ref="RIS10:RIW10"/>
    <mergeCell ref="RIX10:RJB10"/>
    <mergeCell ref="RJC10:RJG10"/>
    <mergeCell ref="RJH10:RJL10"/>
    <mergeCell ref="RHO10:RHS10"/>
    <mergeCell ref="RHT10:RHX10"/>
    <mergeCell ref="RHY10:RIC10"/>
    <mergeCell ref="RID10:RIH10"/>
    <mergeCell ref="RII10:RIM10"/>
    <mergeCell ref="RGP10:RGT10"/>
    <mergeCell ref="RGU10:RGY10"/>
    <mergeCell ref="RGZ10:RHD10"/>
    <mergeCell ref="RHE10:RHI10"/>
    <mergeCell ref="RHJ10:RHN10"/>
    <mergeCell ref="RFQ10:RFU10"/>
    <mergeCell ref="RFV10:RFZ10"/>
    <mergeCell ref="RGA10:RGE10"/>
    <mergeCell ref="RGF10:RGJ10"/>
    <mergeCell ref="RGK10:RGO10"/>
    <mergeCell ref="RER10:REV10"/>
    <mergeCell ref="REW10:RFA10"/>
    <mergeCell ref="RFB10:RFF10"/>
    <mergeCell ref="RFG10:RFK10"/>
    <mergeCell ref="RFL10:RFP10"/>
    <mergeCell ref="RDS10:RDW10"/>
    <mergeCell ref="RDX10:REB10"/>
    <mergeCell ref="REC10:REG10"/>
    <mergeCell ref="REH10:REL10"/>
    <mergeCell ref="REM10:REQ10"/>
    <mergeCell ref="RCT10:RCX10"/>
    <mergeCell ref="RCY10:RDC10"/>
    <mergeCell ref="RDD10:RDH10"/>
    <mergeCell ref="RDI10:RDM10"/>
    <mergeCell ref="RDN10:RDR10"/>
    <mergeCell ref="RBU10:RBY10"/>
    <mergeCell ref="RBZ10:RCD10"/>
    <mergeCell ref="RCE10:RCI10"/>
    <mergeCell ref="RCJ10:RCN10"/>
    <mergeCell ref="RCO10:RCS10"/>
    <mergeCell ref="RAV10:RAZ10"/>
    <mergeCell ref="RBA10:RBE10"/>
    <mergeCell ref="RBF10:RBJ10"/>
    <mergeCell ref="RBK10:RBO10"/>
    <mergeCell ref="RBP10:RBT10"/>
    <mergeCell ref="QZW10:RAA10"/>
    <mergeCell ref="RAB10:RAF10"/>
    <mergeCell ref="RAG10:RAK10"/>
    <mergeCell ref="RAL10:RAP10"/>
    <mergeCell ref="RAQ10:RAU10"/>
    <mergeCell ref="QYX10:QZB10"/>
    <mergeCell ref="QZC10:QZG10"/>
    <mergeCell ref="QZH10:QZL10"/>
    <mergeCell ref="QZM10:QZQ10"/>
    <mergeCell ref="QZR10:QZV10"/>
    <mergeCell ref="QXY10:QYC10"/>
    <mergeCell ref="QYD10:QYH10"/>
    <mergeCell ref="QYI10:QYM10"/>
    <mergeCell ref="QYN10:QYR10"/>
    <mergeCell ref="QYS10:QYW10"/>
    <mergeCell ref="QWZ10:QXD10"/>
    <mergeCell ref="QXE10:QXI10"/>
    <mergeCell ref="QXJ10:QXN10"/>
    <mergeCell ref="QXO10:QXS10"/>
    <mergeCell ref="QXT10:QXX10"/>
    <mergeCell ref="QWA10:QWE10"/>
    <mergeCell ref="QWF10:QWJ10"/>
    <mergeCell ref="QWK10:QWO10"/>
    <mergeCell ref="QWP10:QWT10"/>
    <mergeCell ref="QWU10:QWY10"/>
    <mergeCell ref="QVB10:QVF10"/>
    <mergeCell ref="QVG10:QVK10"/>
    <mergeCell ref="QVL10:QVP10"/>
    <mergeCell ref="QVQ10:QVU10"/>
    <mergeCell ref="QVV10:QVZ10"/>
    <mergeCell ref="QUC10:QUG10"/>
    <mergeCell ref="QUH10:QUL10"/>
    <mergeCell ref="QUM10:QUQ10"/>
    <mergeCell ref="QUR10:QUV10"/>
    <mergeCell ref="QUW10:QVA10"/>
    <mergeCell ref="QTD10:QTH10"/>
    <mergeCell ref="QTI10:QTM10"/>
    <mergeCell ref="QTN10:QTR10"/>
    <mergeCell ref="QTS10:QTW10"/>
    <mergeCell ref="QTX10:QUB10"/>
    <mergeCell ref="QSE10:QSI10"/>
    <mergeCell ref="QSJ10:QSN10"/>
    <mergeCell ref="QSO10:QSS10"/>
    <mergeCell ref="QST10:QSX10"/>
    <mergeCell ref="QSY10:QTC10"/>
    <mergeCell ref="QRF10:QRJ10"/>
    <mergeCell ref="QRK10:QRO10"/>
    <mergeCell ref="QRP10:QRT10"/>
    <mergeCell ref="QRU10:QRY10"/>
    <mergeCell ref="QRZ10:QSD10"/>
    <mergeCell ref="QQG10:QQK10"/>
    <mergeCell ref="QQL10:QQP10"/>
    <mergeCell ref="QQQ10:QQU10"/>
    <mergeCell ref="QQV10:QQZ10"/>
    <mergeCell ref="QRA10:QRE10"/>
    <mergeCell ref="QPH10:QPL10"/>
    <mergeCell ref="QPM10:QPQ10"/>
    <mergeCell ref="QPR10:QPV10"/>
    <mergeCell ref="QPW10:QQA10"/>
    <mergeCell ref="QQB10:QQF10"/>
    <mergeCell ref="QOI10:QOM10"/>
    <mergeCell ref="QON10:QOR10"/>
    <mergeCell ref="QOS10:QOW10"/>
    <mergeCell ref="QOX10:QPB10"/>
    <mergeCell ref="QPC10:QPG10"/>
    <mergeCell ref="QNJ10:QNN10"/>
    <mergeCell ref="QNO10:QNS10"/>
    <mergeCell ref="QNT10:QNX10"/>
    <mergeCell ref="QNY10:QOC10"/>
    <mergeCell ref="QOD10:QOH10"/>
    <mergeCell ref="QMK10:QMO10"/>
    <mergeCell ref="QMP10:QMT10"/>
    <mergeCell ref="QMU10:QMY10"/>
    <mergeCell ref="QMZ10:QND10"/>
    <mergeCell ref="QNE10:QNI10"/>
    <mergeCell ref="QLL10:QLP10"/>
    <mergeCell ref="QLQ10:QLU10"/>
    <mergeCell ref="QLV10:QLZ10"/>
    <mergeCell ref="QMA10:QME10"/>
    <mergeCell ref="QMF10:QMJ10"/>
    <mergeCell ref="QKM10:QKQ10"/>
    <mergeCell ref="QKR10:QKV10"/>
    <mergeCell ref="QKW10:QLA10"/>
    <mergeCell ref="QLB10:QLF10"/>
    <mergeCell ref="QLG10:QLK10"/>
    <mergeCell ref="QJN10:QJR10"/>
    <mergeCell ref="QJS10:QJW10"/>
    <mergeCell ref="QJX10:QKB10"/>
    <mergeCell ref="QKC10:QKG10"/>
    <mergeCell ref="QKH10:QKL10"/>
    <mergeCell ref="QIO10:QIS10"/>
    <mergeCell ref="QIT10:QIX10"/>
    <mergeCell ref="QIY10:QJC10"/>
    <mergeCell ref="QJD10:QJH10"/>
    <mergeCell ref="QJI10:QJM10"/>
    <mergeCell ref="QHP10:QHT10"/>
    <mergeCell ref="QHU10:QHY10"/>
    <mergeCell ref="QHZ10:QID10"/>
    <mergeCell ref="QIE10:QII10"/>
    <mergeCell ref="QIJ10:QIN10"/>
    <mergeCell ref="QGQ10:QGU10"/>
    <mergeCell ref="QGV10:QGZ10"/>
    <mergeCell ref="QHA10:QHE10"/>
    <mergeCell ref="QHF10:QHJ10"/>
    <mergeCell ref="QHK10:QHO10"/>
    <mergeCell ref="QFR10:QFV10"/>
    <mergeCell ref="QFW10:QGA10"/>
    <mergeCell ref="QGB10:QGF10"/>
    <mergeCell ref="QGG10:QGK10"/>
    <mergeCell ref="QGL10:QGP10"/>
    <mergeCell ref="QES10:QEW10"/>
    <mergeCell ref="QEX10:QFB10"/>
    <mergeCell ref="QFC10:QFG10"/>
    <mergeCell ref="QFH10:QFL10"/>
    <mergeCell ref="QFM10:QFQ10"/>
    <mergeCell ref="QDT10:QDX10"/>
    <mergeCell ref="QDY10:QEC10"/>
    <mergeCell ref="QED10:QEH10"/>
    <mergeCell ref="QEI10:QEM10"/>
    <mergeCell ref="QEN10:QER10"/>
    <mergeCell ref="QCU10:QCY10"/>
    <mergeCell ref="QCZ10:QDD10"/>
    <mergeCell ref="QDE10:QDI10"/>
    <mergeCell ref="QDJ10:QDN10"/>
    <mergeCell ref="QDO10:QDS10"/>
    <mergeCell ref="QBV10:QBZ10"/>
    <mergeCell ref="QCA10:QCE10"/>
    <mergeCell ref="QCF10:QCJ10"/>
    <mergeCell ref="QCK10:QCO10"/>
    <mergeCell ref="QCP10:QCT10"/>
    <mergeCell ref="QAW10:QBA10"/>
    <mergeCell ref="QBB10:QBF10"/>
    <mergeCell ref="QBG10:QBK10"/>
    <mergeCell ref="QBL10:QBP10"/>
    <mergeCell ref="QBQ10:QBU10"/>
    <mergeCell ref="PZX10:QAB10"/>
    <mergeCell ref="QAC10:QAG10"/>
    <mergeCell ref="QAH10:QAL10"/>
    <mergeCell ref="QAM10:QAQ10"/>
    <mergeCell ref="QAR10:QAV10"/>
    <mergeCell ref="PYY10:PZC10"/>
    <mergeCell ref="PZD10:PZH10"/>
    <mergeCell ref="PZI10:PZM10"/>
    <mergeCell ref="PZN10:PZR10"/>
    <mergeCell ref="PZS10:PZW10"/>
    <mergeCell ref="PXZ10:PYD10"/>
    <mergeCell ref="PYE10:PYI10"/>
    <mergeCell ref="PYJ10:PYN10"/>
    <mergeCell ref="PYO10:PYS10"/>
    <mergeCell ref="PYT10:PYX10"/>
    <mergeCell ref="PXA10:PXE10"/>
    <mergeCell ref="PXF10:PXJ10"/>
    <mergeCell ref="PXK10:PXO10"/>
    <mergeCell ref="PXP10:PXT10"/>
    <mergeCell ref="PXU10:PXY10"/>
    <mergeCell ref="PWB10:PWF10"/>
    <mergeCell ref="PWG10:PWK10"/>
    <mergeCell ref="PWL10:PWP10"/>
    <mergeCell ref="PWQ10:PWU10"/>
    <mergeCell ref="PWV10:PWZ10"/>
    <mergeCell ref="PVC10:PVG10"/>
    <mergeCell ref="PVH10:PVL10"/>
    <mergeCell ref="PVM10:PVQ10"/>
    <mergeCell ref="PVR10:PVV10"/>
    <mergeCell ref="PVW10:PWA10"/>
    <mergeCell ref="PUD10:PUH10"/>
    <mergeCell ref="PUI10:PUM10"/>
    <mergeCell ref="PUN10:PUR10"/>
    <mergeCell ref="PUS10:PUW10"/>
    <mergeCell ref="PUX10:PVB10"/>
    <mergeCell ref="PTE10:PTI10"/>
    <mergeCell ref="PTJ10:PTN10"/>
    <mergeCell ref="PTO10:PTS10"/>
    <mergeCell ref="PTT10:PTX10"/>
    <mergeCell ref="PTY10:PUC10"/>
    <mergeCell ref="PSF10:PSJ10"/>
    <mergeCell ref="PSK10:PSO10"/>
    <mergeCell ref="PSP10:PST10"/>
    <mergeCell ref="PSU10:PSY10"/>
    <mergeCell ref="PSZ10:PTD10"/>
    <mergeCell ref="PRG10:PRK10"/>
    <mergeCell ref="PRL10:PRP10"/>
    <mergeCell ref="PRQ10:PRU10"/>
    <mergeCell ref="PRV10:PRZ10"/>
    <mergeCell ref="PSA10:PSE10"/>
    <mergeCell ref="PQH10:PQL10"/>
    <mergeCell ref="PQM10:PQQ10"/>
    <mergeCell ref="PQR10:PQV10"/>
    <mergeCell ref="PQW10:PRA10"/>
    <mergeCell ref="PRB10:PRF10"/>
    <mergeCell ref="PPI10:PPM10"/>
    <mergeCell ref="PPN10:PPR10"/>
    <mergeCell ref="PPS10:PPW10"/>
    <mergeCell ref="PPX10:PQB10"/>
    <mergeCell ref="PQC10:PQG10"/>
    <mergeCell ref="POJ10:PON10"/>
    <mergeCell ref="POO10:POS10"/>
    <mergeCell ref="POT10:POX10"/>
    <mergeCell ref="POY10:PPC10"/>
    <mergeCell ref="PPD10:PPH10"/>
    <mergeCell ref="PNK10:PNO10"/>
    <mergeCell ref="PNP10:PNT10"/>
    <mergeCell ref="PNU10:PNY10"/>
    <mergeCell ref="PNZ10:POD10"/>
    <mergeCell ref="POE10:POI10"/>
    <mergeCell ref="PML10:PMP10"/>
    <mergeCell ref="PMQ10:PMU10"/>
    <mergeCell ref="PMV10:PMZ10"/>
    <mergeCell ref="PNA10:PNE10"/>
    <mergeCell ref="PNF10:PNJ10"/>
    <mergeCell ref="PLM10:PLQ10"/>
    <mergeCell ref="PLR10:PLV10"/>
    <mergeCell ref="PLW10:PMA10"/>
    <mergeCell ref="PMB10:PMF10"/>
    <mergeCell ref="PMG10:PMK10"/>
    <mergeCell ref="PKN10:PKR10"/>
    <mergeCell ref="PKS10:PKW10"/>
    <mergeCell ref="PKX10:PLB10"/>
    <mergeCell ref="PLC10:PLG10"/>
    <mergeCell ref="PLH10:PLL10"/>
    <mergeCell ref="PJO10:PJS10"/>
    <mergeCell ref="PJT10:PJX10"/>
    <mergeCell ref="PJY10:PKC10"/>
    <mergeCell ref="PKD10:PKH10"/>
    <mergeCell ref="PKI10:PKM10"/>
    <mergeCell ref="PIP10:PIT10"/>
    <mergeCell ref="PIU10:PIY10"/>
    <mergeCell ref="PIZ10:PJD10"/>
    <mergeCell ref="PJE10:PJI10"/>
    <mergeCell ref="PJJ10:PJN10"/>
    <mergeCell ref="PHQ10:PHU10"/>
    <mergeCell ref="PHV10:PHZ10"/>
    <mergeCell ref="PIA10:PIE10"/>
    <mergeCell ref="PIF10:PIJ10"/>
    <mergeCell ref="PIK10:PIO10"/>
    <mergeCell ref="PGR10:PGV10"/>
    <mergeCell ref="PGW10:PHA10"/>
    <mergeCell ref="PHB10:PHF10"/>
    <mergeCell ref="PHG10:PHK10"/>
    <mergeCell ref="PHL10:PHP10"/>
    <mergeCell ref="PFS10:PFW10"/>
    <mergeCell ref="PFX10:PGB10"/>
    <mergeCell ref="PGC10:PGG10"/>
    <mergeCell ref="PGH10:PGL10"/>
    <mergeCell ref="PGM10:PGQ10"/>
    <mergeCell ref="PET10:PEX10"/>
    <mergeCell ref="PEY10:PFC10"/>
    <mergeCell ref="PFD10:PFH10"/>
    <mergeCell ref="PFI10:PFM10"/>
    <mergeCell ref="PFN10:PFR10"/>
    <mergeCell ref="PDU10:PDY10"/>
    <mergeCell ref="PDZ10:PED10"/>
    <mergeCell ref="PEE10:PEI10"/>
    <mergeCell ref="PEJ10:PEN10"/>
    <mergeCell ref="PEO10:PES10"/>
    <mergeCell ref="PCV10:PCZ10"/>
    <mergeCell ref="PDA10:PDE10"/>
    <mergeCell ref="PDF10:PDJ10"/>
    <mergeCell ref="PDK10:PDO10"/>
    <mergeCell ref="PDP10:PDT10"/>
    <mergeCell ref="PBW10:PCA10"/>
    <mergeCell ref="PCB10:PCF10"/>
    <mergeCell ref="PCG10:PCK10"/>
    <mergeCell ref="PCL10:PCP10"/>
    <mergeCell ref="PCQ10:PCU10"/>
    <mergeCell ref="PAX10:PBB10"/>
    <mergeCell ref="PBC10:PBG10"/>
    <mergeCell ref="PBH10:PBL10"/>
    <mergeCell ref="PBM10:PBQ10"/>
    <mergeCell ref="PBR10:PBV10"/>
    <mergeCell ref="OZY10:PAC10"/>
    <mergeCell ref="PAD10:PAH10"/>
    <mergeCell ref="PAI10:PAM10"/>
    <mergeCell ref="PAN10:PAR10"/>
    <mergeCell ref="PAS10:PAW10"/>
    <mergeCell ref="OYZ10:OZD10"/>
    <mergeCell ref="OZE10:OZI10"/>
    <mergeCell ref="OZJ10:OZN10"/>
    <mergeCell ref="OZO10:OZS10"/>
    <mergeCell ref="OZT10:OZX10"/>
    <mergeCell ref="OYA10:OYE10"/>
    <mergeCell ref="OYF10:OYJ10"/>
    <mergeCell ref="OYK10:OYO10"/>
    <mergeCell ref="OYP10:OYT10"/>
    <mergeCell ref="OYU10:OYY10"/>
    <mergeCell ref="OXB10:OXF10"/>
    <mergeCell ref="OXG10:OXK10"/>
    <mergeCell ref="OXL10:OXP10"/>
    <mergeCell ref="OXQ10:OXU10"/>
    <mergeCell ref="OXV10:OXZ10"/>
    <mergeCell ref="OWC10:OWG10"/>
    <mergeCell ref="OWH10:OWL10"/>
    <mergeCell ref="OWM10:OWQ10"/>
    <mergeCell ref="OWR10:OWV10"/>
    <mergeCell ref="OWW10:OXA10"/>
    <mergeCell ref="OVD10:OVH10"/>
    <mergeCell ref="OVI10:OVM10"/>
    <mergeCell ref="OVN10:OVR10"/>
    <mergeCell ref="OVS10:OVW10"/>
    <mergeCell ref="OVX10:OWB10"/>
    <mergeCell ref="OUE10:OUI10"/>
    <mergeCell ref="OUJ10:OUN10"/>
    <mergeCell ref="OUO10:OUS10"/>
    <mergeCell ref="OUT10:OUX10"/>
    <mergeCell ref="OUY10:OVC10"/>
    <mergeCell ref="OTF10:OTJ10"/>
    <mergeCell ref="OTK10:OTO10"/>
    <mergeCell ref="OTP10:OTT10"/>
    <mergeCell ref="OTU10:OTY10"/>
    <mergeCell ref="OTZ10:OUD10"/>
    <mergeCell ref="OSG10:OSK10"/>
    <mergeCell ref="OSL10:OSP10"/>
    <mergeCell ref="OSQ10:OSU10"/>
    <mergeCell ref="OSV10:OSZ10"/>
    <mergeCell ref="OTA10:OTE10"/>
    <mergeCell ref="ORH10:ORL10"/>
    <mergeCell ref="ORM10:ORQ10"/>
    <mergeCell ref="ORR10:ORV10"/>
    <mergeCell ref="ORW10:OSA10"/>
    <mergeCell ref="OSB10:OSF10"/>
    <mergeCell ref="OQI10:OQM10"/>
    <mergeCell ref="OQN10:OQR10"/>
    <mergeCell ref="OQS10:OQW10"/>
    <mergeCell ref="OQX10:ORB10"/>
    <mergeCell ref="ORC10:ORG10"/>
    <mergeCell ref="OPJ10:OPN10"/>
    <mergeCell ref="OPO10:OPS10"/>
    <mergeCell ref="OPT10:OPX10"/>
    <mergeCell ref="OPY10:OQC10"/>
    <mergeCell ref="OQD10:OQH10"/>
    <mergeCell ref="OOK10:OOO10"/>
    <mergeCell ref="OOP10:OOT10"/>
    <mergeCell ref="OOU10:OOY10"/>
    <mergeCell ref="OOZ10:OPD10"/>
    <mergeCell ref="OPE10:OPI10"/>
    <mergeCell ref="ONL10:ONP10"/>
    <mergeCell ref="ONQ10:ONU10"/>
    <mergeCell ref="ONV10:ONZ10"/>
    <mergeCell ref="OOA10:OOE10"/>
    <mergeCell ref="OOF10:OOJ10"/>
    <mergeCell ref="OMM10:OMQ10"/>
    <mergeCell ref="OMR10:OMV10"/>
    <mergeCell ref="OMW10:ONA10"/>
    <mergeCell ref="ONB10:ONF10"/>
    <mergeCell ref="ONG10:ONK10"/>
    <mergeCell ref="OLN10:OLR10"/>
    <mergeCell ref="OLS10:OLW10"/>
    <mergeCell ref="OLX10:OMB10"/>
    <mergeCell ref="OMC10:OMG10"/>
    <mergeCell ref="OMH10:OML10"/>
    <mergeCell ref="OKO10:OKS10"/>
    <mergeCell ref="OKT10:OKX10"/>
    <mergeCell ref="OKY10:OLC10"/>
    <mergeCell ref="OLD10:OLH10"/>
    <mergeCell ref="OLI10:OLM10"/>
    <mergeCell ref="OJP10:OJT10"/>
    <mergeCell ref="OJU10:OJY10"/>
    <mergeCell ref="OJZ10:OKD10"/>
    <mergeCell ref="OKE10:OKI10"/>
    <mergeCell ref="OKJ10:OKN10"/>
    <mergeCell ref="OIQ10:OIU10"/>
    <mergeCell ref="OIV10:OIZ10"/>
    <mergeCell ref="OJA10:OJE10"/>
    <mergeCell ref="OJF10:OJJ10"/>
    <mergeCell ref="OJK10:OJO10"/>
    <mergeCell ref="OHR10:OHV10"/>
    <mergeCell ref="OHW10:OIA10"/>
    <mergeCell ref="OIB10:OIF10"/>
    <mergeCell ref="OIG10:OIK10"/>
    <mergeCell ref="OIL10:OIP10"/>
    <mergeCell ref="OGS10:OGW10"/>
    <mergeCell ref="OGX10:OHB10"/>
    <mergeCell ref="OHC10:OHG10"/>
    <mergeCell ref="OHH10:OHL10"/>
    <mergeCell ref="OHM10:OHQ10"/>
    <mergeCell ref="OFT10:OFX10"/>
    <mergeCell ref="OFY10:OGC10"/>
    <mergeCell ref="OGD10:OGH10"/>
    <mergeCell ref="OGI10:OGM10"/>
    <mergeCell ref="OGN10:OGR10"/>
    <mergeCell ref="OEU10:OEY10"/>
    <mergeCell ref="OEZ10:OFD10"/>
    <mergeCell ref="OFE10:OFI10"/>
    <mergeCell ref="OFJ10:OFN10"/>
    <mergeCell ref="OFO10:OFS10"/>
    <mergeCell ref="ODV10:ODZ10"/>
    <mergeCell ref="OEA10:OEE10"/>
    <mergeCell ref="OEF10:OEJ10"/>
    <mergeCell ref="OEK10:OEO10"/>
    <mergeCell ref="OEP10:OET10"/>
    <mergeCell ref="OCW10:ODA10"/>
    <mergeCell ref="ODB10:ODF10"/>
    <mergeCell ref="ODG10:ODK10"/>
    <mergeCell ref="ODL10:ODP10"/>
    <mergeCell ref="ODQ10:ODU10"/>
    <mergeCell ref="OBX10:OCB10"/>
    <mergeCell ref="OCC10:OCG10"/>
    <mergeCell ref="OCH10:OCL10"/>
    <mergeCell ref="OCM10:OCQ10"/>
    <mergeCell ref="OCR10:OCV10"/>
    <mergeCell ref="OAY10:OBC10"/>
    <mergeCell ref="OBD10:OBH10"/>
    <mergeCell ref="OBI10:OBM10"/>
    <mergeCell ref="OBN10:OBR10"/>
    <mergeCell ref="OBS10:OBW10"/>
    <mergeCell ref="NZZ10:OAD10"/>
    <mergeCell ref="OAE10:OAI10"/>
    <mergeCell ref="OAJ10:OAN10"/>
    <mergeCell ref="OAO10:OAS10"/>
    <mergeCell ref="OAT10:OAX10"/>
    <mergeCell ref="NZA10:NZE10"/>
    <mergeCell ref="NZF10:NZJ10"/>
    <mergeCell ref="NZK10:NZO10"/>
    <mergeCell ref="NZP10:NZT10"/>
    <mergeCell ref="NZU10:NZY10"/>
    <mergeCell ref="NYB10:NYF10"/>
    <mergeCell ref="NYG10:NYK10"/>
    <mergeCell ref="NYL10:NYP10"/>
    <mergeCell ref="NYQ10:NYU10"/>
    <mergeCell ref="NYV10:NYZ10"/>
    <mergeCell ref="NXC10:NXG10"/>
    <mergeCell ref="NXH10:NXL10"/>
    <mergeCell ref="NXM10:NXQ10"/>
    <mergeCell ref="NXR10:NXV10"/>
    <mergeCell ref="NXW10:NYA10"/>
    <mergeCell ref="NWD10:NWH10"/>
    <mergeCell ref="NWI10:NWM10"/>
    <mergeCell ref="NWN10:NWR10"/>
    <mergeCell ref="NWS10:NWW10"/>
    <mergeCell ref="NWX10:NXB10"/>
    <mergeCell ref="NVE10:NVI10"/>
    <mergeCell ref="NVJ10:NVN10"/>
    <mergeCell ref="NVO10:NVS10"/>
    <mergeCell ref="NVT10:NVX10"/>
    <mergeCell ref="NVY10:NWC10"/>
    <mergeCell ref="NUF10:NUJ10"/>
    <mergeCell ref="NUK10:NUO10"/>
    <mergeCell ref="NUP10:NUT10"/>
    <mergeCell ref="NUU10:NUY10"/>
    <mergeCell ref="NUZ10:NVD10"/>
    <mergeCell ref="NTG10:NTK10"/>
    <mergeCell ref="NTL10:NTP10"/>
    <mergeCell ref="NTQ10:NTU10"/>
    <mergeCell ref="NTV10:NTZ10"/>
    <mergeCell ref="NUA10:NUE10"/>
    <mergeCell ref="NSH10:NSL10"/>
    <mergeCell ref="NSM10:NSQ10"/>
    <mergeCell ref="NSR10:NSV10"/>
    <mergeCell ref="NSW10:NTA10"/>
    <mergeCell ref="NTB10:NTF10"/>
    <mergeCell ref="NRI10:NRM10"/>
    <mergeCell ref="NRN10:NRR10"/>
    <mergeCell ref="NRS10:NRW10"/>
    <mergeCell ref="NRX10:NSB10"/>
    <mergeCell ref="NSC10:NSG10"/>
    <mergeCell ref="NQJ10:NQN10"/>
    <mergeCell ref="NQO10:NQS10"/>
    <mergeCell ref="NQT10:NQX10"/>
    <mergeCell ref="NQY10:NRC10"/>
    <mergeCell ref="NRD10:NRH10"/>
    <mergeCell ref="NPK10:NPO10"/>
    <mergeCell ref="NPP10:NPT10"/>
    <mergeCell ref="NPU10:NPY10"/>
    <mergeCell ref="NPZ10:NQD10"/>
    <mergeCell ref="NQE10:NQI10"/>
    <mergeCell ref="NOL10:NOP10"/>
    <mergeCell ref="NOQ10:NOU10"/>
    <mergeCell ref="NOV10:NOZ10"/>
    <mergeCell ref="NPA10:NPE10"/>
    <mergeCell ref="NPF10:NPJ10"/>
    <mergeCell ref="NNM10:NNQ10"/>
    <mergeCell ref="NNR10:NNV10"/>
    <mergeCell ref="NNW10:NOA10"/>
    <mergeCell ref="NOB10:NOF10"/>
    <mergeCell ref="NOG10:NOK10"/>
    <mergeCell ref="NMN10:NMR10"/>
    <mergeCell ref="NMS10:NMW10"/>
    <mergeCell ref="NMX10:NNB10"/>
    <mergeCell ref="NNC10:NNG10"/>
    <mergeCell ref="NNH10:NNL10"/>
    <mergeCell ref="NLO10:NLS10"/>
    <mergeCell ref="NLT10:NLX10"/>
    <mergeCell ref="NLY10:NMC10"/>
    <mergeCell ref="NMD10:NMH10"/>
    <mergeCell ref="NMI10:NMM10"/>
    <mergeCell ref="NKP10:NKT10"/>
    <mergeCell ref="NKU10:NKY10"/>
    <mergeCell ref="NKZ10:NLD10"/>
    <mergeCell ref="NLE10:NLI10"/>
    <mergeCell ref="NLJ10:NLN10"/>
    <mergeCell ref="NJQ10:NJU10"/>
    <mergeCell ref="NJV10:NJZ10"/>
    <mergeCell ref="NKA10:NKE10"/>
    <mergeCell ref="NKF10:NKJ10"/>
    <mergeCell ref="NKK10:NKO10"/>
    <mergeCell ref="NIR10:NIV10"/>
    <mergeCell ref="NIW10:NJA10"/>
    <mergeCell ref="NJB10:NJF10"/>
    <mergeCell ref="NJG10:NJK10"/>
    <mergeCell ref="NJL10:NJP10"/>
    <mergeCell ref="NHS10:NHW10"/>
    <mergeCell ref="NHX10:NIB10"/>
    <mergeCell ref="NIC10:NIG10"/>
    <mergeCell ref="NIH10:NIL10"/>
    <mergeCell ref="NIM10:NIQ10"/>
    <mergeCell ref="NGT10:NGX10"/>
    <mergeCell ref="NGY10:NHC10"/>
    <mergeCell ref="NHD10:NHH10"/>
    <mergeCell ref="NHI10:NHM10"/>
    <mergeCell ref="NHN10:NHR10"/>
    <mergeCell ref="NFU10:NFY10"/>
    <mergeCell ref="NFZ10:NGD10"/>
    <mergeCell ref="NGE10:NGI10"/>
    <mergeCell ref="NGJ10:NGN10"/>
    <mergeCell ref="NGO10:NGS10"/>
    <mergeCell ref="NEV10:NEZ10"/>
    <mergeCell ref="NFA10:NFE10"/>
    <mergeCell ref="NFF10:NFJ10"/>
    <mergeCell ref="NFK10:NFO10"/>
    <mergeCell ref="NFP10:NFT10"/>
    <mergeCell ref="NDW10:NEA10"/>
    <mergeCell ref="NEB10:NEF10"/>
    <mergeCell ref="NEG10:NEK10"/>
    <mergeCell ref="NEL10:NEP10"/>
    <mergeCell ref="NEQ10:NEU10"/>
    <mergeCell ref="NCX10:NDB10"/>
    <mergeCell ref="NDC10:NDG10"/>
    <mergeCell ref="NDH10:NDL10"/>
    <mergeCell ref="NDM10:NDQ10"/>
    <mergeCell ref="NDR10:NDV10"/>
    <mergeCell ref="NBY10:NCC10"/>
    <mergeCell ref="NCD10:NCH10"/>
    <mergeCell ref="NCI10:NCM10"/>
    <mergeCell ref="NCN10:NCR10"/>
    <mergeCell ref="NCS10:NCW10"/>
    <mergeCell ref="NAZ10:NBD10"/>
    <mergeCell ref="NBE10:NBI10"/>
    <mergeCell ref="NBJ10:NBN10"/>
    <mergeCell ref="NBO10:NBS10"/>
    <mergeCell ref="NBT10:NBX10"/>
    <mergeCell ref="NAA10:NAE10"/>
    <mergeCell ref="NAF10:NAJ10"/>
    <mergeCell ref="NAK10:NAO10"/>
    <mergeCell ref="NAP10:NAT10"/>
    <mergeCell ref="NAU10:NAY10"/>
    <mergeCell ref="MZB10:MZF10"/>
    <mergeCell ref="MZG10:MZK10"/>
    <mergeCell ref="MZL10:MZP10"/>
    <mergeCell ref="MZQ10:MZU10"/>
    <mergeCell ref="MZV10:MZZ10"/>
    <mergeCell ref="MYC10:MYG10"/>
    <mergeCell ref="MYH10:MYL10"/>
    <mergeCell ref="MYM10:MYQ10"/>
    <mergeCell ref="MYR10:MYV10"/>
    <mergeCell ref="MYW10:MZA10"/>
    <mergeCell ref="MXD10:MXH10"/>
    <mergeCell ref="MXI10:MXM10"/>
    <mergeCell ref="MXN10:MXR10"/>
    <mergeCell ref="MXS10:MXW10"/>
    <mergeCell ref="MXX10:MYB10"/>
    <mergeCell ref="MWE10:MWI10"/>
    <mergeCell ref="MWJ10:MWN10"/>
    <mergeCell ref="MWO10:MWS10"/>
    <mergeCell ref="MWT10:MWX10"/>
    <mergeCell ref="MWY10:MXC10"/>
    <mergeCell ref="MVF10:MVJ10"/>
    <mergeCell ref="MVK10:MVO10"/>
    <mergeCell ref="MVP10:MVT10"/>
    <mergeCell ref="MVU10:MVY10"/>
    <mergeCell ref="MVZ10:MWD10"/>
    <mergeCell ref="MUG10:MUK10"/>
    <mergeCell ref="MUL10:MUP10"/>
    <mergeCell ref="MUQ10:MUU10"/>
    <mergeCell ref="MUV10:MUZ10"/>
    <mergeCell ref="MVA10:MVE10"/>
    <mergeCell ref="MTH10:MTL10"/>
    <mergeCell ref="MTM10:MTQ10"/>
    <mergeCell ref="MTR10:MTV10"/>
    <mergeCell ref="MTW10:MUA10"/>
    <mergeCell ref="MUB10:MUF10"/>
    <mergeCell ref="MSI10:MSM10"/>
    <mergeCell ref="MSN10:MSR10"/>
    <mergeCell ref="MSS10:MSW10"/>
    <mergeCell ref="MSX10:MTB10"/>
    <mergeCell ref="MTC10:MTG10"/>
    <mergeCell ref="MRJ10:MRN10"/>
    <mergeCell ref="MRO10:MRS10"/>
    <mergeCell ref="MRT10:MRX10"/>
    <mergeCell ref="MRY10:MSC10"/>
    <mergeCell ref="MSD10:MSH10"/>
    <mergeCell ref="MQK10:MQO10"/>
    <mergeCell ref="MQP10:MQT10"/>
    <mergeCell ref="MQU10:MQY10"/>
    <mergeCell ref="MQZ10:MRD10"/>
    <mergeCell ref="MRE10:MRI10"/>
    <mergeCell ref="MPL10:MPP10"/>
    <mergeCell ref="MPQ10:MPU10"/>
    <mergeCell ref="MPV10:MPZ10"/>
    <mergeCell ref="MQA10:MQE10"/>
    <mergeCell ref="MQF10:MQJ10"/>
    <mergeCell ref="MOM10:MOQ10"/>
    <mergeCell ref="MOR10:MOV10"/>
    <mergeCell ref="MOW10:MPA10"/>
    <mergeCell ref="MPB10:MPF10"/>
    <mergeCell ref="MPG10:MPK10"/>
    <mergeCell ref="MNN10:MNR10"/>
    <mergeCell ref="MNS10:MNW10"/>
    <mergeCell ref="MNX10:MOB10"/>
    <mergeCell ref="MOC10:MOG10"/>
    <mergeCell ref="MOH10:MOL10"/>
    <mergeCell ref="MMO10:MMS10"/>
    <mergeCell ref="MMT10:MMX10"/>
    <mergeCell ref="MMY10:MNC10"/>
    <mergeCell ref="MND10:MNH10"/>
    <mergeCell ref="MNI10:MNM10"/>
    <mergeCell ref="MLP10:MLT10"/>
    <mergeCell ref="MLU10:MLY10"/>
    <mergeCell ref="MLZ10:MMD10"/>
    <mergeCell ref="MME10:MMI10"/>
    <mergeCell ref="MMJ10:MMN10"/>
    <mergeCell ref="MKQ10:MKU10"/>
    <mergeCell ref="MKV10:MKZ10"/>
    <mergeCell ref="MLA10:MLE10"/>
    <mergeCell ref="MLF10:MLJ10"/>
    <mergeCell ref="MLK10:MLO10"/>
    <mergeCell ref="MJR10:MJV10"/>
    <mergeCell ref="MJW10:MKA10"/>
    <mergeCell ref="MKB10:MKF10"/>
    <mergeCell ref="MKG10:MKK10"/>
    <mergeCell ref="MKL10:MKP10"/>
    <mergeCell ref="MIS10:MIW10"/>
    <mergeCell ref="MIX10:MJB10"/>
    <mergeCell ref="MJC10:MJG10"/>
    <mergeCell ref="MJH10:MJL10"/>
    <mergeCell ref="MJM10:MJQ10"/>
    <mergeCell ref="MHT10:MHX10"/>
    <mergeCell ref="MHY10:MIC10"/>
    <mergeCell ref="MID10:MIH10"/>
    <mergeCell ref="MII10:MIM10"/>
    <mergeCell ref="MIN10:MIR10"/>
    <mergeCell ref="MGU10:MGY10"/>
    <mergeCell ref="MGZ10:MHD10"/>
    <mergeCell ref="MHE10:MHI10"/>
    <mergeCell ref="MHJ10:MHN10"/>
    <mergeCell ref="MHO10:MHS10"/>
    <mergeCell ref="MFV10:MFZ10"/>
    <mergeCell ref="MGA10:MGE10"/>
    <mergeCell ref="MGF10:MGJ10"/>
    <mergeCell ref="MGK10:MGO10"/>
    <mergeCell ref="MGP10:MGT10"/>
    <mergeCell ref="MEW10:MFA10"/>
    <mergeCell ref="MFB10:MFF10"/>
    <mergeCell ref="MFG10:MFK10"/>
    <mergeCell ref="MFL10:MFP10"/>
    <mergeCell ref="MFQ10:MFU10"/>
    <mergeCell ref="MDX10:MEB10"/>
    <mergeCell ref="MEC10:MEG10"/>
    <mergeCell ref="MEH10:MEL10"/>
    <mergeCell ref="MEM10:MEQ10"/>
    <mergeCell ref="MER10:MEV10"/>
    <mergeCell ref="MCY10:MDC10"/>
    <mergeCell ref="MDD10:MDH10"/>
    <mergeCell ref="MDI10:MDM10"/>
    <mergeCell ref="MDN10:MDR10"/>
    <mergeCell ref="MDS10:MDW10"/>
    <mergeCell ref="MBZ10:MCD10"/>
    <mergeCell ref="MCE10:MCI10"/>
    <mergeCell ref="MCJ10:MCN10"/>
    <mergeCell ref="MCO10:MCS10"/>
    <mergeCell ref="MCT10:MCX10"/>
    <mergeCell ref="MBA10:MBE10"/>
    <mergeCell ref="MBF10:MBJ10"/>
    <mergeCell ref="MBK10:MBO10"/>
    <mergeCell ref="MBP10:MBT10"/>
    <mergeCell ref="MBU10:MBY10"/>
    <mergeCell ref="MAB10:MAF10"/>
    <mergeCell ref="MAG10:MAK10"/>
    <mergeCell ref="MAL10:MAP10"/>
    <mergeCell ref="MAQ10:MAU10"/>
    <mergeCell ref="MAV10:MAZ10"/>
    <mergeCell ref="LZC10:LZG10"/>
    <mergeCell ref="LZH10:LZL10"/>
    <mergeCell ref="LZM10:LZQ10"/>
    <mergeCell ref="LZR10:LZV10"/>
    <mergeCell ref="LZW10:MAA10"/>
    <mergeCell ref="LYD10:LYH10"/>
    <mergeCell ref="LYI10:LYM10"/>
    <mergeCell ref="LYN10:LYR10"/>
    <mergeCell ref="LYS10:LYW10"/>
    <mergeCell ref="LYX10:LZB10"/>
    <mergeCell ref="LXE10:LXI10"/>
    <mergeCell ref="LXJ10:LXN10"/>
    <mergeCell ref="LXO10:LXS10"/>
    <mergeCell ref="LXT10:LXX10"/>
    <mergeCell ref="LXY10:LYC10"/>
    <mergeCell ref="LWF10:LWJ10"/>
    <mergeCell ref="LWK10:LWO10"/>
    <mergeCell ref="LWP10:LWT10"/>
    <mergeCell ref="LWU10:LWY10"/>
    <mergeCell ref="LWZ10:LXD10"/>
    <mergeCell ref="LVG10:LVK10"/>
    <mergeCell ref="LVL10:LVP10"/>
    <mergeCell ref="LVQ10:LVU10"/>
    <mergeCell ref="LVV10:LVZ10"/>
    <mergeCell ref="LWA10:LWE10"/>
    <mergeCell ref="LUH10:LUL10"/>
    <mergeCell ref="LUM10:LUQ10"/>
    <mergeCell ref="LUR10:LUV10"/>
    <mergeCell ref="LUW10:LVA10"/>
    <mergeCell ref="LVB10:LVF10"/>
    <mergeCell ref="LTI10:LTM10"/>
    <mergeCell ref="LTN10:LTR10"/>
    <mergeCell ref="LTS10:LTW10"/>
    <mergeCell ref="LTX10:LUB10"/>
    <mergeCell ref="LUC10:LUG10"/>
    <mergeCell ref="LSJ10:LSN10"/>
    <mergeCell ref="LSO10:LSS10"/>
    <mergeCell ref="LST10:LSX10"/>
    <mergeCell ref="LSY10:LTC10"/>
    <mergeCell ref="LTD10:LTH10"/>
    <mergeCell ref="LRK10:LRO10"/>
    <mergeCell ref="LRP10:LRT10"/>
    <mergeCell ref="LRU10:LRY10"/>
    <mergeCell ref="LRZ10:LSD10"/>
    <mergeCell ref="LSE10:LSI10"/>
    <mergeCell ref="LQL10:LQP10"/>
    <mergeCell ref="LQQ10:LQU10"/>
    <mergeCell ref="LQV10:LQZ10"/>
    <mergeCell ref="LRA10:LRE10"/>
    <mergeCell ref="LRF10:LRJ10"/>
    <mergeCell ref="LPM10:LPQ10"/>
    <mergeCell ref="LPR10:LPV10"/>
    <mergeCell ref="LPW10:LQA10"/>
    <mergeCell ref="LQB10:LQF10"/>
    <mergeCell ref="LQG10:LQK10"/>
    <mergeCell ref="LON10:LOR10"/>
    <mergeCell ref="LOS10:LOW10"/>
    <mergeCell ref="LOX10:LPB10"/>
    <mergeCell ref="LPC10:LPG10"/>
    <mergeCell ref="LPH10:LPL10"/>
    <mergeCell ref="LNO10:LNS10"/>
    <mergeCell ref="LNT10:LNX10"/>
    <mergeCell ref="LNY10:LOC10"/>
    <mergeCell ref="LOD10:LOH10"/>
    <mergeCell ref="LOI10:LOM10"/>
    <mergeCell ref="LMP10:LMT10"/>
    <mergeCell ref="LMU10:LMY10"/>
    <mergeCell ref="LMZ10:LND10"/>
    <mergeCell ref="LNE10:LNI10"/>
    <mergeCell ref="LNJ10:LNN10"/>
    <mergeCell ref="LLQ10:LLU10"/>
    <mergeCell ref="LLV10:LLZ10"/>
    <mergeCell ref="LMA10:LME10"/>
    <mergeCell ref="LMF10:LMJ10"/>
    <mergeCell ref="LMK10:LMO10"/>
    <mergeCell ref="LKR10:LKV10"/>
    <mergeCell ref="LKW10:LLA10"/>
    <mergeCell ref="LLB10:LLF10"/>
    <mergeCell ref="LLG10:LLK10"/>
    <mergeCell ref="LLL10:LLP10"/>
    <mergeCell ref="LJS10:LJW10"/>
    <mergeCell ref="LJX10:LKB10"/>
    <mergeCell ref="LKC10:LKG10"/>
    <mergeCell ref="LKH10:LKL10"/>
    <mergeCell ref="LKM10:LKQ10"/>
    <mergeCell ref="LIT10:LIX10"/>
    <mergeCell ref="LIY10:LJC10"/>
    <mergeCell ref="LJD10:LJH10"/>
    <mergeCell ref="LJI10:LJM10"/>
    <mergeCell ref="LJN10:LJR10"/>
    <mergeCell ref="LHU10:LHY10"/>
    <mergeCell ref="LHZ10:LID10"/>
    <mergeCell ref="LIE10:LII10"/>
    <mergeCell ref="LIJ10:LIN10"/>
    <mergeCell ref="LIO10:LIS10"/>
    <mergeCell ref="LGV10:LGZ10"/>
    <mergeCell ref="LHA10:LHE10"/>
    <mergeCell ref="LHF10:LHJ10"/>
    <mergeCell ref="LHK10:LHO10"/>
    <mergeCell ref="LHP10:LHT10"/>
    <mergeCell ref="LFW10:LGA10"/>
    <mergeCell ref="LGB10:LGF10"/>
    <mergeCell ref="LGG10:LGK10"/>
    <mergeCell ref="LGL10:LGP10"/>
    <mergeCell ref="LGQ10:LGU10"/>
    <mergeCell ref="LEX10:LFB10"/>
    <mergeCell ref="LFC10:LFG10"/>
    <mergeCell ref="LFH10:LFL10"/>
    <mergeCell ref="LFM10:LFQ10"/>
    <mergeCell ref="LFR10:LFV10"/>
    <mergeCell ref="LDY10:LEC10"/>
    <mergeCell ref="LED10:LEH10"/>
    <mergeCell ref="LEI10:LEM10"/>
    <mergeCell ref="LEN10:LER10"/>
    <mergeCell ref="LES10:LEW10"/>
    <mergeCell ref="LCZ10:LDD10"/>
    <mergeCell ref="LDE10:LDI10"/>
    <mergeCell ref="LDJ10:LDN10"/>
    <mergeCell ref="LDO10:LDS10"/>
    <mergeCell ref="LDT10:LDX10"/>
    <mergeCell ref="LCA10:LCE10"/>
    <mergeCell ref="LCF10:LCJ10"/>
    <mergeCell ref="LCK10:LCO10"/>
    <mergeCell ref="LCP10:LCT10"/>
    <mergeCell ref="LCU10:LCY10"/>
    <mergeCell ref="LBB10:LBF10"/>
    <mergeCell ref="LBG10:LBK10"/>
    <mergeCell ref="LBL10:LBP10"/>
    <mergeCell ref="LBQ10:LBU10"/>
    <mergeCell ref="LBV10:LBZ10"/>
    <mergeCell ref="LAC10:LAG10"/>
    <mergeCell ref="LAH10:LAL10"/>
    <mergeCell ref="LAM10:LAQ10"/>
    <mergeCell ref="LAR10:LAV10"/>
    <mergeCell ref="LAW10:LBA10"/>
    <mergeCell ref="KZD10:KZH10"/>
    <mergeCell ref="KZI10:KZM10"/>
    <mergeCell ref="KZN10:KZR10"/>
    <mergeCell ref="KZS10:KZW10"/>
    <mergeCell ref="KZX10:LAB10"/>
    <mergeCell ref="KYE10:KYI10"/>
    <mergeCell ref="KYJ10:KYN10"/>
    <mergeCell ref="KYO10:KYS10"/>
    <mergeCell ref="KYT10:KYX10"/>
    <mergeCell ref="KYY10:KZC10"/>
    <mergeCell ref="KXF10:KXJ10"/>
    <mergeCell ref="KXK10:KXO10"/>
    <mergeCell ref="KXP10:KXT10"/>
    <mergeCell ref="KXU10:KXY10"/>
    <mergeCell ref="KXZ10:KYD10"/>
    <mergeCell ref="KWG10:KWK10"/>
    <mergeCell ref="KWL10:KWP10"/>
    <mergeCell ref="KWQ10:KWU10"/>
    <mergeCell ref="KWV10:KWZ10"/>
    <mergeCell ref="KXA10:KXE10"/>
    <mergeCell ref="KVH10:KVL10"/>
    <mergeCell ref="KVM10:KVQ10"/>
    <mergeCell ref="KVR10:KVV10"/>
    <mergeCell ref="KVW10:KWA10"/>
    <mergeCell ref="KWB10:KWF10"/>
    <mergeCell ref="KUI10:KUM10"/>
    <mergeCell ref="KUN10:KUR10"/>
    <mergeCell ref="KUS10:KUW10"/>
    <mergeCell ref="KUX10:KVB10"/>
    <mergeCell ref="KVC10:KVG10"/>
    <mergeCell ref="KTJ10:KTN10"/>
    <mergeCell ref="KTO10:KTS10"/>
    <mergeCell ref="KTT10:KTX10"/>
    <mergeCell ref="KTY10:KUC10"/>
    <mergeCell ref="KUD10:KUH10"/>
    <mergeCell ref="KSK10:KSO10"/>
    <mergeCell ref="KSP10:KST10"/>
    <mergeCell ref="KSU10:KSY10"/>
    <mergeCell ref="KSZ10:KTD10"/>
    <mergeCell ref="KTE10:KTI10"/>
    <mergeCell ref="KRL10:KRP10"/>
    <mergeCell ref="KRQ10:KRU10"/>
    <mergeCell ref="KRV10:KRZ10"/>
    <mergeCell ref="KSA10:KSE10"/>
    <mergeCell ref="KSF10:KSJ10"/>
    <mergeCell ref="KQM10:KQQ10"/>
    <mergeCell ref="KQR10:KQV10"/>
    <mergeCell ref="KQW10:KRA10"/>
    <mergeCell ref="KRB10:KRF10"/>
    <mergeCell ref="KRG10:KRK10"/>
    <mergeCell ref="KPN10:KPR10"/>
    <mergeCell ref="KPS10:KPW10"/>
    <mergeCell ref="KPX10:KQB10"/>
    <mergeCell ref="KQC10:KQG10"/>
    <mergeCell ref="KQH10:KQL10"/>
    <mergeCell ref="KOO10:KOS10"/>
    <mergeCell ref="KOT10:KOX10"/>
    <mergeCell ref="KOY10:KPC10"/>
    <mergeCell ref="KPD10:KPH10"/>
    <mergeCell ref="KPI10:KPM10"/>
    <mergeCell ref="KNP10:KNT10"/>
    <mergeCell ref="KNU10:KNY10"/>
    <mergeCell ref="KNZ10:KOD10"/>
    <mergeCell ref="KOE10:KOI10"/>
    <mergeCell ref="KOJ10:KON10"/>
    <mergeCell ref="KMQ10:KMU10"/>
    <mergeCell ref="KMV10:KMZ10"/>
    <mergeCell ref="KNA10:KNE10"/>
    <mergeCell ref="KNF10:KNJ10"/>
    <mergeCell ref="KNK10:KNO10"/>
    <mergeCell ref="KLR10:KLV10"/>
    <mergeCell ref="KLW10:KMA10"/>
    <mergeCell ref="KMB10:KMF10"/>
    <mergeCell ref="KMG10:KMK10"/>
    <mergeCell ref="KML10:KMP10"/>
    <mergeCell ref="KKS10:KKW10"/>
    <mergeCell ref="KKX10:KLB10"/>
    <mergeCell ref="KLC10:KLG10"/>
    <mergeCell ref="KLH10:KLL10"/>
    <mergeCell ref="KLM10:KLQ10"/>
    <mergeCell ref="KJT10:KJX10"/>
    <mergeCell ref="KJY10:KKC10"/>
    <mergeCell ref="KKD10:KKH10"/>
    <mergeCell ref="KKI10:KKM10"/>
    <mergeCell ref="KKN10:KKR10"/>
    <mergeCell ref="KIU10:KIY10"/>
    <mergeCell ref="KIZ10:KJD10"/>
    <mergeCell ref="KJE10:KJI10"/>
    <mergeCell ref="KJJ10:KJN10"/>
    <mergeCell ref="KJO10:KJS10"/>
    <mergeCell ref="KHV10:KHZ10"/>
    <mergeCell ref="KIA10:KIE10"/>
    <mergeCell ref="KIF10:KIJ10"/>
    <mergeCell ref="KIK10:KIO10"/>
    <mergeCell ref="KIP10:KIT10"/>
    <mergeCell ref="KGW10:KHA10"/>
    <mergeCell ref="KHB10:KHF10"/>
    <mergeCell ref="KHG10:KHK10"/>
    <mergeCell ref="KHL10:KHP10"/>
    <mergeCell ref="KHQ10:KHU10"/>
    <mergeCell ref="KFX10:KGB10"/>
    <mergeCell ref="KGC10:KGG10"/>
    <mergeCell ref="KGH10:KGL10"/>
    <mergeCell ref="KGM10:KGQ10"/>
    <mergeCell ref="KGR10:KGV10"/>
    <mergeCell ref="KEY10:KFC10"/>
    <mergeCell ref="KFD10:KFH10"/>
    <mergeCell ref="KFI10:KFM10"/>
    <mergeCell ref="KFN10:KFR10"/>
    <mergeCell ref="KFS10:KFW10"/>
    <mergeCell ref="KDZ10:KED10"/>
    <mergeCell ref="KEE10:KEI10"/>
    <mergeCell ref="KEJ10:KEN10"/>
    <mergeCell ref="KEO10:KES10"/>
    <mergeCell ref="KET10:KEX10"/>
    <mergeCell ref="KDA10:KDE10"/>
    <mergeCell ref="KDF10:KDJ10"/>
    <mergeCell ref="KDK10:KDO10"/>
    <mergeCell ref="KDP10:KDT10"/>
    <mergeCell ref="KDU10:KDY10"/>
    <mergeCell ref="KCB10:KCF10"/>
    <mergeCell ref="KCG10:KCK10"/>
    <mergeCell ref="KCL10:KCP10"/>
    <mergeCell ref="KCQ10:KCU10"/>
    <mergeCell ref="KCV10:KCZ10"/>
    <mergeCell ref="KBC10:KBG10"/>
    <mergeCell ref="KBH10:KBL10"/>
    <mergeCell ref="KBM10:KBQ10"/>
    <mergeCell ref="KBR10:KBV10"/>
    <mergeCell ref="KBW10:KCA10"/>
    <mergeCell ref="KAD10:KAH10"/>
    <mergeCell ref="KAI10:KAM10"/>
    <mergeCell ref="KAN10:KAR10"/>
    <mergeCell ref="KAS10:KAW10"/>
    <mergeCell ref="KAX10:KBB10"/>
    <mergeCell ref="JZE10:JZI10"/>
    <mergeCell ref="JZJ10:JZN10"/>
    <mergeCell ref="JZO10:JZS10"/>
    <mergeCell ref="JZT10:JZX10"/>
    <mergeCell ref="JZY10:KAC10"/>
    <mergeCell ref="JYF10:JYJ10"/>
    <mergeCell ref="JYK10:JYO10"/>
    <mergeCell ref="JYP10:JYT10"/>
    <mergeCell ref="JYU10:JYY10"/>
    <mergeCell ref="JYZ10:JZD10"/>
    <mergeCell ref="JXG10:JXK10"/>
    <mergeCell ref="JXL10:JXP10"/>
    <mergeCell ref="JXQ10:JXU10"/>
    <mergeCell ref="JXV10:JXZ10"/>
    <mergeCell ref="JYA10:JYE10"/>
    <mergeCell ref="JWH10:JWL10"/>
    <mergeCell ref="JWM10:JWQ10"/>
    <mergeCell ref="JWR10:JWV10"/>
    <mergeCell ref="JWW10:JXA10"/>
    <mergeCell ref="JXB10:JXF10"/>
    <mergeCell ref="JVI10:JVM10"/>
    <mergeCell ref="JVN10:JVR10"/>
    <mergeCell ref="JVS10:JVW10"/>
    <mergeCell ref="JVX10:JWB10"/>
    <mergeCell ref="JWC10:JWG10"/>
    <mergeCell ref="JUJ10:JUN10"/>
    <mergeCell ref="JUO10:JUS10"/>
    <mergeCell ref="JUT10:JUX10"/>
    <mergeCell ref="JUY10:JVC10"/>
    <mergeCell ref="JVD10:JVH10"/>
    <mergeCell ref="JTK10:JTO10"/>
    <mergeCell ref="JTP10:JTT10"/>
    <mergeCell ref="JTU10:JTY10"/>
    <mergeCell ref="JTZ10:JUD10"/>
    <mergeCell ref="JUE10:JUI10"/>
    <mergeCell ref="JSL10:JSP10"/>
    <mergeCell ref="JSQ10:JSU10"/>
    <mergeCell ref="JSV10:JSZ10"/>
    <mergeCell ref="JTA10:JTE10"/>
    <mergeCell ref="JTF10:JTJ10"/>
    <mergeCell ref="JRM10:JRQ10"/>
    <mergeCell ref="JRR10:JRV10"/>
    <mergeCell ref="JRW10:JSA10"/>
    <mergeCell ref="JSB10:JSF10"/>
    <mergeCell ref="JSG10:JSK10"/>
    <mergeCell ref="JQN10:JQR10"/>
    <mergeCell ref="JQS10:JQW10"/>
    <mergeCell ref="JQX10:JRB10"/>
    <mergeCell ref="JRC10:JRG10"/>
    <mergeCell ref="JRH10:JRL10"/>
    <mergeCell ref="JPO10:JPS10"/>
    <mergeCell ref="JPT10:JPX10"/>
    <mergeCell ref="JPY10:JQC10"/>
    <mergeCell ref="JQD10:JQH10"/>
    <mergeCell ref="JQI10:JQM10"/>
    <mergeCell ref="JOP10:JOT10"/>
    <mergeCell ref="JOU10:JOY10"/>
    <mergeCell ref="JOZ10:JPD10"/>
    <mergeCell ref="JPE10:JPI10"/>
    <mergeCell ref="JPJ10:JPN10"/>
    <mergeCell ref="JNQ10:JNU10"/>
    <mergeCell ref="JNV10:JNZ10"/>
    <mergeCell ref="JOA10:JOE10"/>
    <mergeCell ref="JOF10:JOJ10"/>
    <mergeCell ref="JOK10:JOO10"/>
    <mergeCell ref="JMR10:JMV10"/>
    <mergeCell ref="JMW10:JNA10"/>
    <mergeCell ref="JNB10:JNF10"/>
    <mergeCell ref="JNG10:JNK10"/>
    <mergeCell ref="JNL10:JNP10"/>
    <mergeCell ref="JLS10:JLW10"/>
    <mergeCell ref="JLX10:JMB10"/>
    <mergeCell ref="JMC10:JMG10"/>
    <mergeCell ref="JMH10:JML10"/>
    <mergeCell ref="JMM10:JMQ10"/>
    <mergeCell ref="JKT10:JKX10"/>
    <mergeCell ref="JKY10:JLC10"/>
    <mergeCell ref="JLD10:JLH10"/>
    <mergeCell ref="JLI10:JLM10"/>
    <mergeCell ref="JLN10:JLR10"/>
    <mergeCell ref="JJU10:JJY10"/>
    <mergeCell ref="JJZ10:JKD10"/>
    <mergeCell ref="JKE10:JKI10"/>
    <mergeCell ref="JKJ10:JKN10"/>
    <mergeCell ref="JKO10:JKS10"/>
    <mergeCell ref="JIV10:JIZ10"/>
    <mergeCell ref="JJA10:JJE10"/>
    <mergeCell ref="JJF10:JJJ10"/>
    <mergeCell ref="JJK10:JJO10"/>
    <mergeCell ref="JJP10:JJT10"/>
    <mergeCell ref="JHW10:JIA10"/>
    <mergeCell ref="JIB10:JIF10"/>
    <mergeCell ref="JIG10:JIK10"/>
    <mergeCell ref="JIL10:JIP10"/>
    <mergeCell ref="JIQ10:JIU10"/>
    <mergeCell ref="JGX10:JHB10"/>
    <mergeCell ref="JHC10:JHG10"/>
    <mergeCell ref="JHH10:JHL10"/>
    <mergeCell ref="JHM10:JHQ10"/>
    <mergeCell ref="JHR10:JHV10"/>
    <mergeCell ref="JFY10:JGC10"/>
    <mergeCell ref="JGD10:JGH10"/>
    <mergeCell ref="JGI10:JGM10"/>
    <mergeCell ref="JGN10:JGR10"/>
    <mergeCell ref="JGS10:JGW10"/>
    <mergeCell ref="JEZ10:JFD10"/>
    <mergeCell ref="JFE10:JFI10"/>
    <mergeCell ref="JFJ10:JFN10"/>
    <mergeCell ref="JFO10:JFS10"/>
    <mergeCell ref="JFT10:JFX10"/>
    <mergeCell ref="JEA10:JEE10"/>
    <mergeCell ref="JEF10:JEJ10"/>
    <mergeCell ref="JEK10:JEO10"/>
    <mergeCell ref="JEP10:JET10"/>
    <mergeCell ref="JEU10:JEY10"/>
    <mergeCell ref="JDB10:JDF10"/>
    <mergeCell ref="JDG10:JDK10"/>
    <mergeCell ref="JDL10:JDP10"/>
    <mergeCell ref="JDQ10:JDU10"/>
    <mergeCell ref="JDV10:JDZ10"/>
    <mergeCell ref="JCC10:JCG10"/>
    <mergeCell ref="JCH10:JCL10"/>
    <mergeCell ref="JCM10:JCQ10"/>
    <mergeCell ref="JCR10:JCV10"/>
    <mergeCell ref="JCW10:JDA10"/>
    <mergeCell ref="JBD10:JBH10"/>
    <mergeCell ref="JBI10:JBM10"/>
    <mergeCell ref="JBN10:JBR10"/>
    <mergeCell ref="JBS10:JBW10"/>
    <mergeCell ref="JBX10:JCB10"/>
    <mergeCell ref="JAE10:JAI10"/>
    <mergeCell ref="JAJ10:JAN10"/>
    <mergeCell ref="JAO10:JAS10"/>
    <mergeCell ref="JAT10:JAX10"/>
    <mergeCell ref="JAY10:JBC10"/>
    <mergeCell ref="IZF10:IZJ10"/>
    <mergeCell ref="IZK10:IZO10"/>
    <mergeCell ref="IZP10:IZT10"/>
    <mergeCell ref="IZU10:IZY10"/>
    <mergeCell ref="IZZ10:JAD10"/>
    <mergeCell ref="IYG10:IYK10"/>
    <mergeCell ref="IYL10:IYP10"/>
    <mergeCell ref="IYQ10:IYU10"/>
    <mergeCell ref="IYV10:IYZ10"/>
    <mergeCell ref="IZA10:IZE10"/>
    <mergeCell ref="IXH10:IXL10"/>
    <mergeCell ref="IXM10:IXQ10"/>
    <mergeCell ref="IXR10:IXV10"/>
    <mergeCell ref="IXW10:IYA10"/>
    <mergeCell ref="IYB10:IYF10"/>
    <mergeCell ref="IWI10:IWM10"/>
    <mergeCell ref="IWN10:IWR10"/>
    <mergeCell ref="IWS10:IWW10"/>
    <mergeCell ref="IWX10:IXB10"/>
    <mergeCell ref="IXC10:IXG10"/>
    <mergeCell ref="IVJ10:IVN10"/>
    <mergeCell ref="IVO10:IVS10"/>
    <mergeCell ref="IVT10:IVX10"/>
    <mergeCell ref="IVY10:IWC10"/>
    <mergeCell ref="IWD10:IWH10"/>
    <mergeCell ref="IUK10:IUO10"/>
    <mergeCell ref="IUP10:IUT10"/>
    <mergeCell ref="IUU10:IUY10"/>
    <mergeCell ref="IUZ10:IVD10"/>
    <mergeCell ref="IVE10:IVI10"/>
    <mergeCell ref="ITL10:ITP10"/>
    <mergeCell ref="ITQ10:ITU10"/>
    <mergeCell ref="ITV10:ITZ10"/>
    <mergeCell ref="IUA10:IUE10"/>
    <mergeCell ref="IUF10:IUJ10"/>
    <mergeCell ref="ISM10:ISQ10"/>
    <mergeCell ref="ISR10:ISV10"/>
    <mergeCell ref="ISW10:ITA10"/>
    <mergeCell ref="ITB10:ITF10"/>
    <mergeCell ref="ITG10:ITK10"/>
    <mergeCell ref="IRN10:IRR10"/>
    <mergeCell ref="IRS10:IRW10"/>
    <mergeCell ref="IRX10:ISB10"/>
    <mergeCell ref="ISC10:ISG10"/>
    <mergeCell ref="ISH10:ISL10"/>
    <mergeCell ref="IQO10:IQS10"/>
    <mergeCell ref="IQT10:IQX10"/>
    <mergeCell ref="IQY10:IRC10"/>
    <mergeCell ref="IRD10:IRH10"/>
    <mergeCell ref="IRI10:IRM10"/>
    <mergeCell ref="IPP10:IPT10"/>
    <mergeCell ref="IPU10:IPY10"/>
    <mergeCell ref="IPZ10:IQD10"/>
    <mergeCell ref="IQE10:IQI10"/>
    <mergeCell ref="IQJ10:IQN10"/>
    <mergeCell ref="IOQ10:IOU10"/>
    <mergeCell ref="IOV10:IOZ10"/>
    <mergeCell ref="IPA10:IPE10"/>
    <mergeCell ref="IPF10:IPJ10"/>
    <mergeCell ref="IPK10:IPO10"/>
    <mergeCell ref="INR10:INV10"/>
    <mergeCell ref="INW10:IOA10"/>
    <mergeCell ref="IOB10:IOF10"/>
    <mergeCell ref="IOG10:IOK10"/>
    <mergeCell ref="IOL10:IOP10"/>
    <mergeCell ref="IMS10:IMW10"/>
    <mergeCell ref="IMX10:INB10"/>
    <mergeCell ref="INC10:ING10"/>
    <mergeCell ref="INH10:INL10"/>
    <mergeCell ref="INM10:INQ10"/>
    <mergeCell ref="ILT10:ILX10"/>
    <mergeCell ref="ILY10:IMC10"/>
    <mergeCell ref="IMD10:IMH10"/>
    <mergeCell ref="IMI10:IMM10"/>
    <mergeCell ref="IMN10:IMR10"/>
    <mergeCell ref="IKU10:IKY10"/>
    <mergeCell ref="IKZ10:ILD10"/>
    <mergeCell ref="ILE10:ILI10"/>
    <mergeCell ref="ILJ10:ILN10"/>
    <mergeCell ref="ILO10:ILS10"/>
    <mergeCell ref="IJV10:IJZ10"/>
    <mergeCell ref="IKA10:IKE10"/>
    <mergeCell ref="IKF10:IKJ10"/>
    <mergeCell ref="IKK10:IKO10"/>
    <mergeCell ref="IKP10:IKT10"/>
    <mergeCell ref="IIW10:IJA10"/>
    <mergeCell ref="IJB10:IJF10"/>
    <mergeCell ref="IJG10:IJK10"/>
    <mergeCell ref="IJL10:IJP10"/>
    <mergeCell ref="IJQ10:IJU10"/>
    <mergeCell ref="IHX10:IIB10"/>
    <mergeCell ref="IIC10:IIG10"/>
    <mergeCell ref="IIH10:IIL10"/>
    <mergeCell ref="IIM10:IIQ10"/>
    <mergeCell ref="IIR10:IIV10"/>
    <mergeCell ref="IGY10:IHC10"/>
    <mergeCell ref="IHD10:IHH10"/>
    <mergeCell ref="IHI10:IHM10"/>
    <mergeCell ref="IHN10:IHR10"/>
    <mergeCell ref="IHS10:IHW10"/>
    <mergeCell ref="IFZ10:IGD10"/>
    <mergeCell ref="IGE10:IGI10"/>
    <mergeCell ref="IGJ10:IGN10"/>
    <mergeCell ref="IGO10:IGS10"/>
    <mergeCell ref="IGT10:IGX10"/>
    <mergeCell ref="IFA10:IFE10"/>
    <mergeCell ref="IFF10:IFJ10"/>
    <mergeCell ref="IFK10:IFO10"/>
    <mergeCell ref="IFP10:IFT10"/>
    <mergeCell ref="IFU10:IFY10"/>
    <mergeCell ref="IEB10:IEF10"/>
    <mergeCell ref="IEG10:IEK10"/>
    <mergeCell ref="IEL10:IEP10"/>
    <mergeCell ref="IEQ10:IEU10"/>
    <mergeCell ref="IEV10:IEZ10"/>
    <mergeCell ref="IDC10:IDG10"/>
    <mergeCell ref="IDH10:IDL10"/>
    <mergeCell ref="IDM10:IDQ10"/>
    <mergeCell ref="IDR10:IDV10"/>
    <mergeCell ref="IDW10:IEA10"/>
    <mergeCell ref="ICD10:ICH10"/>
    <mergeCell ref="ICI10:ICM10"/>
    <mergeCell ref="ICN10:ICR10"/>
    <mergeCell ref="ICS10:ICW10"/>
    <mergeCell ref="ICX10:IDB10"/>
    <mergeCell ref="IBE10:IBI10"/>
    <mergeCell ref="IBJ10:IBN10"/>
    <mergeCell ref="IBO10:IBS10"/>
    <mergeCell ref="IBT10:IBX10"/>
    <mergeCell ref="IBY10:ICC10"/>
    <mergeCell ref="IAF10:IAJ10"/>
    <mergeCell ref="IAK10:IAO10"/>
    <mergeCell ref="IAP10:IAT10"/>
    <mergeCell ref="IAU10:IAY10"/>
    <mergeCell ref="IAZ10:IBD10"/>
    <mergeCell ref="HZG10:HZK10"/>
    <mergeCell ref="HZL10:HZP10"/>
    <mergeCell ref="HZQ10:HZU10"/>
    <mergeCell ref="HZV10:HZZ10"/>
    <mergeCell ref="IAA10:IAE10"/>
    <mergeCell ref="HYH10:HYL10"/>
    <mergeCell ref="HYM10:HYQ10"/>
    <mergeCell ref="HYR10:HYV10"/>
    <mergeCell ref="HYW10:HZA10"/>
    <mergeCell ref="HZB10:HZF10"/>
    <mergeCell ref="HXI10:HXM10"/>
    <mergeCell ref="HXN10:HXR10"/>
    <mergeCell ref="HXS10:HXW10"/>
    <mergeCell ref="HXX10:HYB10"/>
    <mergeCell ref="HYC10:HYG10"/>
    <mergeCell ref="HWJ10:HWN10"/>
    <mergeCell ref="HWO10:HWS10"/>
    <mergeCell ref="HWT10:HWX10"/>
    <mergeCell ref="HWY10:HXC10"/>
    <mergeCell ref="HXD10:HXH10"/>
    <mergeCell ref="HVK10:HVO10"/>
    <mergeCell ref="HVP10:HVT10"/>
    <mergeCell ref="HVU10:HVY10"/>
    <mergeCell ref="HVZ10:HWD10"/>
    <mergeCell ref="HWE10:HWI10"/>
    <mergeCell ref="HUL10:HUP10"/>
    <mergeCell ref="HUQ10:HUU10"/>
    <mergeCell ref="HUV10:HUZ10"/>
    <mergeCell ref="HVA10:HVE10"/>
    <mergeCell ref="HVF10:HVJ10"/>
    <mergeCell ref="HTM10:HTQ10"/>
    <mergeCell ref="HTR10:HTV10"/>
    <mergeCell ref="HTW10:HUA10"/>
    <mergeCell ref="HUB10:HUF10"/>
    <mergeCell ref="HUG10:HUK10"/>
    <mergeCell ref="HSN10:HSR10"/>
    <mergeCell ref="HSS10:HSW10"/>
    <mergeCell ref="HSX10:HTB10"/>
    <mergeCell ref="HTC10:HTG10"/>
    <mergeCell ref="HTH10:HTL10"/>
    <mergeCell ref="HRO10:HRS10"/>
    <mergeCell ref="HRT10:HRX10"/>
    <mergeCell ref="HRY10:HSC10"/>
    <mergeCell ref="HSD10:HSH10"/>
    <mergeCell ref="HSI10:HSM10"/>
    <mergeCell ref="HQP10:HQT10"/>
    <mergeCell ref="HQU10:HQY10"/>
    <mergeCell ref="HQZ10:HRD10"/>
    <mergeCell ref="HRE10:HRI10"/>
    <mergeCell ref="HRJ10:HRN10"/>
    <mergeCell ref="HPQ10:HPU10"/>
    <mergeCell ref="HPV10:HPZ10"/>
    <mergeCell ref="HQA10:HQE10"/>
    <mergeCell ref="HQF10:HQJ10"/>
    <mergeCell ref="HQK10:HQO10"/>
    <mergeCell ref="HOR10:HOV10"/>
    <mergeCell ref="HOW10:HPA10"/>
    <mergeCell ref="HPB10:HPF10"/>
    <mergeCell ref="HPG10:HPK10"/>
    <mergeCell ref="HPL10:HPP10"/>
    <mergeCell ref="HNS10:HNW10"/>
    <mergeCell ref="HNX10:HOB10"/>
    <mergeCell ref="HOC10:HOG10"/>
    <mergeCell ref="HOH10:HOL10"/>
    <mergeCell ref="HOM10:HOQ10"/>
    <mergeCell ref="HMT10:HMX10"/>
    <mergeCell ref="HMY10:HNC10"/>
    <mergeCell ref="HND10:HNH10"/>
    <mergeCell ref="HNI10:HNM10"/>
    <mergeCell ref="HNN10:HNR10"/>
    <mergeCell ref="HLU10:HLY10"/>
    <mergeCell ref="HLZ10:HMD10"/>
    <mergeCell ref="HME10:HMI10"/>
    <mergeCell ref="HMJ10:HMN10"/>
    <mergeCell ref="HMO10:HMS10"/>
    <mergeCell ref="HKV10:HKZ10"/>
    <mergeCell ref="HLA10:HLE10"/>
    <mergeCell ref="HLF10:HLJ10"/>
    <mergeCell ref="HLK10:HLO10"/>
    <mergeCell ref="HLP10:HLT10"/>
    <mergeCell ref="HJW10:HKA10"/>
    <mergeCell ref="HKB10:HKF10"/>
    <mergeCell ref="HKG10:HKK10"/>
    <mergeCell ref="HKL10:HKP10"/>
    <mergeCell ref="HKQ10:HKU10"/>
    <mergeCell ref="HIX10:HJB10"/>
    <mergeCell ref="HJC10:HJG10"/>
    <mergeCell ref="HJH10:HJL10"/>
    <mergeCell ref="HJM10:HJQ10"/>
    <mergeCell ref="HJR10:HJV10"/>
    <mergeCell ref="HHY10:HIC10"/>
    <mergeCell ref="HID10:HIH10"/>
    <mergeCell ref="HII10:HIM10"/>
    <mergeCell ref="HIN10:HIR10"/>
    <mergeCell ref="HIS10:HIW10"/>
    <mergeCell ref="HGZ10:HHD10"/>
    <mergeCell ref="HHE10:HHI10"/>
    <mergeCell ref="HHJ10:HHN10"/>
    <mergeCell ref="HHO10:HHS10"/>
    <mergeCell ref="HHT10:HHX10"/>
    <mergeCell ref="HGA10:HGE10"/>
    <mergeCell ref="HGF10:HGJ10"/>
    <mergeCell ref="HGK10:HGO10"/>
    <mergeCell ref="HGP10:HGT10"/>
    <mergeCell ref="HGU10:HGY10"/>
    <mergeCell ref="HFB10:HFF10"/>
    <mergeCell ref="HFG10:HFK10"/>
    <mergeCell ref="HFL10:HFP10"/>
    <mergeCell ref="HFQ10:HFU10"/>
    <mergeCell ref="HFV10:HFZ10"/>
    <mergeCell ref="HEC10:HEG10"/>
    <mergeCell ref="HEH10:HEL10"/>
    <mergeCell ref="HEM10:HEQ10"/>
    <mergeCell ref="HER10:HEV10"/>
    <mergeCell ref="HEW10:HFA10"/>
    <mergeCell ref="HDD10:HDH10"/>
    <mergeCell ref="HDI10:HDM10"/>
    <mergeCell ref="HDN10:HDR10"/>
    <mergeCell ref="HDS10:HDW10"/>
    <mergeCell ref="HDX10:HEB10"/>
    <mergeCell ref="HCE10:HCI10"/>
    <mergeCell ref="HCJ10:HCN10"/>
    <mergeCell ref="HCO10:HCS10"/>
    <mergeCell ref="HCT10:HCX10"/>
    <mergeCell ref="HCY10:HDC10"/>
    <mergeCell ref="HBF10:HBJ10"/>
    <mergeCell ref="HBK10:HBO10"/>
    <mergeCell ref="HBP10:HBT10"/>
    <mergeCell ref="HBU10:HBY10"/>
    <mergeCell ref="HBZ10:HCD10"/>
    <mergeCell ref="HAG10:HAK10"/>
    <mergeCell ref="HAL10:HAP10"/>
    <mergeCell ref="HAQ10:HAU10"/>
    <mergeCell ref="HAV10:HAZ10"/>
    <mergeCell ref="HBA10:HBE10"/>
    <mergeCell ref="GZH10:GZL10"/>
    <mergeCell ref="GZM10:GZQ10"/>
    <mergeCell ref="GZR10:GZV10"/>
    <mergeCell ref="GZW10:HAA10"/>
    <mergeCell ref="HAB10:HAF10"/>
    <mergeCell ref="GYI10:GYM10"/>
    <mergeCell ref="GYN10:GYR10"/>
    <mergeCell ref="GYS10:GYW10"/>
    <mergeCell ref="GYX10:GZB10"/>
    <mergeCell ref="GZC10:GZG10"/>
    <mergeCell ref="GXJ10:GXN10"/>
    <mergeCell ref="GXO10:GXS10"/>
    <mergeCell ref="GXT10:GXX10"/>
    <mergeCell ref="GXY10:GYC10"/>
    <mergeCell ref="GYD10:GYH10"/>
    <mergeCell ref="GWK10:GWO10"/>
    <mergeCell ref="GWP10:GWT10"/>
    <mergeCell ref="GWU10:GWY10"/>
    <mergeCell ref="GWZ10:GXD10"/>
    <mergeCell ref="GXE10:GXI10"/>
    <mergeCell ref="GVL10:GVP10"/>
    <mergeCell ref="GVQ10:GVU10"/>
    <mergeCell ref="GVV10:GVZ10"/>
    <mergeCell ref="GWA10:GWE10"/>
    <mergeCell ref="GWF10:GWJ10"/>
    <mergeCell ref="GUM10:GUQ10"/>
    <mergeCell ref="GUR10:GUV10"/>
    <mergeCell ref="GUW10:GVA10"/>
    <mergeCell ref="GVB10:GVF10"/>
    <mergeCell ref="GVG10:GVK10"/>
    <mergeCell ref="GTN10:GTR10"/>
    <mergeCell ref="GTS10:GTW10"/>
    <mergeCell ref="GTX10:GUB10"/>
    <mergeCell ref="GUC10:GUG10"/>
    <mergeCell ref="GUH10:GUL10"/>
    <mergeCell ref="GSO10:GSS10"/>
    <mergeCell ref="GST10:GSX10"/>
    <mergeCell ref="GSY10:GTC10"/>
    <mergeCell ref="GTD10:GTH10"/>
    <mergeCell ref="GTI10:GTM10"/>
    <mergeCell ref="GRP10:GRT10"/>
    <mergeCell ref="GRU10:GRY10"/>
    <mergeCell ref="GRZ10:GSD10"/>
    <mergeCell ref="GSE10:GSI10"/>
    <mergeCell ref="GSJ10:GSN10"/>
    <mergeCell ref="GQQ10:GQU10"/>
    <mergeCell ref="GQV10:GQZ10"/>
    <mergeCell ref="GRA10:GRE10"/>
    <mergeCell ref="GRF10:GRJ10"/>
    <mergeCell ref="GRK10:GRO10"/>
    <mergeCell ref="GPR10:GPV10"/>
    <mergeCell ref="GPW10:GQA10"/>
    <mergeCell ref="GQB10:GQF10"/>
    <mergeCell ref="GQG10:GQK10"/>
    <mergeCell ref="GQL10:GQP10"/>
    <mergeCell ref="GOS10:GOW10"/>
    <mergeCell ref="GOX10:GPB10"/>
    <mergeCell ref="GPC10:GPG10"/>
    <mergeCell ref="GPH10:GPL10"/>
    <mergeCell ref="GPM10:GPQ10"/>
    <mergeCell ref="GNT10:GNX10"/>
    <mergeCell ref="GNY10:GOC10"/>
    <mergeCell ref="GOD10:GOH10"/>
    <mergeCell ref="GOI10:GOM10"/>
    <mergeCell ref="GON10:GOR10"/>
    <mergeCell ref="GMU10:GMY10"/>
    <mergeCell ref="GMZ10:GND10"/>
    <mergeCell ref="GNE10:GNI10"/>
    <mergeCell ref="GNJ10:GNN10"/>
    <mergeCell ref="GNO10:GNS10"/>
    <mergeCell ref="GLV10:GLZ10"/>
    <mergeCell ref="GMA10:GME10"/>
    <mergeCell ref="GMF10:GMJ10"/>
    <mergeCell ref="GMK10:GMO10"/>
    <mergeCell ref="GMP10:GMT10"/>
    <mergeCell ref="GKW10:GLA10"/>
    <mergeCell ref="GLB10:GLF10"/>
    <mergeCell ref="GLG10:GLK10"/>
    <mergeCell ref="GLL10:GLP10"/>
    <mergeCell ref="GLQ10:GLU10"/>
    <mergeCell ref="GJX10:GKB10"/>
    <mergeCell ref="GKC10:GKG10"/>
    <mergeCell ref="GKH10:GKL10"/>
    <mergeCell ref="GKM10:GKQ10"/>
    <mergeCell ref="GKR10:GKV10"/>
    <mergeCell ref="GIY10:GJC10"/>
    <mergeCell ref="GJD10:GJH10"/>
    <mergeCell ref="GJI10:GJM10"/>
    <mergeCell ref="GJN10:GJR10"/>
    <mergeCell ref="GJS10:GJW10"/>
    <mergeCell ref="GHZ10:GID10"/>
    <mergeCell ref="GIE10:GII10"/>
    <mergeCell ref="GIJ10:GIN10"/>
    <mergeCell ref="GIO10:GIS10"/>
    <mergeCell ref="GIT10:GIX10"/>
    <mergeCell ref="GHA10:GHE10"/>
    <mergeCell ref="GHF10:GHJ10"/>
    <mergeCell ref="GHK10:GHO10"/>
    <mergeCell ref="GHP10:GHT10"/>
    <mergeCell ref="GHU10:GHY10"/>
    <mergeCell ref="GGB10:GGF10"/>
    <mergeCell ref="GGG10:GGK10"/>
    <mergeCell ref="GGL10:GGP10"/>
    <mergeCell ref="GGQ10:GGU10"/>
    <mergeCell ref="GGV10:GGZ10"/>
    <mergeCell ref="GFC10:GFG10"/>
    <mergeCell ref="GFH10:GFL10"/>
    <mergeCell ref="GFM10:GFQ10"/>
    <mergeCell ref="GFR10:GFV10"/>
    <mergeCell ref="GFW10:GGA10"/>
    <mergeCell ref="GED10:GEH10"/>
    <mergeCell ref="GEI10:GEM10"/>
    <mergeCell ref="GEN10:GER10"/>
    <mergeCell ref="GES10:GEW10"/>
    <mergeCell ref="GEX10:GFB10"/>
    <mergeCell ref="GDE10:GDI10"/>
    <mergeCell ref="GDJ10:GDN10"/>
    <mergeCell ref="GDO10:GDS10"/>
    <mergeCell ref="GDT10:GDX10"/>
    <mergeCell ref="GDY10:GEC10"/>
    <mergeCell ref="GCF10:GCJ10"/>
    <mergeCell ref="GCK10:GCO10"/>
    <mergeCell ref="GCP10:GCT10"/>
    <mergeCell ref="GCU10:GCY10"/>
    <mergeCell ref="GCZ10:GDD10"/>
    <mergeCell ref="GBG10:GBK10"/>
    <mergeCell ref="GBL10:GBP10"/>
    <mergeCell ref="GBQ10:GBU10"/>
    <mergeCell ref="GBV10:GBZ10"/>
    <mergeCell ref="GCA10:GCE10"/>
    <mergeCell ref="GAH10:GAL10"/>
    <mergeCell ref="GAM10:GAQ10"/>
    <mergeCell ref="GAR10:GAV10"/>
    <mergeCell ref="GAW10:GBA10"/>
    <mergeCell ref="GBB10:GBF10"/>
    <mergeCell ref="FZI10:FZM10"/>
    <mergeCell ref="FZN10:FZR10"/>
    <mergeCell ref="FZS10:FZW10"/>
    <mergeCell ref="FZX10:GAB10"/>
    <mergeCell ref="GAC10:GAG10"/>
    <mergeCell ref="FYJ10:FYN10"/>
    <mergeCell ref="FYO10:FYS10"/>
    <mergeCell ref="FYT10:FYX10"/>
    <mergeCell ref="FYY10:FZC10"/>
    <mergeCell ref="FZD10:FZH10"/>
    <mergeCell ref="FXK10:FXO10"/>
    <mergeCell ref="FXP10:FXT10"/>
    <mergeCell ref="FXU10:FXY10"/>
    <mergeCell ref="FXZ10:FYD10"/>
    <mergeCell ref="FYE10:FYI10"/>
    <mergeCell ref="FWL10:FWP10"/>
    <mergeCell ref="FWQ10:FWU10"/>
    <mergeCell ref="FWV10:FWZ10"/>
    <mergeCell ref="FXA10:FXE10"/>
    <mergeCell ref="FXF10:FXJ10"/>
    <mergeCell ref="FVM10:FVQ10"/>
    <mergeCell ref="FVR10:FVV10"/>
    <mergeCell ref="FVW10:FWA10"/>
    <mergeCell ref="FWB10:FWF10"/>
    <mergeCell ref="FWG10:FWK10"/>
    <mergeCell ref="FUN10:FUR10"/>
    <mergeCell ref="FUS10:FUW10"/>
    <mergeCell ref="FUX10:FVB10"/>
    <mergeCell ref="FVC10:FVG10"/>
    <mergeCell ref="FVH10:FVL10"/>
    <mergeCell ref="FTO10:FTS10"/>
    <mergeCell ref="FTT10:FTX10"/>
    <mergeCell ref="FTY10:FUC10"/>
    <mergeCell ref="FUD10:FUH10"/>
    <mergeCell ref="FUI10:FUM10"/>
    <mergeCell ref="FSP10:FST10"/>
    <mergeCell ref="FSU10:FSY10"/>
    <mergeCell ref="FSZ10:FTD10"/>
    <mergeCell ref="FTE10:FTI10"/>
    <mergeCell ref="FTJ10:FTN10"/>
    <mergeCell ref="FRQ10:FRU10"/>
    <mergeCell ref="FRV10:FRZ10"/>
    <mergeCell ref="FSA10:FSE10"/>
    <mergeCell ref="FSF10:FSJ10"/>
    <mergeCell ref="FSK10:FSO10"/>
    <mergeCell ref="FQR10:FQV10"/>
    <mergeCell ref="FQW10:FRA10"/>
    <mergeCell ref="FRB10:FRF10"/>
    <mergeCell ref="FRG10:FRK10"/>
    <mergeCell ref="FRL10:FRP10"/>
    <mergeCell ref="FPS10:FPW10"/>
    <mergeCell ref="FPX10:FQB10"/>
    <mergeCell ref="FQC10:FQG10"/>
    <mergeCell ref="FQH10:FQL10"/>
    <mergeCell ref="FQM10:FQQ10"/>
    <mergeCell ref="FOT10:FOX10"/>
    <mergeCell ref="FOY10:FPC10"/>
    <mergeCell ref="FPD10:FPH10"/>
    <mergeCell ref="FPI10:FPM10"/>
    <mergeCell ref="FPN10:FPR10"/>
    <mergeCell ref="FNU10:FNY10"/>
    <mergeCell ref="FNZ10:FOD10"/>
    <mergeCell ref="FOE10:FOI10"/>
    <mergeCell ref="FOJ10:FON10"/>
    <mergeCell ref="FOO10:FOS10"/>
    <mergeCell ref="FMV10:FMZ10"/>
    <mergeCell ref="FNA10:FNE10"/>
    <mergeCell ref="FNF10:FNJ10"/>
    <mergeCell ref="FNK10:FNO10"/>
    <mergeCell ref="FNP10:FNT10"/>
    <mergeCell ref="FLW10:FMA10"/>
    <mergeCell ref="FMB10:FMF10"/>
    <mergeCell ref="FMG10:FMK10"/>
    <mergeCell ref="FML10:FMP10"/>
    <mergeCell ref="FMQ10:FMU10"/>
    <mergeCell ref="FKX10:FLB10"/>
    <mergeCell ref="FLC10:FLG10"/>
    <mergeCell ref="FLH10:FLL10"/>
    <mergeCell ref="FLM10:FLQ10"/>
    <mergeCell ref="FLR10:FLV10"/>
    <mergeCell ref="FJY10:FKC10"/>
    <mergeCell ref="FKD10:FKH10"/>
    <mergeCell ref="FKI10:FKM10"/>
    <mergeCell ref="FKN10:FKR10"/>
    <mergeCell ref="FKS10:FKW10"/>
    <mergeCell ref="FIZ10:FJD10"/>
    <mergeCell ref="FJE10:FJI10"/>
    <mergeCell ref="FJJ10:FJN10"/>
    <mergeCell ref="FJO10:FJS10"/>
    <mergeCell ref="FJT10:FJX10"/>
    <mergeCell ref="FIA10:FIE10"/>
    <mergeCell ref="FIF10:FIJ10"/>
    <mergeCell ref="FIK10:FIO10"/>
    <mergeCell ref="FIP10:FIT10"/>
    <mergeCell ref="FIU10:FIY10"/>
    <mergeCell ref="FHB10:FHF10"/>
    <mergeCell ref="FHG10:FHK10"/>
    <mergeCell ref="FHL10:FHP10"/>
    <mergeCell ref="FHQ10:FHU10"/>
    <mergeCell ref="FHV10:FHZ10"/>
    <mergeCell ref="FGC10:FGG10"/>
    <mergeCell ref="FGH10:FGL10"/>
    <mergeCell ref="FGM10:FGQ10"/>
    <mergeCell ref="FGR10:FGV10"/>
    <mergeCell ref="FGW10:FHA10"/>
    <mergeCell ref="FFD10:FFH10"/>
    <mergeCell ref="FFI10:FFM10"/>
    <mergeCell ref="FFN10:FFR10"/>
    <mergeCell ref="FFS10:FFW10"/>
    <mergeCell ref="FFX10:FGB10"/>
    <mergeCell ref="FEE10:FEI10"/>
    <mergeCell ref="FEJ10:FEN10"/>
    <mergeCell ref="FEO10:FES10"/>
    <mergeCell ref="FET10:FEX10"/>
    <mergeCell ref="FEY10:FFC10"/>
    <mergeCell ref="FDF10:FDJ10"/>
    <mergeCell ref="FDK10:FDO10"/>
    <mergeCell ref="FDP10:FDT10"/>
    <mergeCell ref="FDU10:FDY10"/>
    <mergeCell ref="FDZ10:FED10"/>
    <mergeCell ref="FCG10:FCK10"/>
    <mergeCell ref="FCL10:FCP10"/>
    <mergeCell ref="FCQ10:FCU10"/>
    <mergeCell ref="FCV10:FCZ10"/>
    <mergeCell ref="FDA10:FDE10"/>
    <mergeCell ref="FBH10:FBL10"/>
    <mergeCell ref="FBM10:FBQ10"/>
    <mergeCell ref="FBR10:FBV10"/>
    <mergeCell ref="FBW10:FCA10"/>
    <mergeCell ref="FCB10:FCF10"/>
    <mergeCell ref="FAI10:FAM10"/>
    <mergeCell ref="FAN10:FAR10"/>
    <mergeCell ref="FAS10:FAW10"/>
    <mergeCell ref="FAX10:FBB10"/>
    <mergeCell ref="FBC10:FBG10"/>
    <mergeCell ref="EZJ10:EZN10"/>
    <mergeCell ref="EZO10:EZS10"/>
    <mergeCell ref="EZT10:EZX10"/>
    <mergeCell ref="EZY10:FAC10"/>
    <mergeCell ref="FAD10:FAH10"/>
    <mergeCell ref="EYK10:EYO10"/>
    <mergeCell ref="EYP10:EYT10"/>
    <mergeCell ref="EYU10:EYY10"/>
    <mergeCell ref="EYZ10:EZD10"/>
    <mergeCell ref="EZE10:EZI10"/>
    <mergeCell ref="EXL10:EXP10"/>
    <mergeCell ref="EXQ10:EXU10"/>
    <mergeCell ref="EXV10:EXZ10"/>
    <mergeCell ref="EYA10:EYE10"/>
    <mergeCell ref="EYF10:EYJ10"/>
    <mergeCell ref="EWM10:EWQ10"/>
    <mergeCell ref="EWR10:EWV10"/>
    <mergeCell ref="EWW10:EXA10"/>
    <mergeCell ref="EXB10:EXF10"/>
    <mergeCell ref="EXG10:EXK10"/>
    <mergeCell ref="EVN10:EVR10"/>
    <mergeCell ref="EVS10:EVW10"/>
    <mergeCell ref="EVX10:EWB10"/>
    <mergeCell ref="EWC10:EWG10"/>
    <mergeCell ref="EWH10:EWL10"/>
    <mergeCell ref="EUO10:EUS10"/>
    <mergeCell ref="EUT10:EUX10"/>
    <mergeCell ref="EUY10:EVC10"/>
    <mergeCell ref="EVD10:EVH10"/>
    <mergeCell ref="EVI10:EVM10"/>
    <mergeCell ref="ETP10:ETT10"/>
    <mergeCell ref="ETU10:ETY10"/>
    <mergeCell ref="ETZ10:EUD10"/>
    <mergeCell ref="EUE10:EUI10"/>
    <mergeCell ref="EUJ10:EUN10"/>
    <mergeCell ref="ESQ10:ESU10"/>
    <mergeCell ref="ESV10:ESZ10"/>
    <mergeCell ref="ETA10:ETE10"/>
    <mergeCell ref="ETF10:ETJ10"/>
    <mergeCell ref="ETK10:ETO10"/>
    <mergeCell ref="ERR10:ERV10"/>
    <mergeCell ref="ERW10:ESA10"/>
    <mergeCell ref="ESB10:ESF10"/>
    <mergeCell ref="ESG10:ESK10"/>
    <mergeCell ref="ESL10:ESP10"/>
    <mergeCell ref="EQS10:EQW10"/>
    <mergeCell ref="EQX10:ERB10"/>
    <mergeCell ref="ERC10:ERG10"/>
    <mergeCell ref="ERH10:ERL10"/>
    <mergeCell ref="ERM10:ERQ10"/>
    <mergeCell ref="EPT10:EPX10"/>
    <mergeCell ref="EPY10:EQC10"/>
    <mergeCell ref="EQD10:EQH10"/>
    <mergeCell ref="EQI10:EQM10"/>
    <mergeCell ref="EQN10:EQR10"/>
    <mergeCell ref="EOU10:EOY10"/>
    <mergeCell ref="EOZ10:EPD10"/>
    <mergeCell ref="EPE10:EPI10"/>
    <mergeCell ref="EPJ10:EPN10"/>
    <mergeCell ref="EPO10:EPS10"/>
    <mergeCell ref="ENV10:ENZ10"/>
    <mergeCell ref="EOA10:EOE10"/>
    <mergeCell ref="EOF10:EOJ10"/>
    <mergeCell ref="EOK10:EOO10"/>
    <mergeCell ref="EOP10:EOT10"/>
    <mergeCell ref="EMW10:ENA10"/>
    <mergeCell ref="ENB10:ENF10"/>
    <mergeCell ref="ENG10:ENK10"/>
    <mergeCell ref="ENL10:ENP10"/>
    <mergeCell ref="ENQ10:ENU10"/>
    <mergeCell ref="ELX10:EMB10"/>
    <mergeCell ref="EMC10:EMG10"/>
    <mergeCell ref="EMH10:EML10"/>
    <mergeCell ref="EMM10:EMQ10"/>
    <mergeCell ref="EMR10:EMV10"/>
    <mergeCell ref="EKY10:ELC10"/>
    <mergeCell ref="ELD10:ELH10"/>
    <mergeCell ref="ELI10:ELM10"/>
    <mergeCell ref="ELN10:ELR10"/>
    <mergeCell ref="ELS10:ELW10"/>
    <mergeCell ref="EJZ10:EKD10"/>
    <mergeCell ref="EKE10:EKI10"/>
    <mergeCell ref="EKJ10:EKN10"/>
    <mergeCell ref="EKO10:EKS10"/>
    <mergeCell ref="EKT10:EKX10"/>
    <mergeCell ref="EJA10:EJE10"/>
    <mergeCell ref="EJF10:EJJ10"/>
    <mergeCell ref="EJK10:EJO10"/>
    <mergeCell ref="EJP10:EJT10"/>
    <mergeCell ref="EJU10:EJY10"/>
    <mergeCell ref="EIB10:EIF10"/>
    <mergeCell ref="EIG10:EIK10"/>
    <mergeCell ref="EIL10:EIP10"/>
    <mergeCell ref="EIQ10:EIU10"/>
    <mergeCell ref="EIV10:EIZ10"/>
    <mergeCell ref="EHC10:EHG10"/>
    <mergeCell ref="EHH10:EHL10"/>
    <mergeCell ref="EHM10:EHQ10"/>
    <mergeCell ref="EHR10:EHV10"/>
    <mergeCell ref="EHW10:EIA10"/>
    <mergeCell ref="EGD10:EGH10"/>
    <mergeCell ref="EGI10:EGM10"/>
    <mergeCell ref="EGN10:EGR10"/>
    <mergeCell ref="EGS10:EGW10"/>
    <mergeCell ref="EGX10:EHB10"/>
    <mergeCell ref="EFE10:EFI10"/>
    <mergeCell ref="EFJ10:EFN10"/>
    <mergeCell ref="EFO10:EFS10"/>
    <mergeCell ref="EFT10:EFX10"/>
    <mergeCell ref="EFY10:EGC10"/>
    <mergeCell ref="EEF10:EEJ10"/>
    <mergeCell ref="EEK10:EEO10"/>
    <mergeCell ref="EEP10:EET10"/>
    <mergeCell ref="EEU10:EEY10"/>
    <mergeCell ref="EEZ10:EFD10"/>
    <mergeCell ref="EDG10:EDK10"/>
    <mergeCell ref="EDL10:EDP10"/>
    <mergeCell ref="EDQ10:EDU10"/>
    <mergeCell ref="EDV10:EDZ10"/>
    <mergeCell ref="EEA10:EEE10"/>
    <mergeCell ref="ECH10:ECL10"/>
    <mergeCell ref="ECM10:ECQ10"/>
    <mergeCell ref="ECR10:ECV10"/>
    <mergeCell ref="ECW10:EDA10"/>
    <mergeCell ref="EDB10:EDF10"/>
    <mergeCell ref="EBI10:EBM10"/>
    <mergeCell ref="EBN10:EBR10"/>
    <mergeCell ref="EBS10:EBW10"/>
    <mergeCell ref="EBX10:ECB10"/>
    <mergeCell ref="ECC10:ECG10"/>
    <mergeCell ref="EAJ10:EAN10"/>
    <mergeCell ref="EAO10:EAS10"/>
    <mergeCell ref="EAT10:EAX10"/>
    <mergeCell ref="EAY10:EBC10"/>
    <mergeCell ref="EBD10:EBH10"/>
    <mergeCell ref="DZK10:DZO10"/>
    <mergeCell ref="DZP10:DZT10"/>
    <mergeCell ref="DZU10:DZY10"/>
    <mergeCell ref="DZZ10:EAD10"/>
    <mergeCell ref="EAE10:EAI10"/>
    <mergeCell ref="DYL10:DYP10"/>
    <mergeCell ref="DYQ10:DYU10"/>
    <mergeCell ref="DYV10:DYZ10"/>
    <mergeCell ref="DZA10:DZE10"/>
    <mergeCell ref="DZF10:DZJ10"/>
    <mergeCell ref="DXM10:DXQ10"/>
    <mergeCell ref="DXR10:DXV10"/>
    <mergeCell ref="DXW10:DYA10"/>
    <mergeCell ref="DYB10:DYF10"/>
    <mergeCell ref="DYG10:DYK10"/>
    <mergeCell ref="DWN10:DWR10"/>
    <mergeCell ref="DWS10:DWW10"/>
    <mergeCell ref="DWX10:DXB10"/>
    <mergeCell ref="DXC10:DXG10"/>
    <mergeCell ref="DXH10:DXL10"/>
    <mergeCell ref="DVO10:DVS10"/>
    <mergeCell ref="DVT10:DVX10"/>
    <mergeCell ref="DVY10:DWC10"/>
    <mergeCell ref="DWD10:DWH10"/>
    <mergeCell ref="DWI10:DWM10"/>
    <mergeCell ref="DUP10:DUT10"/>
    <mergeCell ref="DUU10:DUY10"/>
    <mergeCell ref="DUZ10:DVD10"/>
    <mergeCell ref="DVE10:DVI10"/>
    <mergeCell ref="DVJ10:DVN10"/>
    <mergeCell ref="DTQ10:DTU10"/>
    <mergeCell ref="DTV10:DTZ10"/>
    <mergeCell ref="DUA10:DUE10"/>
    <mergeCell ref="DUF10:DUJ10"/>
    <mergeCell ref="DUK10:DUO10"/>
    <mergeCell ref="DSR10:DSV10"/>
    <mergeCell ref="DSW10:DTA10"/>
    <mergeCell ref="DTB10:DTF10"/>
    <mergeCell ref="DTG10:DTK10"/>
    <mergeCell ref="DTL10:DTP10"/>
    <mergeCell ref="DRS10:DRW10"/>
    <mergeCell ref="DRX10:DSB10"/>
    <mergeCell ref="DSC10:DSG10"/>
    <mergeCell ref="DSH10:DSL10"/>
    <mergeCell ref="DSM10:DSQ10"/>
    <mergeCell ref="DQT10:DQX10"/>
    <mergeCell ref="DQY10:DRC10"/>
    <mergeCell ref="DRD10:DRH10"/>
    <mergeCell ref="DRI10:DRM10"/>
    <mergeCell ref="DRN10:DRR10"/>
    <mergeCell ref="DPU10:DPY10"/>
    <mergeCell ref="DPZ10:DQD10"/>
    <mergeCell ref="DQE10:DQI10"/>
    <mergeCell ref="DQJ10:DQN10"/>
    <mergeCell ref="DQO10:DQS10"/>
    <mergeCell ref="DOV10:DOZ10"/>
    <mergeCell ref="DPA10:DPE10"/>
    <mergeCell ref="DPF10:DPJ10"/>
    <mergeCell ref="DPK10:DPO10"/>
    <mergeCell ref="DPP10:DPT10"/>
    <mergeCell ref="DNW10:DOA10"/>
    <mergeCell ref="DOB10:DOF10"/>
    <mergeCell ref="DOG10:DOK10"/>
    <mergeCell ref="DOL10:DOP10"/>
    <mergeCell ref="DOQ10:DOU10"/>
    <mergeCell ref="DMX10:DNB10"/>
    <mergeCell ref="DNC10:DNG10"/>
    <mergeCell ref="DNH10:DNL10"/>
    <mergeCell ref="DNM10:DNQ10"/>
    <mergeCell ref="DNR10:DNV10"/>
    <mergeCell ref="DLY10:DMC10"/>
    <mergeCell ref="DMD10:DMH10"/>
    <mergeCell ref="DMI10:DMM10"/>
    <mergeCell ref="DMN10:DMR10"/>
    <mergeCell ref="DMS10:DMW10"/>
    <mergeCell ref="DKZ10:DLD10"/>
    <mergeCell ref="DLE10:DLI10"/>
    <mergeCell ref="DLJ10:DLN10"/>
    <mergeCell ref="DLO10:DLS10"/>
    <mergeCell ref="DLT10:DLX10"/>
    <mergeCell ref="DKA10:DKE10"/>
    <mergeCell ref="DKF10:DKJ10"/>
    <mergeCell ref="DKK10:DKO10"/>
    <mergeCell ref="DKP10:DKT10"/>
    <mergeCell ref="DKU10:DKY10"/>
    <mergeCell ref="DJB10:DJF10"/>
    <mergeCell ref="DJG10:DJK10"/>
    <mergeCell ref="DJL10:DJP10"/>
    <mergeCell ref="DJQ10:DJU10"/>
    <mergeCell ref="DJV10:DJZ10"/>
    <mergeCell ref="DIC10:DIG10"/>
    <mergeCell ref="DIH10:DIL10"/>
    <mergeCell ref="DIM10:DIQ10"/>
    <mergeCell ref="DIR10:DIV10"/>
    <mergeCell ref="DIW10:DJA10"/>
    <mergeCell ref="DHD10:DHH10"/>
    <mergeCell ref="DHI10:DHM10"/>
    <mergeCell ref="DHN10:DHR10"/>
    <mergeCell ref="DHS10:DHW10"/>
    <mergeCell ref="DHX10:DIB10"/>
    <mergeCell ref="DGE10:DGI10"/>
    <mergeCell ref="DGJ10:DGN10"/>
    <mergeCell ref="DGO10:DGS10"/>
    <mergeCell ref="DGT10:DGX10"/>
    <mergeCell ref="DGY10:DHC10"/>
    <mergeCell ref="DFF10:DFJ10"/>
    <mergeCell ref="DFK10:DFO10"/>
    <mergeCell ref="DFP10:DFT10"/>
    <mergeCell ref="DFU10:DFY10"/>
    <mergeCell ref="DFZ10:DGD10"/>
    <mergeCell ref="DEG10:DEK10"/>
    <mergeCell ref="DEL10:DEP10"/>
    <mergeCell ref="DEQ10:DEU10"/>
    <mergeCell ref="DEV10:DEZ10"/>
    <mergeCell ref="DFA10:DFE10"/>
    <mergeCell ref="DDH10:DDL10"/>
    <mergeCell ref="DDM10:DDQ10"/>
    <mergeCell ref="DDR10:DDV10"/>
    <mergeCell ref="DDW10:DEA10"/>
    <mergeCell ref="DEB10:DEF10"/>
    <mergeCell ref="DCI10:DCM10"/>
    <mergeCell ref="DCN10:DCR10"/>
    <mergeCell ref="DCS10:DCW10"/>
    <mergeCell ref="DCX10:DDB10"/>
    <mergeCell ref="DDC10:DDG10"/>
    <mergeCell ref="DBJ10:DBN10"/>
    <mergeCell ref="DBO10:DBS10"/>
    <mergeCell ref="DBT10:DBX10"/>
    <mergeCell ref="DBY10:DCC10"/>
    <mergeCell ref="DCD10:DCH10"/>
    <mergeCell ref="DAK10:DAO10"/>
    <mergeCell ref="DAP10:DAT10"/>
    <mergeCell ref="DAU10:DAY10"/>
    <mergeCell ref="DAZ10:DBD10"/>
    <mergeCell ref="DBE10:DBI10"/>
    <mergeCell ref="CZL10:CZP10"/>
    <mergeCell ref="CZQ10:CZU10"/>
    <mergeCell ref="CZV10:CZZ10"/>
    <mergeCell ref="DAA10:DAE10"/>
    <mergeCell ref="DAF10:DAJ10"/>
    <mergeCell ref="CYM10:CYQ10"/>
    <mergeCell ref="CYR10:CYV10"/>
    <mergeCell ref="CYW10:CZA10"/>
    <mergeCell ref="CZB10:CZF10"/>
    <mergeCell ref="CZG10:CZK10"/>
    <mergeCell ref="CXN10:CXR10"/>
    <mergeCell ref="CXS10:CXW10"/>
    <mergeCell ref="CXX10:CYB10"/>
    <mergeCell ref="CYC10:CYG10"/>
    <mergeCell ref="CYH10:CYL10"/>
    <mergeCell ref="CWO10:CWS10"/>
    <mergeCell ref="CWT10:CWX10"/>
    <mergeCell ref="CWY10:CXC10"/>
    <mergeCell ref="CXD10:CXH10"/>
    <mergeCell ref="CXI10:CXM10"/>
    <mergeCell ref="CVP10:CVT10"/>
    <mergeCell ref="CVU10:CVY10"/>
    <mergeCell ref="CVZ10:CWD10"/>
    <mergeCell ref="CWE10:CWI10"/>
    <mergeCell ref="CWJ10:CWN10"/>
    <mergeCell ref="CUQ10:CUU10"/>
    <mergeCell ref="CUV10:CUZ10"/>
    <mergeCell ref="CVA10:CVE10"/>
    <mergeCell ref="CVF10:CVJ10"/>
    <mergeCell ref="CVK10:CVO10"/>
    <mergeCell ref="CTR10:CTV10"/>
    <mergeCell ref="CTW10:CUA10"/>
    <mergeCell ref="CUB10:CUF10"/>
    <mergeCell ref="CUG10:CUK10"/>
    <mergeCell ref="CUL10:CUP10"/>
    <mergeCell ref="CSS10:CSW10"/>
    <mergeCell ref="CSX10:CTB10"/>
    <mergeCell ref="CTC10:CTG10"/>
    <mergeCell ref="CTH10:CTL10"/>
    <mergeCell ref="CTM10:CTQ10"/>
    <mergeCell ref="CRT10:CRX10"/>
    <mergeCell ref="CRY10:CSC10"/>
    <mergeCell ref="CSD10:CSH10"/>
    <mergeCell ref="CSI10:CSM10"/>
    <mergeCell ref="CSN10:CSR10"/>
    <mergeCell ref="CQU10:CQY10"/>
    <mergeCell ref="CQZ10:CRD10"/>
    <mergeCell ref="CRE10:CRI10"/>
    <mergeCell ref="CRJ10:CRN10"/>
    <mergeCell ref="CRO10:CRS10"/>
    <mergeCell ref="CPV10:CPZ10"/>
    <mergeCell ref="CQA10:CQE10"/>
    <mergeCell ref="CQF10:CQJ10"/>
    <mergeCell ref="CQK10:CQO10"/>
    <mergeCell ref="CQP10:CQT10"/>
    <mergeCell ref="COW10:CPA10"/>
    <mergeCell ref="CPB10:CPF10"/>
    <mergeCell ref="CPG10:CPK10"/>
    <mergeCell ref="CPL10:CPP10"/>
    <mergeCell ref="CPQ10:CPU10"/>
    <mergeCell ref="CNX10:COB10"/>
    <mergeCell ref="COC10:COG10"/>
    <mergeCell ref="COH10:COL10"/>
    <mergeCell ref="COM10:COQ10"/>
    <mergeCell ref="COR10:COV10"/>
    <mergeCell ref="CMY10:CNC10"/>
    <mergeCell ref="CND10:CNH10"/>
    <mergeCell ref="CNI10:CNM10"/>
    <mergeCell ref="CNN10:CNR10"/>
    <mergeCell ref="CNS10:CNW10"/>
    <mergeCell ref="CLZ10:CMD10"/>
    <mergeCell ref="CME10:CMI10"/>
    <mergeCell ref="CMJ10:CMN10"/>
    <mergeCell ref="CMO10:CMS10"/>
    <mergeCell ref="CMT10:CMX10"/>
    <mergeCell ref="CLA10:CLE10"/>
    <mergeCell ref="CLF10:CLJ10"/>
    <mergeCell ref="CLK10:CLO10"/>
    <mergeCell ref="CLP10:CLT10"/>
    <mergeCell ref="CLU10:CLY10"/>
    <mergeCell ref="CKB10:CKF10"/>
    <mergeCell ref="CKG10:CKK10"/>
    <mergeCell ref="CKL10:CKP10"/>
    <mergeCell ref="CKQ10:CKU10"/>
    <mergeCell ref="CKV10:CKZ10"/>
    <mergeCell ref="CJC10:CJG10"/>
    <mergeCell ref="CJH10:CJL10"/>
    <mergeCell ref="CJM10:CJQ10"/>
    <mergeCell ref="CJR10:CJV10"/>
    <mergeCell ref="CJW10:CKA10"/>
    <mergeCell ref="CID10:CIH10"/>
    <mergeCell ref="CII10:CIM10"/>
    <mergeCell ref="CIN10:CIR10"/>
    <mergeCell ref="CIS10:CIW10"/>
    <mergeCell ref="CIX10:CJB10"/>
    <mergeCell ref="CHE10:CHI10"/>
    <mergeCell ref="CHJ10:CHN10"/>
    <mergeCell ref="CHO10:CHS10"/>
    <mergeCell ref="CHT10:CHX10"/>
    <mergeCell ref="CHY10:CIC10"/>
    <mergeCell ref="CGF10:CGJ10"/>
    <mergeCell ref="CGK10:CGO10"/>
    <mergeCell ref="CGP10:CGT10"/>
    <mergeCell ref="CGU10:CGY10"/>
    <mergeCell ref="CGZ10:CHD10"/>
    <mergeCell ref="CFG10:CFK10"/>
    <mergeCell ref="CFL10:CFP10"/>
    <mergeCell ref="CFQ10:CFU10"/>
    <mergeCell ref="CFV10:CFZ10"/>
    <mergeCell ref="CGA10:CGE10"/>
    <mergeCell ref="CEH10:CEL10"/>
    <mergeCell ref="CEM10:CEQ10"/>
    <mergeCell ref="CER10:CEV10"/>
    <mergeCell ref="CEW10:CFA10"/>
    <mergeCell ref="CFB10:CFF10"/>
    <mergeCell ref="CDI10:CDM10"/>
    <mergeCell ref="CDN10:CDR10"/>
    <mergeCell ref="CDS10:CDW10"/>
    <mergeCell ref="CDX10:CEB10"/>
    <mergeCell ref="CEC10:CEG10"/>
    <mergeCell ref="CCJ10:CCN10"/>
    <mergeCell ref="CCO10:CCS10"/>
    <mergeCell ref="CCT10:CCX10"/>
    <mergeCell ref="CCY10:CDC10"/>
    <mergeCell ref="CDD10:CDH10"/>
    <mergeCell ref="CBK10:CBO10"/>
    <mergeCell ref="CBP10:CBT10"/>
    <mergeCell ref="CBU10:CBY10"/>
    <mergeCell ref="CBZ10:CCD10"/>
    <mergeCell ref="CCE10:CCI10"/>
    <mergeCell ref="CAL10:CAP10"/>
    <mergeCell ref="CAQ10:CAU10"/>
    <mergeCell ref="CAV10:CAZ10"/>
    <mergeCell ref="CBA10:CBE10"/>
    <mergeCell ref="CBF10:CBJ10"/>
    <mergeCell ref="BZM10:BZQ10"/>
    <mergeCell ref="BZR10:BZV10"/>
    <mergeCell ref="BZW10:CAA10"/>
    <mergeCell ref="CAB10:CAF10"/>
    <mergeCell ref="CAG10:CAK10"/>
    <mergeCell ref="BYN10:BYR10"/>
    <mergeCell ref="BYS10:BYW10"/>
    <mergeCell ref="BYX10:BZB10"/>
    <mergeCell ref="BZC10:BZG10"/>
    <mergeCell ref="BZH10:BZL10"/>
    <mergeCell ref="BXO10:BXS10"/>
    <mergeCell ref="BXT10:BXX10"/>
    <mergeCell ref="BXY10:BYC10"/>
    <mergeCell ref="BYD10:BYH10"/>
    <mergeCell ref="BYI10:BYM10"/>
    <mergeCell ref="BWP10:BWT10"/>
    <mergeCell ref="BWU10:BWY10"/>
    <mergeCell ref="BWZ10:BXD10"/>
    <mergeCell ref="BXE10:BXI10"/>
    <mergeCell ref="BXJ10:BXN10"/>
    <mergeCell ref="BVQ10:BVU10"/>
    <mergeCell ref="BVV10:BVZ10"/>
    <mergeCell ref="BWA10:BWE10"/>
    <mergeCell ref="BWF10:BWJ10"/>
    <mergeCell ref="BWK10:BWO10"/>
    <mergeCell ref="BUR10:BUV10"/>
    <mergeCell ref="BUW10:BVA10"/>
    <mergeCell ref="BVB10:BVF10"/>
    <mergeCell ref="BVG10:BVK10"/>
    <mergeCell ref="BVL10:BVP10"/>
    <mergeCell ref="BTS10:BTW10"/>
    <mergeCell ref="BTX10:BUB10"/>
    <mergeCell ref="BUC10:BUG10"/>
    <mergeCell ref="BUH10:BUL10"/>
    <mergeCell ref="BUM10:BUQ10"/>
    <mergeCell ref="BST10:BSX10"/>
    <mergeCell ref="BSY10:BTC10"/>
    <mergeCell ref="BTD10:BTH10"/>
    <mergeCell ref="BTI10:BTM10"/>
    <mergeCell ref="BTN10:BTR10"/>
    <mergeCell ref="BRU10:BRY10"/>
    <mergeCell ref="BRZ10:BSD10"/>
    <mergeCell ref="BSE10:BSI10"/>
    <mergeCell ref="BSJ10:BSN10"/>
    <mergeCell ref="BSO10:BSS10"/>
    <mergeCell ref="BQV10:BQZ10"/>
    <mergeCell ref="BRA10:BRE10"/>
    <mergeCell ref="BRF10:BRJ10"/>
    <mergeCell ref="BRK10:BRO10"/>
    <mergeCell ref="BRP10:BRT10"/>
    <mergeCell ref="BPW10:BQA10"/>
    <mergeCell ref="BQB10:BQF10"/>
    <mergeCell ref="BQG10:BQK10"/>
    <mergeCell ref="BQL10:BQP10"/>
    <mergeCell ref="BQQ10:BQU10"/>
    <mergeCell ref="BOX10:BPB10"/>
    <mergeCell ref="BPC10:BPG10"/>
    <mergeCell ref="BPH10:BPL10"/>
    <mergeCell ref="BPM10:BPQ10"/>
    <mergeCell ref="BPR10:BPV10"/>
    <mergeCell ref="BNY10:BOC10"/>
    <mergeCell ref="BOD10:BOH10"/>
    <mergeCell ref="BOI10:BOM10"/>
    <mergeCell ref="BON10:BOR10"/>
    <mergeCell ref="BOS10:BOW10"/>
    <mergeCell ref="BMZ10:BND10"/>
    <mergeCell ref="BNE10:BNI10"/>
    <mergeCell ref="BNJ10:BNN10"/>
    <mergeCell ref="BNO10:BNS10"/>
    <mergeCell ref="BNT10:BNX10"/>
    <mergeCell ref="BMA10:BME10"/>
    <mergeCell ref="BMF10:BMJ10"/>
    <mergeCell ref="BMK10:BMO10"/>
    <mergeCell ref="BMP10:BMT10"/>
    <mergeCell ref="BMU10:BMY10"/>
    <mergeCell ref="BLB10:BLF10"/>
    <mergeCell ref="BLG10:BLK10"/>
    <mergeCell ref="BLL10:BLP10"/>
    <mergeCell ref="BLQ10:BLU10"/>
    <mergeCell ref="BLV10:BLZ10"/>
    <mergeCell ref="BKC10:BKG10"/>
    <mergeCell ref="BKH10:BKL10"/>
    <mergeCell ref="BKM10:BKQ10"/>
    <mergeCell ref="BKR10:BKV10"/>
    <mergeCell ref="BKW10:BLA10"/>
    <mergeCell ref="BJD10:BJH10"/>
    <mergeCell ref="BJI10:BJM10"/>
    <mergeCell ref="BJN10:BJR10"/>
    <mergeCell ref="BJS10:BJW10"/>
    <mergeCell ref="BJX10:BKB10"/>
    <mergeCell ref="BIE10:BII10"/>
    <mergeCell ref="BIJ10:BIN10"/>
    <mergeCell ref="BIO10:BIS10"/>
    <mergeCell ref="BIT10:BIX10"/>
    <mergeCell ref="BIY10:BJC10"/>
    <mergeCell ref="BHF10:BHJ10"/>
    <mergeCell ref="BHK10:BHO10"/>
    <mergeCell ref="BHP10:BHT10"/>
    <mergeCell ref="BHU10:BHY10"/>
    <mergeCell ref="BHZ10:BID10"/>
    <mergeCell ref="BGG10:BGK10"/>
    <mergeCell ref="BGL10:BGP10"/>
    <mergeCell ref="BGQ10:BGU10"/>
    <mergeCell ref="BGV10:BGZ10"/>
    <mergeCell ref="BHA10:BHE10"/>
    <mergeCell ref="BFH10:BFL10"/>
    <mergeCell ref="BFM10:BFQ10"/>
    <mergeCell ref="BFR10:BFV10"/>
    <mergeCell ref="BFW10:BGA10"/>
    <mergeCell ref="BGB10:BGF10"/>
    <mergeCell ref="BEI10:BEM10"/>
    <mergeCell ref="BEN10:BER10"/>
    <mergeCell ref="BES10:BEW10"/>
    <mergeCell ref="BEX10:BFB10"/>
    <mergeCell ref="BFC10:BFG10"/>
    <mergeCell ref="BDJ10:BDN10"/>
    <mergeCell ref="BDO10:BDS10"/>
    <mergeCell ref="BDT10:BDX10"/>
    <mergeCell ref="BDY10:BEC10"/>
    <mergeCell ref="BED10:BEH10"/>
    <mergeCell ref="BCK10:BCO10"/>
    <mergeCell ref="BCP10:BCT10"/>
    <mergeCell ref="BCU10:BCY10"/>
    <mergeCell ref="BCZ10:BDD10"/>
    <mergeCell ref="BDE10:BDI10"/>
    <mergeCell ref="BBL10:BBP10"/>
    <mergeCell ref="BBQ10:BBU10"/>
    <mergeCell ref="BBV10:BBZ10"/>
    <mergeCell ref="BCA10:BCE10"/>
    <mergeCell ref="BCF10:BCJ10"/>
    <mergeCell ref="BAM10:BAQ10"/>
    <mergeCell ref="BAR10:BAV10"/>
    <mergeCell ref="BAW10:BBA10"/>
    <mergeCell ref="BBB10:BBF10"/>
    <mergeCell ref="BBG10:BBK10"/>
    <mergeCell ref="AZN10:AZR10"/>
    <mergeCell ref="AZS10:AZW10"/>
    <mergeCell ref="AZX10:BAB10"/>
    <mergeCell ref="BAC10:BAG10"/>
    <mergeCell ref="BAH10:BAL10"/>
    <mergeCell ref="AYO10:AYS10"/>
    <mergeCell ref="AYT10:AYX10"/>
    <mergeCell ref="AYY10:AZC10"/>
    <mergeCell ref="AZD10:AZH10"/>
    <mergeCell ref="AZI10:AZM10"/>
    <mergeCell ref="AXP10:AXT10"/>
    <mergeCell ref="AXU10:AXY10"/>
    <mergeCell ref="AXZ10:AYD10"/>
    <mergeCell ref="AYE10:AYI10"/>
    <mergeCell ref="AYJ10:AYN10"/>
    <mergeCell ref="AWQ10:AWU10"/>
    <mergeCell ref="AWV10:AWZ10"/>
    <mergeCell ref="AXA10:AXE10"/>
    <mergeCell ref="AXF10:AXJ10"/>
    <mergeCell ref="AXK10:AXO10"/>
    <mergeCell ref="AVR10:AVV10"/>
    <mergeCell ref="AVW10:AWA10"/>
    <mergeCell ref="AWB10:AWF10"/>
    <mergeCell ref="AWG10:AWK10"/>
    <mergeCell ref="AWL10:AWP10"/>
    <mergeCell ref="AUS10:AUW10"/>
    <mergeCell ref="AUX10:AVB10"/>
    <mergeCell ref="AVC10:AVG10"/>
    <mergeCell ref="AVH10:AVL10"/>
    <mergeCell ref="AVM10:AVQ10"/>
    <mergeCell ref="ATT10:ATX10"/>
    <mergeCell ref="ATY10:AUC10"/>
    <mergeCell ref="AUD10:AUH10"/>
    <mergeCell ref="AUI10:AUM10"/>
    <mergeCell ref="AUN10:AUR10"/>
    <mergeCell ref="ASU10:ASY10"/>
    <mergeCell ref="ASZ10:ATD10"/>
    <mergeCell ref="ATE10:ATI10"/>
    <mergeCell ref="ATJ10:ATN10"/>
    <mergeCell ref="ATO10:ATS10"/>
    <mergeCell ref="ARV10:ARZ10"/>
    <mergeCell ref="ASA10:ASE10"/>
    <mergeCell ref="ASF10:ASJ10"/>
    <mergeCell ref="ASK10:ASO10"/>
    <mergeCell ref="ASP10:AST10"/>
    <mergeCell ref="AQW10:ARA10"/>
    <mergeCell ref="ARB10:ARF10"/>
    <mergeCell ref="ARG10:ARK10"/>
    <mergeCell ref="ARL10:ARP10"/>
    <mergeCell ref="ARQ10:ARU10"/>
    <mergeCell ref="APX10:AQB10"/>
    <mergeCell ref="AQC10:AQG10"/>
    <mergeCell ref="AQH10:AQL10"/>
    <mergeCell ref="AQM10:AQQ10"/>
    <mergeCell ref="AQR10:AQV10"/>
    <mergeCell ref="AOY10:APC10"/>
    <mergeCell ref="APD10:APH10"/>
    <mergeCell ref="API10:APM10"/>
    <mergeCell ref="APN10:APR10"/>
    <mergeCell ref="APS10:APW10"/>
    <mergeCell ref="ANZ10:AOD10"/>
    <mergeCell ref="AOE10:AOI10"/>
    <mergeCell ref="AOJ10:AON10"/>
    <mergeCell ref="AOO10:AOS10"/>
    <mergeCell ref="AOT10:AOX10"/>
    <mergeCell ref="ANA10:ANE10"/>
    <mergeCell ref="ANF10:ANJ10"/>
    <mergeCell ref="ANK10:ANO10"/>
    <mergeCell ref="ANP10:ANT10"/>
    <mergeCell ref="ANU10:ANY10"/>
    <mergeCell ref="AMB10:AMF10"/>
    <mergeCell ref="AMG10:AMK10"/>
    <mergeCell ref="AML10:AMP10"/>
    <mergeCell ref="AMQ10:AMU10"/>
    <mergeCell ref="AMV10:AMZ10"/>
    <mergeCell ref="ALC10:ALG10"/>
    <mergeCell ref="ALH10:ALL10"/>
    <mergeCell ref="ALM10:ALQ10"/>
    <mergeCell ref="ALR10:ALV10"/>
    <mergeCell ref="ALW10:AMA10"/>
    <mergeCell ref="AKD10:AKH10"/>
    <mergeCell ref="AKI10:AKM10"/>
    <mergeCell ref="AKN10:AKR10"/>
    <mergeCell ref="AKS10:AKW10"/>
    <mergeCell ref="AKX10:ALB10"/>
    <mergeCell ref="AJE10:AJI10"/>
    <mergeCell ref="AJJ10:AJN10"/>
    <mergeCell ref="AJO10:AJS10"/>
    <mergeCell ref="AJT10:AJX10"/>
    <mergeCell ref="AJY10:AKC10"/>
    <mergeCell ref="AIF10:AIJ10"/>
    <mergeCell ref="AIK10:AIO10"/>
    <mergeCell ref="AIP10:AIT10"/>
    <mergeCell ref="AIU10:AIY10"/>
    <mergeCell ref="AIZ10:AJD10"/>
    <mergeCell ref="AHG10:AHK10"/>
    <mergeCell ref="AHL10:AHP10"/>
    <mergeCell ref="AHQ10:AHU10"/>
    <mergeCell ref="AHV10:AHZ10"/>
    <mergeCell ref="AIA10:AIE10"/>
    <mergeCell ref="AGH10:AGL10"/>
    <mergeCell ref="AGM10:AGQ10"/>
    <mergeCell ref="AGR10:AGV10"/>
    <mergeCell ref="AGW10:AHA10"/>
    <mergeCell ref="AHB10:AHF10"/>
    <mergeCell ref="AFI10:AFM10"/>
    <mergeCell ref="AFN10:AFR10"/>
    <mergeCell ref="AFS10:AFW10"/>
    <mergeCell ref="AFX10:AGB10"/>
    <mergeCell ref="AGC10:AGG10"/>
    <mergeCell ref="AEJ10:AEN10"/>
    <mergeCell ref="AEO10:AES10"/>
    <mergeCell ref="AET10:AEX10"/>
    <mergeCell ref="AEY10:AFC10"/>
    <mergeCell ref="AFD10:AFH10"/>
    <mergeCell ref="ADK10:ADO10"/>
    <mergeCell ref="ADP10:ADT10"/>
    <mergeCell ref="ADU10:ADY10"/>
    <mergeCell ref="ADZ10:AED10"/>
    <mergeCell ref="AEE10:AEI10"/>
    <mergeCell ref="ACL10:ACP10"/>
    <mergeCell ref="ACQ10:ACU10"/>
    <mergeCell ref="ACV10:ACZ10"/>
    <mergeCell ref="ADA10:ADE10"/>
    <mergeCell ref="ADF10:ADJ10"/>
    <mergeCell ref="ABM10:ABQ10"/>
    <mergeCell ref="ABR10:ABV10"/>
    <mergeCell ref="ABW10:ACA10"/>
    <mergeCell ref="ACB10:ACF10"/>
    <mergeCell ref="ACG10:ACK10"/>
    <mergeCell ref="AAN10:AAR10"/>
    <mergeCell ref="AAS10:AAW10"/>
    <mergeCell ref="AAX10:ABB10"/>
    <mergeCell ref="ABC10:ABG10"/>
    <mergeCell ref="ABH10:ABL10"/>
    <mergeCell ref="ZO10:ZS10"/>
    <mergeCell ref="ZT10:ZX10"/>
    <mergeCell ref="ZY10:AAC10"/>
    <mergeCell ref="AAD10:AAH10"/>
    <mergeCell ref="AAI10:AAM10"/>
    <mergeCell ref="YP10:YT10"/>
    <mergeCell ref="YU10:YY10"/>
    <mergeCell ref="YZ10:ZD10"/>
    <mergeCell ref="ZE10:ZI10"/>
    <mergeCell ref="ZJ10:ZN10"/>
    <mergeCell ref="XQ10:XU10"/>
    <mergeCell ref="XV10:XZ10"/>
    <mergeCell ref="YA10:YE10"/>
    <mergeCell ref="YF10:YJ10"/>
    <mergeCell ref="YK10:YO10"/>
    <mergeCell ref="WR10:WV10"/>
    <mergeCell ref="WW10:XA10"/>
    <mergeCell ref="XB10:XF10"/>
    <mergeCell ref="XG10:XK10"/>
    <mergeCell ref="XL10:XP10"/>
    <mergeCell ref="VS10:VW10"/>
    <mergeCell ref="VX10:WB10"/>
    <mergeCell ref="WC10:WG10"/>
    <mergeCell ref="WH10:WL10"/>
    <mergeCell ref="WM10:WQ10"/>
    <mergeCell ref="UT10:UX10"/>
    <mergeCell ref="UY10:VC10"/>
    <mergeCell ref="VD10:VH10"/>
    <mergeCell ref="VI10:VM10"/>
    <mergeCell ref="VN10:VR10"/>
    <mergeCell ref="TU10:TY10"/>
    <mergeCell ref="TZ10:UD10"/>
    <mergeCell ref="UE10:UI10"/>
    <mergeCell ref="UJ10:UN10"/>
    <mergeCell ref="UO10:US10"/>
    <mergeCell ref="SV10:SZ10"/>
    <mergeCell ref="TA10:TE10"/>
    <mergeCell ref="TF10:TJ10"/>
    <mergeCell ref="TK10:TO10"/>
    <mergeCell ref="TP10:TT10"/>
    <mergeCell ref="RW10:SA10"/>
    <mergeCell ref="SB10:SF10"/>
    <mergeCell ref="SG10:SK10"/>
    <mergeCell ref="SL10:SP10"/>
    <mergeCell ref="SQ10:SU10"/>
    <mergeCell ref="QX10:RB10"/>
    <mergeCell ref="RC10:RG10"/>
    <mergeCell ref="RH10:RL10"/>
    <mergeCell ref="RM10:RQ10"/>
    <mergeCell ref="RR10:RV10"/>
    <mergeCell ref="PY10:QC10"/>
    <mergeCell ref="QD10:QH10"/>
    <mergeCell ref="QI10:QM10"/>
    <mergeCell ref="QN10:QR10"/>
    <mergeCell ref="QS10:QW10"/>
    <mergeCell ref="OZ10:PD10"/>
    <mergeCell ref="PE10:PI10"/>
    <mergeCell ref="PJ10:PN10"/>
    <mergeCell ref="PO10:PS10"/>
    <mergeCell ref="PT10:PX10"/>
    <mergeCell ref="OA10:OE10"/>
    <mergeCell ref="OF10:OJ10"/>
    <mergeCell ref="OK10:OO10"/>
    <mergeCell ref="OP10:OT10"/>
    <mergeCell ref="OU10:OY10"/>
    <mergeCell ref="NB10:NF10"/>
    <mergeCell ref="NG10:NK10"/>
    <mergeCell ref="NL10:NP10"/>
    <mergeCell ref="NQ10:NU10"/>
    <mergeCell ref="NV10:NZ10"/>
    <mergeCell ref="MC10:MG10"/>
    <mergeCell ref="MH10:ML10"/>
    <mergeCell ref="MM10:MQ10"/>
    <mergeCell ref="MR10:MV10"/>
    <mergeCell ref="MW10:NA10"/>
    <mergeCell ref="LD10:LH10"/>
    <mergeCell ref="LI10:LM10"/>
    <mergeCell ref="LN10:LR10"/>
    <mergeCell ref="LS10:LW10"/>
    <mergeCell ref="LX10:MB10"/>
    <mergeCell ref="KE10:KI10"/>
    <mergeCell ref="KJ10:KN10"/>
    <mergeCell ref="KO10:KS10"/>
    <mergeCell ref="KT10:KX10"/>
    <mergeCell ref="KY10:LC10"/>
    <mergeCell ref="JF10:JJ10"/>
    <mergeCell ref="JK10:JO10"/>
    <mergeCell ref="JP10:JT10"/>
    <mergeCell ref="JU10:JY10"/>
    <mergeCell ref="JZ10:KD10"/>
    <mergeCell ref="IG10:IK10"/>
    <mergeCell ref="IL10:IP10"/>
    <mergeCell ref="IQ10:IU10"/>
    <mergeCell ref="IV10:IZ10"/>
    <mergeCell ref="JA10:JE10"/>
    <mergeCell ref="HM10:HQ10"/>
    <mergeCell ref="HR10:HV10"/>
    <mergeCell ref="HW10:IA10"/>
    <mergeCell ref="IB10:IF10"/>
    <mergeCell ref="GI10:GM10"/>
    <mergeCell ref="GN10:GR10"/>
    <mergeCell ref="GS10:GW10"/>
    <mergeCell ref="GX10:HB10"/>
    <mergeCell ref="HC10:HG10"/>
    <mergeCell ref="FJ10:FN10"/>
    <mergeCell ref="FO10:FS10"/>
    <mergeCell ref="FT10:FX10"/>
    <mergeCell ref="FY10:GC10"/>
    <mergeCell ref="GD10:GH10"/>
    <mergeCell ref="EK10:EO10"/>
    <mergeCell ref="EP10:ET10"/>
    <mergeCell ref="EU10:EY10"/>
    <mergeCell ref="EZ10:FD10"/>
    <mergeCell ref="FE10:FI10"/>
    <mergeCell ref="EF10:EJ10"/>
    <mergeCell ref="CM10:CQ10"/>
    <mergeCell ref="CR10:CV10"/>
    <mergeCell ref="CW10:DA10"/>
    <mergeCell ref="DB10:DF10"/>
    <mergeCell ref="DG10:DK10"/>
    <mergeCell ref="BN10:BR10"/>
    <mergeCell ref="BS10:BW10"/>
    <mergeCell ref="BX10:CB10"/>
    <mergeCell ref="CC10:CG10"/>
    <mergeCell ref="CH10:CL10"/>
    <mergeCell ref="AO10:AS10"/>
    <mergeCell ref="AT10:AX10"/>
    <mergeCell ref="AY10:BC10"/>
    <mergeCell ref="BD10:BH10"/>
    <mergeCell ref="BI10:BM10"/>
    <mergeCell ref="HH10:HL10"/>
    <mergeCell ref="A3:J5"/>
    <mergeCell ref="A25:G25"/>
    <mergeCell ref="A27:G27"/>
    <mergeCell ref="A6:J6"/>
    <mergeCell ref="A18:J18"/>
    <mergeCell ref="A26:G26"/>
    <mergeCell ref="A7:J7"/>
    <mergeCell ref="K10:O10"/>
    <mergeCell ref="P10:T10"/>
    <mergeCell ref="U10:Y10"/>
    <mergeCell ref="Z10:AD10"/>
    <mergeCell ref="AE10:AI10"/>
    <mergeCell ref="AJ10:AN10"/>
    <mergeCell ref="DL10:DP10"/>
    <mergeCell ref="DQ10:DU10"/>
    <mergeCell ref="DV10:DZ10"/>
    <mergeCell ref="EA10:EE10"/>
  </mergeCells>
  <phoneticPr fontId="2" type="noConversion"/>
  <printOptions horizontalCentered="1"/>
  <pageMargins left="0.39370078740157483" right="0.39370078740157483" top="0.70866141732283472" bottom="0.70866141732283472" header="0.31496062992125978" footer="0.314960629921259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8"/>
    <pageSetUpPr fitToPage="1"/>
  </sheetPr>
  <dimension ref="A1:AB37"/>
  <sheetViews>
    <sheetView showGridLines="0" showZeros="0" zoomScale="70" zoomScaleNormal="70" zoomScaleSheetLayoutView="85" zoomScalePageLayoutView="55" workbookViewId="0">
      <selection activeCell="T27" sqref="T27:X27"/>
    </sheetView>
  </sheetViews>
  <sheetFormatPr defaultColWidth="0" defaultRowHeight="13.5" zeroHeight="1"/>
  <cols>
    <col min="1" max="1" width="2.77734375" style="4" customWidth="1"/>
    <col min="2" max="2" width="0.88671875" style="4" customWidth="1"/>
    <col min="3" max="3" width="5.77734375" style="4" customWidth="1"/>
    <col min="4" max="5" width="5.6640625" style="4" customWidth="1"/>
    <col min="6" max="6" width="5.44140625" style="4" customWidth="1"/>
    <col min="7" max="17" width="4.77734375" style="4" customWidth="1"/>
    <col min="18" max="19" width="5.88671875" style="4" customWidth="1"/>
    <col min="20" max="23" width="4.77734375" style="4" customWidth="1"/>
    <col min="24" max="25" width="5.88671875" style="4" customWidth="1"/>
    <col min="26" max="26" width="8.5546875" style="4" customWidth="1"/>
    <col min="27" max="27" width="2.77734375" style="4" bestFit="1" customWidth="1"/>
    <col min="28" max="28" width="2.77734375" style="4" customWidth="1"/>
    <col min="29" max="29" width="8.88671875" style="4" hidden="1" customWidth="1"/>
    <col min="30" max="16384" width="8.88671875" style="4" hidden="1"/>
  </cols>
  <sheetData>
    <row r="1" spans="1:28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s="6" customFormat="1" ht="48.75" customHeight="1">
      <c r="A2" s="419" t="s">
        <v>11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5"/>
    </row>
    <row r="3" spans="1:28" s="6" customFormat="1" ht="39.75" customHeight="1">
      <c r="A3" s="430" t="s">
        <v>12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431"/>
    </row>
    <row r="4" spans="1:28" s="6" customFormat="1" ht="30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423"/>
      <c r="T4" s="375"/>
      <c r="U4" s="375"/>
      <c r="V4" s="375"/>
      <c r="W4" s="375"/>
      <c r="X4" s="375"/>
      <c r="Y4" s="375"/>
      <c r="Z4" s="375"/>
      <c r="AA4" s="375"/>
      <c r="AB4" s="9"/>
    </row>
    <row r="5" spans="1:28" s="6" customFormat="1" ht="39.7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60"/>
      <c r="T5" s="60"/>
      <c r="U5" s="60"/>
      <c r="V5" s="60"/>
      <c r="W5" s="60"/>
      <c r="X5" s="60"/>
      <c r="Y5" s="60"/>
      <c r="Z5" s="60"/>
      <c r="AA5" s="60"/>
      <c r="AB5" s="9"/>
    </row>
    <row r="6" spans="1:28" s="6" customFormat="1" ht="20.100000000000001" customHeight="1">
      <c r="A6" s="10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7"/>
      <c r="AB6" s="5"/>
    </row>
    <row r="7" spans="1:28" s="6" customFormat="1" ht="20.100000000000001" customHeight="1" thickBot="1">
      <c r="A7" s="10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7"/>
      <c r="AB7" s="5"/>
    </row>
    <row r="8" spans="1:28" s="6" customFormat="1" ht="32.25" customHeight="1">
      <c r="A8" s="10"/>
      <c r="C8" s="214" t="s">
        <v>13</v>
      </c>
      <c r="D8" s="214"/>
      <c r="E8" s="434">
        <f ca="1">TODAY()</f>
        <v>46104</v>
      </c>
      <c r="F8" s="375"/>
      <c r="G8" s="375"/>
      <c r="H8" s="375"/>
      <c r="I8" s="375"/>
      <c r="J8" s="375"/>
      <c r="K8" s="375"/>
      <c r="L8" s="413"/>
      <c r="M8" s="424" t="s">
        <v>14</v>
      </c>
      <c r="N8" s="432" t="s">
        <v>15</v>
      </c>
      <c r="O8" s="356"/>
      <c r="P8" s="433"/>
      <c r="Q8" s="355" t="s">
        <v>16</v>
      </c>
      <c r="R8" s="356"/>
      <c r="S8" s="356"/>
      <c r="T8" s="356"/>
      <c r="U8" s="356"/>
      <c r="V8" s="356"/>
      <c r="W8" s="356"/>
      <c r="X8" s="356"/>
      <c r="Y8" s="356"/>
      <c r="Z8" s="356"/>
      <c r="AA8" s="357"/>
      <c r="AB8" s="5"/>
    </row>
    <row r="9" spans="1:28" s="6" customFormat="1" ht="32.1" customHeight="1">
      <c r="A9" s="11"/>
      <c r="B9" s="215"/>
      <c r="C9" s="214" t="s">
        <v>17</v>
      </c>
      <c r="D9" s="214"/>
      <c r="E9" s="23"/>
      <c r="F9" s="214"/>
      <c r="G9" s="214"/>
      <c r="H9" s="214"/>
      <c r="I9" s="214"/>
      <c r="J9" s="214"/>
      <c r="K9" s="214"/>
      <c r="L9" s="142"/>
      <c r="M9" s="425"/>
      <c r="N9" s="370" t="s">
        <v>18</v>
      </c>
      <c r="O9" s="367"/>
      <c r="P9" s="368"/>
      <c r="Q9" s="369" t="s">
        <v>19</v>
      </c>
      <c r="R9" s="367"/>
      <c r="S9" s="367"/>
      <c r="T9" s="368"/>
      <c r="U9" s="370" t="s">
        <v>20</v>
      </c>
      <c r="V9" s="367"/>
      <c r="W9" s="368"/>
      <c r="X9" s="414" t="s">
        <v>21</v>
      </c>
      <c r="Y9" s="367"/>
      <c r="Z9" s="367"/>
      <c r="AA9" s="368"/>
      <c r="AB9" s="5"/>
    </row>
    <row r="10" spans="1:28" s="6" customFormat="1" ht="32.1" customHeight="1">
      <c r="A10" s="11"/>
      <c r="B10" s="215"/>
      <c r="C10" s="214" t="s">
        <v>22</v>
      </c>
      <c r="D10" s="214"/>
      <c r="E10" s="428" t="s">
        <v>23</v>
      </c>
      <c r="F10" s="375"/>
      <c r="G10" s="375"/>
      <c r="H10" s="375"/>
      <c r="I10" s="375"/>
      <c r="J10" s="375"/>
      <c r="K10" s="375"/>
      <c r="L10" s="413"/>
      <c r="M10" s="425"/>
      <c r="N10" s="370" t="s">
        <v>24</v>
      </c>
      <c r="O10" s="367"/>
      <c r="P10" s="368"/>
      <c r="Q10" s="369" t="s">
        <v>25</v>
      </c>
      <c r="R10" s="367"/>
      <c r="S10" s="367"/>
      <c r="T10" s="367"/>
      <c r="U10" s="367"/>
      <c r="V10" s="367"/>
      <c r="W10" s="367"/>
      <c r="X10" s="367"/>
      <c r="Y10" s="367"/>
      <c r="Z10" s="367"/>
      <c r="AA10" s="368"/>
      <c r="AB10" s="5"/>
    </row>
    <row r="11" spans="1:28" s="6" customFormat="1" ht="32.1" customHeight="1">
      <c r="A11" s="11"/>
      <c r="B11" s="215"/>
      <c r="C11" s="214" t="s">
        <v>26</v>
      </c>
      <c r="D11" s="216"/>
      <c r="E11" s="214"/>
      <c r="F11" s="415" t="s">
        <v>27</v>
      </c>
      <c r="G11" s="375"/>
      <c r="H11" s="375"/>
      <c r="I11" s="375"/>
      <c r="J11" s="375"/>
      <c r="K11" s="375"/>
      <c r="L11" s="413"/>
      <c r="M11" s="425"/>
      <c r="N11" s="370" t="s">
        <v>28</v>
      </c>
      <c r="O11" s="367"/>
      <c r="P11" s="368"/>
      <c r="Q11" s="369" t="s">
        <v>29</v>
      </c>
      <c r="R11" s="367"/>
      <c r="S11" s="367"/>
      <c r="T11" s="368"/>
      <c r="U11" s="370" t="s">
        <v>30</v>
      </c>
      <c r="V11" s="367"/>
      <c r="W11" s="368"/>
      <c r="X11" s="366" t="s">
        <v>31</v>
      </c>
      <c r="Y11" s="367"/>
      <c r="Z11" s="367"/>
      <c r="AA11" s="368"/>
      <c r="AB11" s="5"/>
    </row>
    <row r="12" spans="1:28" s="6" customFormat="1" ht="32.1" customHeight="1">
      <c r="A12" s="11"/>
      <c r="B12" s="215"/>
      <c r="C12" s="214"/>
      <c r="D12" s="216"/>
      <c r="E12" s="214"/>
      <c r="F12" s="315"/>
      <c r="G12" s="315"/>
      <c r="H12" s="315"/>
      <c r="I12" s="315"/>
      <c r="J12" s="315"/>
      <c r="K12" s="315"/>
      <c r="L12" s="316"/>
      <c r="M12" s="425"/>
      <c r="N12" s="422" t="s">
        <v>32</v>
      </c>
      <c r="O12" s="385"/>
      <c r="P12" s="385"/>
      <c r="Q12" s="384"/>
      <c r="R12" s="385"/>
      <c r="S12" s="385"/>
      <c r="T12" s="386"/>
      <c r="U12" s="370" t="s">
        <v>33</v>
      </c>
      <c r="V12" s="367"/>
      <c r="W12" s="368"/>
      <c r="X12" s="366" t="s">
        <v>34</v>
      </c>
      <c r="Y12" s="367"/>
      <c r="Z12" s="367"/>
      <c r="AA12" s="368"/>
      <c r="AB12" s="5"/>
    </row>
    <row r="13" spans="1:28" s="6" customFormat="1" ht="32.1" customHeight="1" thickBot="1">
      <c r="A13" s="11" t="s">
        <v>10</v>
      </c>
      <c r="B13" s="215"/>
      <c r="C13" s="412" t="s">
        <v>35</v>
      </c>
      <c r="D13" s="375"/>
      <c r="E13" s="375"/>
      <c r="F13" s="375"/>
      <c r="G13" s="375"/>
      <c r="H13" s="375"/>
      <c r="I13" s="375"/>
      <c r="J13" s="375"/>
      <c r="K13" s="375"/>
      <c r="L13" s="413"/>
      <c r="M13" s="426"/>
      <c r="N13" s="387"/>
      <c r="O13" s="388"/>
      <c r="P13" s="388"/>
      <c r="Q13" s="387"/>
      <c r="R13" s="388"/>
      <c r="S13" s="388"/>
      <c r="T13" s="389"/>
      <c r="U13" s="436" t="s">
        <v>36</v>
      </c>
      <c r="V13" s="437"/>
      <c r="W13" s="438"/>
      <c r="X13" s="416"/>
      <c r="Y13" s="417"/>
      <c r="Z13" s="417"/>
      <c r="AA13" s="418"/>
      <c r="AB13" s="5"/>
    </row>
    <row r="14" spans="1:28" s="6" customFormat="1" ht="20.100000000000001" customHeight="1">
      <c r="A14" s="11" t="s">
        <v>10</v>
      </c>
      <c r="B14" s="215"/>
      <c r="C14" s="218"/>
      <c r="D14" s="216"/>
      <c r="E14" s="216"/>
      <c r="F14" s="395"/>
      <c r="G14" s="375"/>
      <c r="H14" s="375"/>
      <c r="I14" s="375"/>
      <c r="J14" s="375"/>
      <c r="K14" s="219"/>
      <c r="L14" s="219"/>
      <c r="M14" s="12"/>
      <c r="N14" s="399"/>
      <c r="O14" s="398"/>
      <c r="P14" s="398"/>
      <c r="Q14" s="397"/>
      <c r="R14" s="398"/>
      <c r="S14" s="398"/>
      <c r="T14" s="398"/>
      <c r="U14" s="399"/>
      <c r="V14" s="398"/>
      <c r="W14" s="398"/>
      <c r="X14" s="397"/>
      <c r="Y14" s="398"/>
      <c r="Z14" s="398"/>
      <c r="AA14" s="398"/>
      <c r="AB14" s="5"/>
    </row>
    <row r="15" spans="1:28" s="6" customFormat="1" ht="35.1" customHeight="1">
      <c r="A15" s="10"/>
      <c r="B15" s="220"/>
      <c r="C15" s="13"/>
      <c r="D15" s="376" t="s">
        <v>37</v>
      </c>
      <c r="E15" s="372"/>
      <c r="F15" s="372"/>
      <c r="G15" s="372"/>
      <c r="H15" s="373"/>
      <c r="I15" s="14"/>
      <c r="J15" s="66">
        <f>E9</f>
        <v>0</v>
      </c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  <c r="AB15" s="15"/>
    </row>
    <row r="16" spans="1:28" s="17" customFormat="1" ht="35.1" customHeight="1">
      <c r="A16" s="16"/>
      <c r="B16" s="221"/>
      <c r="C16" s="13"/>
      <c r="D16" s="376" t="s">
        <v>38</v>
      </c>
      <c r="E16" s="372"/>
      <c r="F16" s="372"/>
      <c r="G16" s="372"/>
      <c r="H16" s="373"/>
      <c r="I16" s="14"/>
      <c r="J16" s="65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64"/>
      <c r="AB16" s="15"/>
    </row>
    <row r="17" spans="1:28" s="17" customFormat="1" ht="35.1" customHeight="1">
      <c r="A17" s="16"/>
      <c r="B17" s="221"/>
      <c r="C17" s="13"/>
      <c r="D17" s="376" t="s">
        <v>39</v>
      </c>
      <c r="E17" s="372"/>
      <c r="F17" s="372"/>
      <c r="G17" s="372"/>
      <c r="H17" s="373"/>
      <c r="I17" s="14"/>
      <c r="J17" s="371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  <c r="AA17" s="373"/>
      <c r="AB17" s="15"/>
    </row>
    <row r="18" spans="1:28" s="17" customFormat="1" ht="39.950000000000003" customHeight="1">
      <c r="A18" s="16"/>
      <c r="B18" s="221"/>
      <c r="C18" s="13"/>
      <c r="D18" s="376" t="s">
        <v>40</v>
      </c>
      <c r="E18" s="372"/>
      <c r="F18" s="372"/>
      <c r="G18" s="372"/>
      <c r="H18" s="373"/>
      <c r="I18" s="14"/>
      <c r="J18" s="396"/>
      <c r="K18" s="372"/>
      <c r="L18" s="372"/>
      <c r="M18" s="372"/>
      <c r="N18" s="372"/>
      <c r="O18" s="372"/>
      <c r="P18" s="372"/>
      <c r="Q18" s="372"/>
      <c r="R18" s="381" t="s">
        <v>41</v>
      </c>
      <c r="S18" s="372"/>
      <c r="T18" s="372"/>
      <c r="U18" s="372"/>
      <c r="V18" s="373"/>
      <c r="W18" s="420"/>
      <c r="X18" s="372"/>
      <c r="Y18" s="372"/>
      <c r="Z18" s="246" t="s">
        <v>42</v>
      </c>
      <c r="AA18" s="247"/>
      <c r="AB18" s="15"/>
    </row>
    <row r="19" spans="1:28" s="6" customFormat="1" ht="35.1" customHeight="1">
      <c r="A19" s="10"/>
      <c r="B19" s="220"/>
      <c r="C19" s="18"/>
      <c r="D19" s="435" t="s">
        <v>43</v>
      </c>
      <c r="E19" s="393"/>
      <c r="F19" s="393"/>
      <c r="G19" s="393"/>
      <c r="H19" s="394"/>
      <c r="I19" s="19"/>
      <c r="J19" s="396"/>
      <c r="K19" s="372"/>
      <c r="L19" s="372"/>
      <c r="M19" s="372"/>
      <c r="N19" s="372"/>
      <c r="O19" s="372"/>
      <c r="P19" s="372"/>
      <c r="Q19" s="372"/>
      <c r="R19" s="381" t="s">
        <v>44</v>
      </c>
      <c r="S19" s="372"/>
      <c r="T19" s="372"/>
      <c r="U19" s="372"/>
      <c r="V19" s="373"/>
      <c r="W19" s="380"/>
      <c r="X19" s="372"/>
      <c r="Y19" s="372"/>
      <c r="Z19" s="372"/>
      <c r="AA19" s="373"/>
      <c r="AB19" s="15"/>
    </row>
    <row r="20" spans="1:28" s="6" customFormat="1" ht="35.1" customHeight="1">
      <c r="A20" s="10"/>
      <c r="B20" s="220"/>
      <c r="C20" s="13"/>
      <c r="D20" s="376" t="s">
        <v>45</v>
      </c>
      <c r="E20" s="372"/>
      <c r="F20" s="372"/>
      <c r="G20" s="372"/>
      <c r="H20" s="373"/>
      <c r="I20" s="14"/>
      <c r="J20" s="427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3"/>
      <c r="AB20" s="15"/>
    </row>
    <row r="21" spans="1:28" s="6" customFormat="1" ht="20.100000000000001" customHeight="1">
      <c r="A21" s="10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15"/>
    </row>
    <row r="22" spans="1:28" s="23" customFormat="1" ht="47.1" customHeight="1">
      <c r="A22" s="20"/>
      <c r="B22" s="21"/>
      <c r="C22" s="383" t="s">
        <v>46</v>
      </c>
      <c r="D22" s="362"/>
      <c r="E22" s="362"/>
      <c r="F22" s="362"/>
      <c r="G22" s="382" t="s">
        <v>47</v>
      </c>
      <c r="H22" s="362"/>
      <c r="I22" s="362"/>
      <c r="J22" s="362"/>
      <c r="K22" s="363"/>
      <c r="L22" s="364" t="s">
        <v>48</v>
      </c>
      <c r="M22" s="362"/>
      <c r="N22" s="362"/>
      <c r="O22" s="421">
        <f>V22</f>
        <v>0</v>
      </c>
      <c r="P22" s="362"/>
      <c r="Q22" s="362"/>
      <c r="R22" s="362"/>
      <c r="S22" s="362"/>
      <c r="T22" s="69" t="s">
        <v>49</v>
      </c>
      <c r="U22" s="69" t="s">
        <v>50</v>
      </c>
      <c r="V22" s="429">
        <f>T28</f>
        <v>0</v>
      </c>
      <c r="W22" s="362"/>
      <c r="X22" s="362"/>
      <c r="Y22" s="362"/>
      <c r="Z22" s="362"/>
      <c r="AA22" s="70" t="s">
        <v>51</v>
      </c>
      <c r="AB22" s="22"/>
    </row>
    <row r="23" spans="1:28" s="6" customFormat="1" ht="35.1" customHeight="1">
      <c r="A23" s="10"/>
      <c r="B23" s="24"/>
      <c r="C23" s="217" t="s">
        <v>52</v>
      </c>
      <c r="D23" s="379" t="s">
        <v>53</v>
      </c>
      <c r="E23" s="362"/>
      <c r="F23" s="362"/>
      <c r="G23" s="362"/>
      <c r="H23" s="362"/>
      <c r="I23" s="362"/>
      <c r="J23" s="362"/>
      <c r="K23" s="363"/>
      <c r="L23" s="374" t="s">
        <v>54</v>
      </c>
      <c r="M23" s="375"/>
      <c r="N23" s="375"/>
      <c r="O23" s="375"/>
      <c r="P23" s="377" t="s">
        <v>55</v>
      </c>
      <c r="Q23" s="375"/>
      <c r="R23" s="375"/>
      <c r="S23" s="378"/>
      <c r="T23" s="377" t="s">
        <v>56</v>
      </c>
      <c r="U23" s="375"/>
      <c r="V23" s="375"/>
      <c r="W23" s="375"/>
      <c r="X23" s="378"/>
      <c r="Y23" s="441" t="s">
        <v>57</v>
      </c>
      <c r="Z23" s="375"/>
      <c r="AA23" s="378"/>
      <c r="AB23" s="5"/>
    </row>
    <row r="24" spans="1:28" s="6" customFormat="1" ht="35.1" customHeight="1">
      <c r="A24" s="10"/>
      <c r="B24" s="24"/>
      <c r="C24" s="62">
        <v>1</v>
      </c>
      <c r="D24" s="390" t="s">
        <v>58</v>
      </c>
      <c r="E24" s="362"/>
      <c r="F24" s="362"/>
      <c r="G24" s="362"/>
      <c r="H24" s="362"/>
      <c r="I24" s="362"/>
      <c r="J24" s="362"/>
      <c r="K24" s="363"/>
      <c r="L24" s="379" t="s">
        <v>59</v>
      </c>
      <c r="M24" s="362"/>
      <c r="N24" s="362"/>
      <c r="O24" s="363"/>
      <c r="P24" s="411"/>
      <c r="Q24" s="362"/>
      <c r="R24" s="362"/>
      <c r="S24" s="363"/>
      <c r="T24" s="443"/>
      <c r="U24" s="362"/>
      <c r="V24" s="362"/>
      <c r="W24" s="362"/>
      <c r="X24" s="363"/>
      <c r="Y24" s="365" t="s">
        <v>60</v>
      </c>
      <c r="Z24" s="362"/>
      <c r="AA24" s="363"/>
      <c r="AB24" s="5"/>
    </row>
    <row r="25" spans="1:28" s="6" customFormat="1" ht="35.1" customHeight="1">
      <c r="A25" s="10"/>
      <c r="B25" s="24"/>
      <c r="C25" s="61">
        <v>2</v>
      </c>
      <c r="D25" s="390" t="s">
        <v>61</v>
      </c>
      <c r="E25" s="362"/>
      <c r="F25" s="362"/>
      <c r="G25" s="362"/>
      <c r="H25" s="362"/>
      <c r="I25" s="362"/>
      <c r="J25" s="362"/>
      <c r="K25" s="363"/>
      <c r="L25" s="391" t="s">
        <v>59</v>
      </c>
      <c r="M25" s="359"/>
      <c r="N25" s="359"/>
      <c r="O25" s="360"/>
      <c r="P25" s="440"/>
      <c r="Q25" s="359"/>
      <c r="R25" s="359"/>
      <c r="S25" s="360"/>
      <c r="T25" s="358"/>
      <c r="U25" s="359"/>
      <c r="V25" s="359"/>
      <c r="W25" s="359"/>
      <c r="X25" s="360"/>
      <c r="Y25" s="365" t="s">
        <v>62</v>
      </c>
      <c r="Z25" s="362"/>
      <c r="AA25" s="363"/>
      <c r="AB25" s="5"/>
    </row>
    <row r="26" spans="1:28" s="6" customFormat="1" ht="35.1" customHeight="1">
      <c r="A26" s="10"/>
      <c r="B26" s="24"/>
      <c r="C26" s="61">
        <v>3</v>
      </c>
      <c r="D26" s="390" t="s">
        <v>63</v>
      </c>
      <c r="E26" s="362"/>
      <c r="F26" s="362"/>
      <c r="G26" s="362"/>
      <c r="H26" s="362"/>
      <c r="I26" s="362"/>
      <c r="J26" s="362"/>
      <c r="K26" s="363"/>
      <c r="L26" s="379" t="s">
        <v>59</v>
      </c>
      <c r="M26" s="362"/>
      <c r="N26" s="362"/>
      <c r="O26" s="363"/>
      <c r="P26" s="411"/>
      <c r="Q26" s="362"/>
      <c r="R26" s="362"/>
      <c r="S26" s="363"/>
      <c r="T26" s="443"/>
      <c r="U26" s="362"/>
      <c r="V26" s="362"/>
      <c r="W26" s="362"/>
      <c r="X26" s="363"/>
      <c r="Y26" s="365"/>
      <c r="Z26" s="362"/>
      <c r="AA26" s="363"/>
      <c r="AB26" s="5"/>
    </row>
    <row r="27" spans="1:28" s="28" customFormat="1" ht="35.1" customHeight="1">
      <c r="A27" s="25"/>
      <c r="B27" s="26"/>
      <c r="C27" s="442" t="s">
        <v>64</v>
      </c>
      <c r="D27" s="362"/>
      <c r="E27" s="362"/>
      <c r="F27" s="362"/>
      <c r="G27" s="362"/>
      <c r="H27" s="362"/>
      <c r="I27" s="362"/>
      <c r="J27" s="362"/>
      <c r="K27" s="363"/>
      <c r="L27" s="439"/>
      <c r="M27" s="362"/>
      <c r="N27" s="362"/>
      <c r="O27" s="363"/>
      <c r="P27" s="401"/>
      <c r="Q27" s="362"/>
      <c r="R27" s="362"/>
      <c r="S27" s="363"/>
      <c r="T27" s="402"/>
      <c r="U27" s="362"/>
      <c r="V27" s="362"/>
      <c r="W27" s="362"/>
      <c r="X27" s="363"/>
      <c r="Y27" s="365"/>
      <c r="Z27" s="362"/>
      <c r="AA27" s="363"/>
      <c r="AB27" s="27"/>
    </row>
    <row r="28" spans="1:28" s="28" customFormat="1" ht="39.75" customHeight="1">
      <c r="A28" s="25"/>
      <c r="B28" s="26"/>
      <c r="C28" s="361" t="s">
        <v>65</v>
      </c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3"/>
      <c r="T28" s="407"/>
      <c r="U28" s="405"/>
      <c r="V28" s="405"/>
      <c r="W28" s="405"/>
      <c r="X28" s="406"/>
      <c r="Y28" s="403" t="s">
        <v>66</v>
      </c>
      <c r="Z28" s="359"/>
      <c r="AA28" s="360"/>
      <c r="AB28" s="27"/>
    </row>
    <row r="29" spans="1:28" s="28" customFormat="1" ht="39.75" customHeight="1">
      <c r="A29" s="25"/>
      <c r="B29" s="26"/>
      <c r="C29" s="361" t="s">
        <v>67</v>
      </c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3"/>
      <c r="T29" s="407"/>
      <c r="U29" s="405"/>
      <c r="V29" s="405"/>
      <c r="W29" s="405"/>
      <c r="X29" s="406"/>
      <c r="Y29" s="404"/>
      <c r="Z29" s="405"/>
      <c r="AA29" s="406"/>
      <c r="AB29" s="27"/>
    </row>
    <row r="30" spans="1:28" s="6" customFormat="1" ht="24" customHeight="1">
      <c r="A30" s="10"/>
      <c r="C30" s="410"/>
      <c r="D30" s="375"/>
      <c r="E30" s="410"/>
      <c r="F30" s="375"/>
      <c r="G30" s="375"/>
      <c r="H30" s="375"/>
      <c r="I30" s="375"/>
      <c r="J30" s="375"/>
      <c r="K30" s="375"/>
      <c r="L30" s="400"/>
      <c r="M30" s="375"/>
      <c r="N30" s="375"/>
      <c r="O30" s="375"/>
      <c r="P30" s="400"/>
      <c r="Q30" s="375"/>
      <c r="R30" s="375"/>
      <c r="S30" s="375"/>
      <c r="T30" s="409"/>
      <c r="U30" s="375"/>
      <c r="V30" s="375"/>
      <c r="W30" s="375"/>
      <c r="X30" s="375"/>
      <c r="Y30" s="408"/>
      <c r="Z30" s="375"/>
      <c r="AA30" s="375"/>
      <c r="AB30" s="5"/>
    </row>
    <row r="31" spans="1:28" s="6" customFormat="1" ht="33" customHeight="1">
      <c r="A31" s="10"/>
      <c r="B31" s="220"/>
      <c r="C31" s="392" t="s">
        <v>68</v>
      </c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4"/>
      <c r="AB31" s="5"/>
    </row>
    <row r="32" spans="1:28" s="31" customFormat="1" ht="33" customHeight="1">
      <c r="A32" s="29"/>
      <c r="B32" s="223"/>
      <c r="C32" s="234" t="s">
        <v>69</v>
      </c>
      <c r="D32" s="237"/>
      <c r="E32" s="237"/>
      <c r="F32" s="237"/>
      <c r="G32" s="237"/>
      <c r="H32" s="237"/>
      <c r="I32" s="237"/>
      <c r="J32" s="238"/>
      <c r="K32" s="238"/>
      <c r="L32" s="238"/>
      <c r="M32" s="238"/>
      <c r="N32" s="238"/>
      <c r="O32" s="238"/>
      <c r="P32" s="239" t="s">
        <v>70</v>
      </c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5"/>
      <c r="AB32" s="30"/>
    </row>
    <row r="33" spans="1:28" s="31" customFormat="1" ht="33" customHeight="1">
      <c r="A33" s="29"/>
      <c r="B33" s="223"/>
      <c r="C33" s="234" t="s">
        <v>71</v>
      </c>
      <c r="D33" s="237"/>
      <c r="E33" s="237"/>
      <c r="F33" s="237"/>
      <c r="G33" s="237"/>
      <c r="H33" s="237"/>
      <c r="I33" s="237"/>
      <c r="J33" s="238"/>
      <c r="K33" s="238"/>
      <c r="L33" s="238"/>
      <c r="M33" s="238"/>
      <c r="N33" s="238"/>
      <c r="O33" s="238"/>
      <c r="P33" s="239" t="s">
        <v>72</v>
      </c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5"/>
      <c r="AB33" s="30"/>
    </row>
    <row r="34" spans="1:28" s="31" customFormat="1" ht="33" customHeight="1">
      <c r="A34" s="29"/>
      <c r="B34" s="223"/>
      <c r="C34" s="236" t="s">
        <v>73</v>
      </c>
      <c r="D34" s="237"/>
      <c r="E34" s="237"/>
      <c r="F34" s="237"/>
      <c r="G34" s="237"/>
      <c r="H34" s="237"/>
      <c r="I34" s="237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5"/>
      <c r="AB34" s="30"/>
    </row>
    <row r="35" spans="1:28" s="31" customFormat="1" ht="33" customHeight="1">
      <c r="A35" s="29"/>
      <c r="B35" s="223"/>
      <c r="C35" s="236" t="s">
        <v>74</v>
      </c>
      <c r="D35" s="237"/>
      <c r="E35" s="237"/>
      <c r="F35" s="237"/>
      <c r="G35" s="237"/>
      <c r="H35" s="237"/>
      <c r="I35" s="237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5"/>
      <c r="AB35" s="30"/>
    </row>
    <row r="36" spans="1:28" s="31" customFormat="1" ht="33" customHeight="1">
      <c r="A36" s="29"/>
      <c r="B36" s="223"/>
      <c r="C36" s="240" t="s">
        <v>75</v>
      </c>
      <c r="D36" s="241"/>
      <c r="E36" s="241"/>
      <c r="F36" s="241"/>
      <c r="G36" s="241"/>
      <c r="H36" s="241"/>
      <c r="I36" s="241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3"/>
      <c r="AB36" s="30"/>
    </row>
    <row r="37" spans="1:28" s="31" customFormat="1" ht="27.95" customHeight="1" thickBot="1">
      <c r="A37" s="32"/>
      <c r="B37" s="33"/>
      <c r="C37" s="226"/>
      <c r="D37" s="224"/>
      <c r="E37" s="225"/>
      <c r="F37" s="225"/>
      <c r="G37" s="225"/>
      <c r="H37" s="225"/>
      <c r="I37" s="225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4"/>
    </row>
  </sheetData>
  <mergeCells count="87">
    <mergeCell ref="C27:K27"/>
    <mergeCell ref="D25:K25"/>
    <mergeCell ref="P26:S26"/>
    <mergeCell ref="T24:X24"/>
    <mergeCell ref="T26:X26"/>
    <mergeCell ref="L24:O24"/>
    <mergeCell ref="Y26:AA26"/>
    <mergeCell ref="U13:W13"/>
    <mergeCell ref="L27:O27"/>
    <mergeCell ref="P25:S25"/>
    <mergeCell ref="Y23:AA23"/>
    <mergeCell ref="Y24:AA24"/>
    <mergeCell ref="T23:X23"/>
    <mergeCell ref="Q14:T14"/>
    <mergeCell ref="A2:AA2"/>
    <mergeCell ref="W18:Y18"/>
    <mergeCell ref="N9:P9"/>
    <mergeCell ref="X11:AA11"/>
    <mergeCell ref="O22:S22"/>
    <mergeCell ref="N12:P13"/>
    <mergeCell ref="S4:AA4"/>
    <mergeCell ref="M8:M13"/>
    <mergeCell ref="J20:AA20"/>
    <mergeCell ref="N10:P10"/>
    <mergeCell ref="E10:L10"/>
    <mergeCell ref="D17:H17"/>
    <mergeCell ref="V22:Z22"/>
    <mergeCell ref="A3:AB3"/>
    <mergeCell ref="N8:P8"/>
    <mergeCell ref="E8:L8"/>
    <mergeCell ref="Y30:AA30"/>
    <mergeCell ref="U11:W11"/>
    <mergeCell ref="Q9:T9"/>
    <mergeCell ref="T30:X30"/>
    <mergeCell ref="C30:D30"/>
    <mergeCell ref="T29:X29"/>
    <mergeCell ref="J19:Q19"/>
    <mergeCell ref="Q11:T11"/>
    <mergeCell ref="P24:S24"/>
    <mergeCell ref="U12:W12"/>
    <mergeCell ref="C13:L13"/>
    <mergeCell ref="X9:AA9"/>
    <mergeCell ref="L30:O30"/>
    <mergeCell ref="E30:K30"/>
    <mergeCell ref="F11:L11"/>
    <mergeCell ref="X13:AA13"/>
    <mergeCell ref="C31:AA31"/>
    <mergeCell ref="C28:S28"/>
    <mergeCell ref="F14:J14"/>
    <mergeCell ref="J18:Q18"/>
    <mergeCell ref="X14:AA14"/>
    <mergeCell ref="N14:P14"/>
    <mergeCell ref="P30:S30"/>
    <mergeCell ref="Y25:AA25"/>
    <mergeCell ref="P27:S27"/>
    <mergeCell ref="T27:X27"/>
    <mergeCell ref="Y28:AA29"/>
    <mergeCell ref="D20:H20"/>
    <mergeCell ref="R19:V19"/>
    <mergeCell ref="T28:X28"/>
    <mergeCell ref="U14:W14"/>
    <mergeCell ref="D16:H16"/>
    <mergeCell ref="C22:F22"/>
    <mergeCell ref="N11:P11"/>
    <mergeCell ref="Q12:T13"/>
    <mergeCell ref="L26:O26"/>
    <mergeCell ref="D24:K24"/>
    <mergeCell ref="L25:O25"/>
    <mergeCell ref="D26:K26"/>
    <mergeCell ref="D19:H19"/>
    <mergeCell ref="D18:H18"/>
    <mergeCell ref="Q8:AA8"/>
    <mergeCell ref="T25:X25"/>
    <mergeCell ref="C29:S29"/>
    <mergeCell ref="L22:N22"/>
    <mergeCell ref="Y27:AA27"/>
    <mergeCell ref="X12:AA12"/>
    <mergeCell ref="Q10:AA10"/>
    <mergeCell ref="U9:W9"/>
    <mergeCell ref="J17:AA17"/>
    <mergeCell ref="L23:O23"/>
    <mergeCell ref="D15:H15"/>
    <mergeCell ref="P23:S23"/>
    <mergeCell ref="D23:K23"/>
    <mergeCell ref="W19:AA19"/>
    <mergeCell ref="R18:V18"/>
    <mergeCell ref="G22:K22"/>
  </mergeCells>
  <phoneticPr fontId="2" type="noConversion"/>
  <printOptions horizontalCentered="1"/>
  <pageMargins left="0.23622047244094491" right="0.23622047244094491" top="0.84" bottom="0.34" header="0.31496062992125978" footer="0.31496062992125978"/>
  <pageSetup paperSize="9" scale="61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8"/>
    <pageSetUpPr fitToPage="1"/>
  </sheetPr>
  <dimension ref="A1:J38"/>
  <sheetViews>
    <sheetView showGridLines="0" zoomScaleNormal="100" zoomScaleSheetLayoutView="115" workbookViewId="0">
      <selection activeCell="G11" sqref="G11"/>
    </sheetView>
  </sheetViews>
  <sheetFormatPr defaultColWidth="0" defaultRowHeight="13.5" zeroHeight="1"/>
  <cols>
    <col min="1" max="1" width="3" style="35" customWidth="1"/>
    <col min="2" max="2" width="4.77734375" style="35" customWidth="1"/>
    <col min="3" max="3" width="12.77734375" style="35" customWidth="1"/>
    <col min="4" max="4" width="9.77734375" style="35" customWidth="1"/>
    <col min="5" max="6" width="8.77734375" style="35" customWidth="1"/>
    <col min="7" max="7" width="12.77734375" style="35" customWidth="1"/>
    <col min="8" max="8" width="15.77734375" style="35" customWidth="1"/>
    <col min="9" max="9" width="13.77734375" style="35" customWidth="1"/>
    <col min="10" max="10" width="2.77734375" style="35" customWidth="1"/>
    <col min="11" max="11" width="8.88671875" style="35" hidden="1" customWidth="1"/>
    <col min="12" max="16384" width="8.88671875" style="35" hidden="1"/>
  </cols>
  <sheetData>
    <row r="1" spans="1:10" ht="35.25" customHeight="1">
      <c r="A1" s="470" t="s">
        <v>76</v>
      </c>
      <c r="B1" s="445"/>
      <c r="C1" s="445"/>
      <c r="D1" s="445"/>
      <c r="E1" s="445"/>
      <c r="F1" s="445"/>
      <c r="G1" s="445"/>
      <c r="H1" s="445"/>
      <c r="I1" s="445"/>
      <c r="J1" s="445"/>
    </row>
    <row r="2" spans="1:10" ht="27.95" customHeight="1" thickBot="1">
      <c r="A2" s="37"/>
      <c r="B2" s="37"/>
      <c r="C2" s="37"/>
      <c r="D2" s="37"/>
      <c r="E2" s="37"/>
      <c r="F2" s="37"/>
      <c r="G2" s="37"/>
      <c r="H2" s="37"/>
      <c r="I2" s="37"/>
    </row>
    <row r="3" spans="1:10" ht="27.95" customHeight="1" thickBot="1">
      <c r="A3" s="474" t="s">
        <v>77</v>
      </c>
      <c r="B3" s="475"/>
      <c r="C3" s="476"/>
      <c r="D3" s="38"/>
      <c r="E3" s="38"/>
      <c r="F3" s="38"/>
      <c r="G3" s="38"/>
      <c r="H3" s="38"/>
      <c r="I3" s="38"/>
    </row>
    <row r="4" spans="1:10" ht="27.95" customHeight="1">
      <c r="A4" s="318" t="s">
        <v>78</v>
      </c>
      <c r="B4" s="39"/>
      <c r="C4" s="40" t="s">
        <v>79</v>
      </c>
      <c r="D4" s="41" t="s">
        <v>80</v>
      </c>
      <c r="E4" s="477" t="s">
        <v>81</v>
      </c>
      <c r="F4" s="476"/>
      <c r="G4" s="42" t="s">
        <v>82</v>
      </c>
      <c r="H4" s="43" t="s">
        <v>83</v>
      </c>
      <c r="I4" s="471" t="s">
        <v>57</v>
      </c>
      <c r="J4" s="472"/>
    </row>
    <row r="5" spans="1:10" ht="27.95" customHeight="1">
      <c r="A5" s="319" t="s">
        <v>84</v>
      </c>
      <c r="B5" s="44"/>
      <c r="C5" s="63" t="s">
        <v>85</v>
      </c>
      <c r="D5" s="45"/>
      <c r="E5" s="473"/>
      <c r="F5" s="362"/>
      <c r="G5" s="362"/>
      <c r="H5" s="362"/>
      <c r="I5" s="362"/>
      <c r="J5" s="454"/>
    </row>
    <row r="6" spans="1:10" ht="27.95" customHeight="1">
      <c r="A6" s="320"/>
      <c r="B6" s="244" t="s">
        <v>86</v>
      </c>
      <c r="C6" s="79" t="s">
        <v>87</v>
      </c>
      <c r="D6" s="45" t="s">
        <v>88</v>
      </c>
      <c r="E6" s="466"/>
      <c r="F6" s="363"/>
      <c r="G6" s="47"/>
      <c r="H6" s="47" t="str">
        <f>IF(E6*G6=0, "", E6*G6)</f>
        <v/>
      </c>
      <c r="I6" s="453"/>
      <c r="J6" s="454"/>
    </row>
    <row r="7" spans="1:10" ht="27.95" customHeight="1">
      <c r="A7" s="320"/>
      <c r="B7" s="244" t="s">
        <v>89</v>
      </c>
      <c r="C7" s="79" t="s">
        <v>87</v>
      </c>
      <c r="D7" s="45" t="s">
        <v>88</v>
      </c>
      <c r="E7" s="466"/>
      <c r="F7" s="363"/>
      <c r="G7" s="47"/>
      <c r="H7" s="47" t="str">
        <f>IF(E7*G7=0, "", E7*G7)</f>
        <v/>
      </c>
      <c r="I7" s="453"/>
      <c r="J7" s="454"/>
    </row>
    <row r="8" spans="1:10" ht="27.95" customHeight="1">
      <c r="A8" s="320"/>
      <c r="B8" s="244" t="s">
        <v>90</v>
      </c>
      <c r="C8" s="79" t="s">
        <v>87</v>
      </c>
      <c r="D8" s="45" t="s">
        <v>88</v>
      </c>
      <c r="E8" s="466"/>
      <c r="F8" s="363"/>
      <c r="G8" s="47"/>
      <c r="H8" s="47" t="str">
        <f>IF(E8*G8=0, "", E8*G8)</f>
        <v/>
      </c>
      <c r="I8" s="453"/>
      <c r="J8" s="454"/>
    </row>
    <row r="9" spans="1:10" ht="27.95" customHeight="1">
      <c r="A9" s="320"/>
      <c r="B9" s="244" t="s">
        <v>91</v>
      </c>
      <c r="C9" s="79" t="s">
        <v>87</v>
      </c>
      <c r="D9" s="55" t="s">
        <v>88</v>
      </c>
      <c r="E9" s="466"/>
      <c r="F9" s="363"/>
      <c r="G9" s="47"/>
      <c r="H9" s="47" t="str">
        <f>IF(E9*G9=0, "", E9*G9)</f>
        <v/>
      </c>
      <c r="I9" s="453"/>
      <c r="J9" s="454"/>
    </row>
    <row r="10" spans="1:10" ht="27.95" customHeight="1">
      <c r="A10" s="467" t="s">
        <v>92</v>
      </c>
      <c r="B10" s="362"/>
      <c r="C10" s="363"/>
      <c r="D10" s="55"/>
      <c r="E10" s="481"/>
      <c r="F10" s="362"/>
      <c r="G10" s="46"/>
      <c r="H10" s="47"/>
      <c r="I10" s="453"/>
      <c r="J10" s="454"/>
    </row>
    <row r="11" spans="1:10" ht="27.95" customHeight="1">
      <c r="A11" s="319" t="s">
        <v>93</v>
      </c>
      <c r="B11" s="44"/>
      <c r="C11" s="63" t="s">
        <v>94</v>
      </c>
      <c r="D11" s="48" t="s">
        <v>59</v>
      </c>
      <c r="E11" s="448" t="s">
        <v>95</v>
      </c>
      <c r="F11" s="362"/>
      <c r="G11" s="49">
        <v>0.1</v>
      </c>
      <c r="H11" s="50"/>
      <c r="I11" s="488" t="s">
        <v>96</v>
      </c>
      <c r="J11" s="454"/>
    </row>
    <row r="12" spans="1:10" ht="27.95" customHeight="1">
      <c r="A12" s="319" t="s">
        <v>97</v>
      </c>
      <c r="B12" s="44"/>
      <c r="C12" s="63" t="s">
        <v>98</v>
      </c>
      <c r="D12" s="48" t="s">
        <v>59</v>
      </c>
      <c r="E12" s="448" t="s">
        <v>95</v>
      </c>
      <c r="F12" s="362"/>
      <c r="G12" s="49">
        <v>1.1000000000000001</v>
      </c>
      <c r="H12" s="50"/>
      <c r="I12" s="463" t="s">
        <v>99</v>
      </c>
      <c r="J12" s="454"/>
    </row>
    <row r="13" spans="1:10" ht="27.95" customHeight="1">
      <c r="A13" s="319" t="s">
        <v>100</v>
      </c>
      <c r="B13" s="44"/>
      <c r="C13" s="63" t="s">
        <v>101</v>
      </c>
      <c r="D13" s="48" t="s">
        <v>59</v>
      </c>
      <c r="E13" s="448" t="s">
        <v>102</v>
      </c>
      <c r="F13" s="362"/>
      <c r="G13" s="49">
        <v>0.2</v>
      </c>
      <c r="H13" s="50"/>
      <c r="I13" s="463" t="s">
        <v>103</v>
      </c>
      <c r="J13" s="454"/>
    </row>
    <row r="14" spans="1:10" ht="27.95" customHeight="1">
      <c r="A14" s="319" t="s">
        <v>104</v>
      </c>
      <c r="B14" s="44"/>
      <c r="C14" s="63" t="s">
        <v>105</v>
      </c>
      <c r="D14" s="48"/>
      <c r="E14" s="448" t="s">
        <v>106</v>
      </c>
      <c r="F14" s="362"/>
      <c r="G14" s="49"/>
      <c r="H14" s="68"/>
      <c r="I14" s="455"/>
      <c r="J14" s="454"/>
    </row>
    <row r="15" spans="1:10" ht="27.95" customHeight="1">
      <c r="A15" s="319" t="s">
        <v>107</v>
      </c>
      <c r="B15" s="44"/>
      <c r="C15" s="63" t="s">
        <v>108</v>
      </c>
      <c r="D15" s="48"/>
      <c r="E15" s="490"/>
      <c r="F15" s="362"/>
      <c r="G15" s="363"/>
      <c r="H15" s="68"/>
      <c r="I15" s="455"/>
      <c r="J15" s="454"/>
    </row>
    <row r="16" spans="1:10" ht="7.5" customHeight="1">
      <c r="A16" s="321"/>
      <c r="B16" s="52"/>
      <c r="C16" s="52"/>
      <c r="D16" s="53"/>
      <c r="E16" s="52"/>
      <c r="F16" s="52"/>
      <c r="G16" s="52"/>
      <c r="H16" s="52"/>
      <c r="I16" s="52"/>
      <c r="J16" s="317"/>
    </row>
    <row r="17" spans="1:10" s="36" customFormat="1" ht="27.95" customHeight="1" thickBot="1">
      <c r="A17" s="322" t="s">
        <v>109</v>
      </c>
      <c r="B17" s="323"/>
      <c r="C17" s="324" t="s">
        <v>110</v>
      </c>
      <c r="D17" s="325"/>
      <c r="E17" s="326"/>
      <c r="F17" s="326"/>
      <c r="G17" s="327"/>
      <c r="H17" s="328"/>
      <c r="I17" s="456"/>
      <c r="J17" s="457"/>
    </row>
    <row r="18" spans="1:10" ht="15" customHeight="1" thickBot="1">
      <c r="A18" s="37"/>
      <c r="B18" s="37"/>
      <c r="C18" s="37"/>
      <c r="D18" s="37"/>
      <c r="E18" s="37"/>
      <c r="F18" s="37"/>
      <c r="G18" s="37"/>
      <c r="H18" s="37"/>
      <c r="I18" s="37"/>
    </row>
    <row r="19" spans="1:10" ht="24" customHeight="1">
      <c r="A19" s="478" t="s">
        <v>111</v>
      </c>
      <c r="B19" s="479"/>
      <c r="C19" s="479"/>
      <c r="D19" s="479"/>
      <c r="E19" s="479"/>
      <c r="F19" s="479"/>
      <c r="G19" s="479"/>
      <c r="H19" s="479"/>
      <c r="I19" s="479"/>
      <c r="J19" s="480"/>
    </row>
    <row r="20" spans="1:10" ht="20.100000000000001" customHeight="1">
      <c r="A20" s="102"/>
      <c r="B20" s="103" t="s">
        <v>112</v>
      </c>
      <c r="C20" s="71"/>
      <c r="D20" s="71"/>
      <c r="E20" s="71"/>
      <c r="F20" s="71"/>
      <c r="G20" s="71"/>
      <c r="H20" s="71"/>
      <c r="I20" s="71"/>
      <c r="J20" s="104"/>
    </row>
    <row r="21" spans="1:10" ht="20.100000000000001" customHeight="1">
      <c r="A21" s="105"/>
      <c r="B21" s="106" t="s">
        <v>113</v>
      </c>
      <c r="C21" s="71"/>
      <c r="D21" s="71"/>
      <c r="E21" s="71"/>
      <c r="F21" s="71"/>
      <c r="G21" s="71"/>
      <c r="H21" s="71"/>
      <c r="I21" s="71"/>
      <c r="J21" s="104"/>
    </row>
    <row r="22" spans="1:10" ht="20.100000000000001" customHeight="1">
      <c r="A22" s="105"/>
      <c r="B22" s="106" t="s">
        <v>114</v>
      </c>
      <c r="C22" s="71"/>
      <c r="D22" s="71"/>
      <c r="E22" s="71"/>
      <c r="F22" s="71"/>
      <c r="G22" s="71"/>
      <c r="H22" s="71"/>
      <c r="I22" s="71"/>
      <c r="J22" s="104"/>
    </row>
    <row r="23" spans="1:10" ht="20.100000000000001" customHeight="1">
      <c r="A23" s="105"/>
      <c r="B23" s="106" t="s">
        <v>115</v>
      </c>
      <c r="C23" s="71"/>
      <c r="D23" s="71"/>
      <c r="E23" s="71"/>
      <c r="F23" s="71"/>
      <c r="G23" s="71"/>
      <c r="H23" s="71"/>
      <c r="I23" s="71"/>
      <c r="J23" s="104"/>
    </row>
    <row r="24" spans="1:10" ht="20.100000000000001" customHeight="1">
      <c r="A24" s="105"/>
      <c r="B24" s="106" t="s">
        <v>116</v>
      </c>
      <c r="C24" s="71"/>
      <c r="D24" s="71"/>
      <c r="E24" s="71"/>
      <c r="F24" s="71"/>
      <c r="G24" s="71"/>
      <c r="H24" s="71"/>
      <c r="I24" s="71"/>
      <c r="J24" s="104"/>
    </row>
    <row r="25" spans="1:10" ht="20.100000000000001" customHeight="1">
      <c r="A25" s="107"/>
      <c r="B25" s="108"/>
      <c r="C25" s="71"/>
      <c r="D25" s="71"/>
      <c r="E25" s="71"/>
      <c r="F25" s="71"/>
      <c r="G25" s="71"/>
      <c r="H25" s="71"/>
      <c r="I25" s="71"/>
      <c r="J25" s="104"/>
    </row>
    <row r="26" spans="1:10" ht="20.100000000000001" customHeight="1">
      <c r="A26" s="102"/>
      <c r="B26" s="103" t="s">
        <v>117</v>
      </c>
      <c r="C26" s="71"/>
      <c r="D26" s="71"/>
      <c r="E26" s="71"/>
      <c r="F26" s="71"/>
      <c r="G26" s="71"/>
      <c r="H26" s="71"/>
      <c r="I26" s="71"/>
      <c r="J26" s="104"/>
    </row>
    <row r="27" spans="1:10">
      <c r="A27" s="109"/>
      <c r="B27" s="489" t="s">
        <v>118</v>
      </c>
      <c r="C27" s="363"/>
      <c r="D27" s="485" t="s">
        <v>119</v>
      </c>
      <c r="E27" s="362"/>
      <c r="F27" s="362"/>
      <c r="G27" s="362"/>
      <c r="H27" s="362"/>
      <c r="I27" s="363"/>
      <c r="J27" s="110"/>
    </row>
    <row r="28" spans="1:10">
      <c r="A28" s="111"/>
      <c r="B28" s="449" t="s">
        <v>120</v>
      </c>
      <c r="C28" s="360"/>
      <c r="D28" s="482" t="s">
        <v>121</v>
      </c>
      <c r="E28" s="359"/>
      <c r="F28" s="359"/>
      <c r="G28" s="359"/>
      <c r="H28" s="359"/>
      <c r="I28" s="360"/>
      <c r="J28" s="112"/>
    </row>
    <row r="29" spans="1:10">
      <c r="A29" s="111"/>
      <c r="B29" s="450"/>
      <c r="C29" s="378"/>
      <c r="D29" s="483"/>
      <c r="E29" s="445"/>
      <c r="F29" s="445"/>
      <c r="G29" s="445"/>
      <c r="H29" s="445"/>
      <c r="I29" s="378"/>
      <c r="J29" s="112"/>
    </row>
    <row r="30" spans="1:10">
      <c r="A30" s="111"/>
      <c r="B30" s="451"/>
      <c r="C30" s="452"/>
      <c r="D30" s="484"/>
      <c r="E30" s="469"/>
      <c r="F30" s="469"/>
      <c r="G30" s="469"/>
      <c r="H30" s="469"/>
      <c r="I30" s="452"/>
      <c r="J30" s="112"/>
    </row>
    <row r="31" spans="1:10" ht="27.95" customHeight="1">
      <c r="A31" s="111"/>
      <c r="B31" s="464" t="s">
        <v>122</v>
      </c>
      <c r="C31" s="462"/>
      <c r="D31" s="460" t="s">
        <v>123</v>
      </c>
      <c r="E31" s="461"/>
      <c r="F31" s="461"/>
      <c r="G31" s="461"/>
      <c r="H31" s="461"/>
      <c r="I31" s="462"/>
      <c r="J31" s="113"/>
    </row>
    <row r="32" spans="1:10" ht="14.1" customHeight="1">
      <c r="A32" s="111"/>
      <c r="B32" s="464" t="s">
        <v>124</v>
      </c>
      <c r="C32" s="465"/>
      <c r="D32" s="486" t="s">
        <v>125</v>
      </c>
      <c r="E32" s="487"/>
      <c r="F32" s="487"/>
      <c r="G32" s="487"/>
      <c r="H32" s="487"/>
      <c r="I32" s="465"/>
      <c r="J32" s="113"/>
    </row>
    <row r="33" spans="1:10" ht="14.1" customHeight="1">
      <c r="A33" s="111"/>
      <c r="B33" s="451"/>
      <c r="C33" s="452"/>
      <c r="D33" s="468" t="s">
        <v>126</v>
      </c>
      <c r="E33" s="469"/>
      <c r="F33" s="469"/>
      <c r="G33" s="469"/>
      <c r="H33" s="469"/>
      <c r="I33" s="452"/>
      <c r="J33" s="113"/>
    </row>
    <row r="34" spans="1:10" ht="27.95" customHeight="1">
      <c r="A34" s="111"/>
      <c r="B34" s="446" t="s">
        <v>127</v>
      </c>
      <c r="C34" s="447"/>
      <c r="D34" s="458" t="s">
        <v>128</v>
      </c>
      <c r="E34" s="459"/>
      <c r="F34" s="459"/>
      <c r="G34" s="459"/>
      <c r="H34" s="459"/>
      <c r="I34" s="447"/>
      <c r="J34" s="113"/>
    </row>
    <row r="35" spans="1:10" ht="34.5" customHeight="1" thickBot="1">
      <c r="A35" s="329"/>
      <c r="B35" s="330"/>
      <c r="C35" s="330"/>
      <c r="D35" s="330"/>
      <c r="E35" s="330"/>
      <c r="F35" s="330"/>
      <c r="G35" s="330"/>
      <c r="H35" s="330"/>
      <c r="I35" s="330"/>
      <c r="J35" s="331"/>
    </row>
    <row r="36" spans="1:10" ht="30" customHeight="1">
      <c r="A36" s="444"/>
      <c r="B36" s="445"/>
      <c r="C36" s="445"/>
      <c r="D36" s="445"/>
      <c r="E36" s="445"/>
      <c r="F36" s="445"/>
      <c r="G36" s="445"/>
      <c r="H36" s="445"/>
      <c r="I36" s="445"/>
      <c r="J36" s="445"/>
    </row>
    <row r="38" spans="1:10" hidden="1">
      <c r="G38" s="199"/>
    </row>
  </sheetData>
  <mergeCells count="40">
    <mergeCell ref="D32:I32"/>
    <mergeCell ref="I15:J15"/>
    <mergeCell ref="I11:J11"/>
    <mergeCell ref="E14:F14"/>
    <mergeCell ref="B31:C31"/>
    <mergeCell ref="B27:C27"/>
    <mergeCell ref="E15:G15"/>
    <mergeCell ref="A19:J19"/>
    <mergeCell ref="E10:F10"/>
    <mergeCell ref="D28:I30"/>
    <mergeCell ref="E13:F13"/>
    <mergeCell ref="E12:F12"/>
    <mergeCell ref="D27:I27"/>
    <mergeCell ref="A1:J1"/>
    <mergeCell ref="I12:J12"/>
    <mergeCell ref="E6:F6"/>
    <mergeCell ref="I4:J4"/>
    <mergeCell ref="E7:F7"/>
    <mergeCell ref="E5:J5"/>
    <mergeCell ref="A3:C3"/>
    <mergeCell ref="E4:F4"/>
    <mergeCell ref="I7:J7"/>
    <mergeCell ref="I6:J6"/>
    <mergeCell ref="E8:F8"/>
    <mergeCell ref="A36:J36"/>
    <mergeCell ref="B34:C34"/>
    <mergeCell ref="E11:F11"/>
    <mergeCell ref="B28:C30"/>
    <mergeCell ref="I8:J8"/>
    <mergeCell ref="I14:J14"/>
    <mergeCell ref="I17:J17"/>
    <mergeCell ref="D34:I34"/>
    <mergeCell ref="I10:J10"/>
    <mergeCell ref="D31:I31"/>
    <mergeCell ref="I13:J13"/>
    <mergeCell ref="I9:J9"/>
    <mergeCell ref="B32:C33"/>
    <mergeCell ref="E9:F9"/>
    <mergeCell ref="A10:C10"/>
    <mergeCell ref="D33:I33"/>
  </mergeCells>
  <phoneticPr fontId="2" type="noConversion"/>
  <printOptions horizontalCentered="1"/>
  <pageMargins left="0.39370078740157483" right="0.39370078740157483" top="0.78740157480314965" bottom="0.39370078740157483" header="0.31496062992125978" footer="0.47244094488188981"/>
  <pageSetup paperSize="9" scale="8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XFC35"/>
  <sheetViews>
    <sheetView showGridLines="0" topLeftCell="A4" zoomScaleNormal="100" zoomScaleSheetLayoutView="115" workbookViewId="0">
      <selection activeCell="E5" sqref="E5:J5"/>
    </sheetView>
  </sheetViews>
  <sheetFormatPr defaultColWidth="0" defaultRowHeight="13.5" zeroHeight="1"/>
  <cols>
    <col min="1" max="1" width="3" style="35" customWidth="1"/>
    <col min="2" max="2" width="4.77734375" style="35" customWidth="1"/>
    <col min="3" max="3" width="12.77734375" style="35" customWidth="1"/>
    <col min="4" max="4" width="9.77734375" style="35" customWidth="1"/>
    <col min="5" max="6" width="8.77734375" style="35" customWidth="1"/>
    <col min="7" max="7" width="12.77734375" style="35" customWidth="1"/>
    <col min="8" max="8" width="15.77734375" style="35" customWidth="1"/>
    <col min="9" max="9" width="13.77734375" style="35" customWidth="1"/>
    <col min="10" max="10" width="2.5546875" style="35" customWidth="1"/>
    <col min="11" max="11" width="5.88671875" style="35" customWidth="1"/>
    <col min="12" max="16383" width="5.88671875" style="35" hidden="1" customWidth="1"/>
    <col min="16384" max="16384" width="14.21875" style="35" hidden="1" customWidth="1"/>
  </cols>
  <sheetData>
    <row r="1" spans="1:10" ht="35.25" customHeight="1">
      <c r="A1" s="470" t="s">
        <v>129</v>
      </c>
      <c r="B1" s="445"/>
      <c r="C1" s="445"/>
      <c r="D1" s="445"/>
      <c r="E1" s="445"/>
      <c r="F1" s="445"/>
      <c r="G1" s="445"/>
      <c r="H1" s="445"/>
      <c r="I1" s="445"/>
      <c r="J1" s="445"/>
    </row>
    <row r="2" spans="1:10" ht="27.95" customHeight="1" thickBot="1">
      <c r="A2" s="37"/>
      <c r="B2" s="37"/>
      <c r="C2" s="37"/>
      <c r="D2" s="37"/>
      <c r="E2" s="37"/>
      <c r="F2" s="37"/>
      <c r="G2" s="37"/>
      <c r="H2" s="37"/>
      <c r="I2" s="37"/>
    </row>
    <row r="3" spans="1:10" ht="27.95" customHeight="1" thickBot="1">
      <c r="A3" s="497" t="s">
        <v>130</v>
      </c>
      <c r="B3" s="475"/>
      <c r="C3" s="476"/>
      <c r="D3" s="38"/>
      <c r="E3" s="38"/>
      <c r="F3" s="38"/>
      <c r="G3" s="38"/>
      <c r="H3" s="38"/>
      <c r="I3" s="38"/>
    </row>
    <row r="4" spans="1:10" ht="27.95" customHeight="1">
      <c r="A4" s="339" t="s">
        <v>78</v>
      </c>
      <c r="B4" s="80"/>
      <c r="C4" s="81" t="s">
        <v>79</v>
      </c>
      <c r="D4" s="82" t="s">
        <v>80</v>
      </c>
      <c r="E4" s="498" t="s">
        <v>81</v>
      </c>
      <c r="F4" s="476"/>
      <c r="G4" s="83" t="s">
        <v>82</v>
      </c>
      <c r="H4" s="83" t="s">
        <v>83</v>
      </c>
      <c r="I4" s="495" t="s">
        <v>57</v>
      </c>
      <c r="J4" s="472"/>
    </row>
    <row r="5" spans="1:10" ht="27.95" customHeight="1">
      <c r="A5" s="340" t="s">
        <v>84</v>
      </c>
      <c r="B5" s="84"/>
      <c r="C5" s="85" t="s">
        <v>85</v>
      </c>
      <c r="D5" s="86"/>
      <c r="E5" s="496" t="s">
        <v>10</v>
      </c>
      <c r="F5" s="362"/>
      <c r="G5" s="362"/>
      <c r="H5" s="362"/>
      <c r="I5" s="362"/>
      <c r="J5" s="454"/>
    </row>
    <row r="6" spans="1:10" ht="27.95" customHeight="1">
      <c r="A6" s="341"/>
      <c r="B6" s="87" t="s">
        <v>86</v>
      </c>
      <c r="C6" s="88" t="s">
        <v>87</v>
      </c>
      <c r="D6" s="89" t="s">
        <v>88</v>
      </c>
      <c r="E6" s="493"/>
      <c r="F6" s="363"/>
      <c r="G6" s="46"/>
      <c r="H6" s="47" t="str">
        <f>IF(E6*G6=0, "", E6*G6)</f>
        <v/>
      </c>
      <c r="I6" s="453"/>
      <c r="J6" s="454"/>
    </row>
    <row r="7" spans="1:10" ht="27.95" customHeight="1">
      <c r="A7" s="342"/>
      <c r="B7" s="90" t="s">
        <v>89</v>
      </c>
      <c r="C7" s="91" t="s">
        <v>87</v>
      </c>
      <c r="D7" s="89" t="s">
        <v>88</v>
      </c>
      <c r="E7" s="493"/>
      <c r="F7" s="363"/>
      <c r="G7" s="46"/>
      <c r="H7" s="47" t="str">
        <f>IF(E7*G7=0, "", E7*G7)</f>
        <v/>
      </c>
      <c r="I7" s="453"/>
      <c r="J7" s="454"/>
    </row>
    <row r="8" spans="1:10" ht="27.95" customHeight="1">
      <c r="A8" s="342"/>
      <c r="B8" s="90" t="s">
        <v>90</v>
      </c>
      <c r="C8" s="91" t="s">
        <v>87</v>
      </c>
      <c r="D8" s="89" t="s">
        <v>88</v>
      </c>
      <c r="E8" s="493"/>
      <c r="F8" s="363"/>
      <c r="G8" s="46"/>
      <c r="H8" s="47" t="str">
        <f>IF(E8*G8=0, "", E8*G8)</f>
        <v/>
      </c>
      <c r="I8" s="453"/>
      <c r="J8" s="454"/>
    </row>
    <row r="9" spans="1:10" ht="27.95" customHeight="1">
      <c r="A9" s="342"/>
      <c r="B9" s="90" t="s">
        <v>91</v>
      </c>
      <c r="C9" s="91" t="s">
        <v>87</v>
      </c>
      <c r="D9" s="89" t="s">
        <v>88</v>
      </c>
      <c r="E9" s="493"/>
      <c r="F9" s="363"/>
      <c r="G9" s="46"/>
      <c r="H9" s="47" t="str">
        <f>IF(E9*G9=0, "", E9*G9)</f>
        <v/>
      </c>
      <c r="I9" s="453"/>
      <c r="J9" s="454"/>
    </row>
    <row r="10" spans="1:10" ht="27.95" customHeight="1">
      <c r="A10" s="494" t="s">
        <v>92</v>
      </c>
      <c r="B10" s="362"/>
      <c r="C10" s="363"/>
      <c r="D10" s="89"/>
      <c r="E10" s="500"/>
      <c r="F10" s="362"/>
      <c r="G10" s="56"/>
      <c r="H10" s="54"/>
      <c r="I10" s="453"/>
      <c r="J10" s="454"/>
    </row>
    <row r="11" spans="1:10" ht="27.95" customHeight="1">
      <c r="A11" s="340" t="s">
        <v>93</v>
      </c>
      <c r="B11" s="84"/>
      <c r="C11" s="85" t="s">
        <v>94</v>
      </c>
      <c r="D11" s="245" t="s">
        <v>59</v>
      </c>
      <c r="E11" s="448" t="s">
        <v>95</v>
      </c>
      <c r="F11" s="362"/>
      <c r="G11" s="49">
        <v>0.1</v>
      </c>
      <c r="H11" s="50"/>
      <c r="I11" s="488" t="s">
        <v>96</v>
      </c>
      <c r="J11" s="454"/>
    </row>
    <row r="12" spans="1:10" ht="27.95" customHeight="1">
      <c r="A12" s="340" t="s">
        <v>97</v>
      </c>
      <c r="B12" s="84"/>
      <c r="C12" s="85" t="s">
        <v>98</v>
      </c>
      <c r="D12" s="245" t="s">
        <v>59</v>
      </c>
      <c r="E12" s="448" t="s">
        <v>95</v>
      </c>
      <c r="F12" s="362"/>
      <c r="G12" s="49">
        <v>1.1000000000000001</v>
      </c>
      <c r="H12" s="50"/>
      <c r="I12" s="463" t="s">
        <v>99</v>
      </c>
      <c r="J12" s="454"/>
    </row>
    <row r="13" spans="1:10" ht="27.95" customHeight="1">
      <c r="A13" s="340" t="s">
        <v>100</v>
      </c>
      <c r="B13" s="84"/>
      <c r="C13" s="85" t="s">
        <v>101</v>
      </c>
      <c r="D13" s="245" t="s">
        <v>59</v>
      </c>
      <c r="E13" s="448" t="s">
        <v>102</v>
      </c>
      <c r="F13" s="362"/>
      <c r="G13" s="49">
        <v>0.2</v>
      </c>
      <c r="H13" s="50"/>
      <c r="I13" s="463" t="s">
        <v>103</v>
      </c>
      <c r="J13" s="454"/>
    </row>
    <row r="14" spans="1:10" ht="27.95" customHeight="1">
      <c r="A14" s="343" t="s">
        <v>104</v>
      </c>
      <c r="B14" s="92"/>
      <c r="C14" s="93" t="s">
        <v>131</v>
      </c>
      <c r="D14" s="86"/>
      <c r="E14" s="448" t="s">
        <v>106</v>
      </c>
      <c r="F14" s="362"/>
      <c r="G14" s="49"/>
      <c r="H14" s="68"/>
      <c r="I14" s="455"/>
      <c r="J14" s="454"/>
    </row>
    <row r="15" spans="1:10" ht="27.95" customHeight="1">
      <c r="A15" s="343" t="s">
        <v>107</v>
      </c>
      <c r="B15" s="92"/>
      <c r="C15" s="94" t="s">
        <v>108</v>
      </c>
      <c r="D15" s="86"/>
      <c r="E15" s="490"/>
      <c r="F15" s="362"/>
      <c r="G15" s="363"/>
      <c r="H15" s="51"/>
      <c r="I15" s="455"/>
      <c r="J15" s="454"/>
    </row>
    <row r="16" spans="1:10" ht="7.5" customHeight="1">
      <c r="A16" s="337"/>
      <c r="B16" s="57"/>
      <c r="C16" s="58"/>
      <c r="D16" s="59"/>
      <c r="E16" s="52"/>
      <c r="F16" s="52"/>
      <c r="G16" s="52"/>
      <c r="H16" s="52"/>
      <c r="I16" s="52"/>
      <c r="J16" s="317"/>
    </row>
    <row r="17" spans="1:10" s="36" customFormat="1" ht="27.95" customHeight="1" thickBot="1">
      <c r="A17" s="344" t="s">
        <v>109</v>
      </c>
      <c r="B17" s="95"/>
      <c r="C17" s="96" t="s">
        <v>110</v>
      </c>
      <c r="D17" s="97"/>
      <c r="E17" s="97"/>
      <c r="F17" s="97"/>
      <c r="G17" s="98"/>
      <c r="H17" s="99"/>
      <c r="I17" s="491"/>
      <c r="J17" s="492"/>
    </row>
    <row r="18" spans="1:10" ht="15" customHeight="1" thickBot="1">
      <c r="A18" s="37"/>
      <c r="B18" s="37"/>
      <c r="C18" s="37"/>
      <c r="D18" s="37"/>
      <c r="E18" s="37"/>
      <c r="F18" s="37"/>
      <c r="G18" s="37"/>
      <c r="H18" s="37"/>
      <c r="I18" s="37"/>
    </row>
    <row r="19" spans="1:10" ht="24" customHeight="1">
      <c r="A19" s="499" t="s">
        <v>111</v>
      </c>
      <c r="B19" s="479"/>
      <c r="C19" s="479"/>
      <c r="D19" s="479"/>
      <c r="E19" s="479"/>
      <c r="F19" s="479"/>
      <c r="G19" s="479"/>
      <c r="H19" s="479"/>
      <c r="I19" s="479"/>
      <c r="J19" s="480"/>
    </row>
    <row r="20" spans="1:10" ht="20.100000000000001" customHeight="1">
      <c r="A20" s="102"/>
      <c r="B20" s="103" t="s">
        <v>112</v>
      </c>
      <c r="C20" s="71"/>
      <c r="D20" s="71"/>
      <c r="E20" s="71"/>
      <c r="F20" s="71"/>
      <c r="G20" s="71"/>
      <c r="H20" s="71"/>
      <c r="I20" s="71"/>
      <c r="J20" s="104"/>
    </row>
    <row r="21" spans="1:10" ht="20.100000000000001" customHeight="1">
      <c r="A21" s="105"/>
      <c r="B21" s="106" t="s">
        <v>113</v>
      </c>
      <c r="C21" s="71"/>
      <c r="D21" s="71"/>
      <c r="E21" s="71"/>
      <c r="F21" s="71"/>
      <c r="G21" s="71"/>
      <c r="H21" s="71"/>
      <c r="I21" s="71"/>
      <c r="J21" s="104"/>
    </row>
    <row r="22" spans="1:10" ht="20.100000000000001" customHeight="1">
      <c r="A22" s="105"/>
      <c r="B22" s="106" t="s">
        <v>114</v>
      </c>
      <c r="C22" s="71"/>
      <c r="D22" s="71"/>
      <c r="E22" s="71"/>
      <c r="F22" s="71"/>
      <c r="G22" s="71"/>
      <c r="H22" s="71"/>
      <c r="I22" s="71"/>
      <c r="J22" s="104"/>
    </row>
    <row r="23" spans="1:10" ht="20.100000000000001" customHeight="1">
      <c r="A23" s="105"/>
      <c r="B23" s="106" t="s">
        <v>115</v>
      </c>
      <c r="C23" s="71"/>
      <c r="D23" s="71"/>
      <c r="E23" s="71"/>
      <c r="F23" s="71"/>
      <c r="G23" s="71"/>
      <c r="H23" s="71"/>
      <c r="I23" s="71"/>
      <c r="J23" s="104"/>
    </row>
    <row r="24" spans="1:10" ht="20.100000000000001" customHeight="1">
      <c r="A24" s="105"/>
      <c r="B24" s="106" t="s">
        <v>116</v>
      </c>
      <c r="C24" s="71"/>
      <c r="D24" s="71"/>
      <c r="E24" s="71"/>
      <c r="F24" s="71"/>
      <c r="G24" s="71"/>
      <c r="H24" s="71"/>
      <c r="I24" s="71"/>
      <c r="J24" s="104"/>
    </row>
    <row r="25" spans="1:10" ht="20.100000000000001" customHeight="1">
      <c r="A25" s="107"/>
      <c r="B25" s="108"/>
      <c r="C25" s="71"/>
      <c r="D25" s="71"/>
      <c r="E25" s="71"/>
      <c r="F25" s="71"/>
      <c r="G25" s="71"/>
      <c r="H25" s="71"/>
      <c r="I25" s="71"/>
      <c r="J25" s="104"/>
    </row>
    <row r="26" spans="1:10" ht="20.100000000000001" customHeight="1">
      <c r="A26" s="102"/>
      <c r="B26" s="103" t="s">
        <v>132</v>
      </c>
      <c r="C26" s="71"/>
      <c r="D26" s="71"/>
      <c r="E26" s="71"/>
      <c r="F26" s="71"/>
      <c r="G26" s="71"/>
      <c r="H26" s="71"/>
      <c r="I26" s="71"/>
      <c r="J26" s="104"/>
    </row>
    <row r="27" spans="1:10">
      <c r="A27" s="109"/>
      <c r="B27" s="489" t="s">
        <v>118</v>
      </c>
      <c r="C27" s="363"/>
      <c r="D27" s="485" t="s">
        <v>133</v>
      </c>
      <c r="E27" s="362"/>
      <c r="F27" s="362"/>
      <c r="G27" s="362"/>
      <c r="H27" s="362"/>
      <c r="I27" s="363"/>
      <c r="J27" s="110"/>
    </row>
    <row r="28" spans="1:10">
      <c r="A28" s="111"/>
      <c r="B28" s="449" t="s">
        <v>120</v>
      </c>
      <c r="C28" s="360"/>
      <c r="D28" s="482" t="s">
        <v>134</v>
      </c>
      <c r="E28" s="359"/>
      <c r="F28" s="359"/>
      <c r="G28" s="359"/>
      <c r="H28" s="359"/>
      <c r="I28" s="360"/>
      <c r="J28" s="112"/>
    </row>
    <row r="29" spans="1:10">
      <c r="A29" s="111"/>
      <c r="B29" s="450"/>
      <c r="C29" s="378"/>
      <c r="D29" s="483"/>
      <c r="E29" s="445"/>
      <c r="F29" s="445"/>
      <c r="G29" s="445"/>
      <c r="H29" s="445"/>
      <c r="I29" s="378"/>
      <c r="J29" s="112"/>
    </row>
    <row r="30" spans="1:10">
      <c r="A30" s="111"/>
      <c r="B30" s="451"/>
      <c r="C30" s="452"/>
      <c r="D30" s="484"/>
      <c r="E30" s="469"/>
      <c r="F30" s="469"/>
      <c r="G30" s="469"/>
      <c r="H30" s="469"/>
      <c r="I30" s="452"/>
      <c r="J30" s="112"/>
    </row>
    <row r="31" spans="1:10" ht="27.95" customHeight="1">
      <c r="A31" s="111"/>
      <c r="B31" s="464" t="s">
        <v>122</v>
      </c>
      <c r="C31" s="462"/>
      <c r="D31" s="460" t="s">
        <v>135</v>
      </c>
      <c r="E31" s="461"/>
      <c r="F31" s="461"/>
      <c r="G31" s="461"/>
      <c r="H31" s="461"/>
      <c r="I31" s="462"/>
      <c r="J31" s="113"/>
    </row>
    <row r="32" spans="1:10" ht="14.1" customHeight="1">
      <c r="A32" s="111"/>
      <c r="B32" s="464" t="s">
        <v>124</v>
      </c>
      <c r="C32" s="465"/>
      <c r="D32" s="486" t="s">
        <v>136</v>
      </c>
      <c r="E32" s="487"/>
      <c r="F32" s="487"/>
      <c r="G32" s="487"/>
      <c r="H32" s="487"/>
      <c r="I32" s="465"/>
      <c r="J32" s="113"/>
    </row>
    <row r="33" spans="1:10" ht="14.1" customHeight="1">
      <c r="A33" s="111"/>
      <c r="B33" s="451"/>
      <c r="C33" s="452"/>
      <c r="D33" s="468" t="s">
        <v>137</v>
      </c>
      <c r="E33" s="469"/>
      <c r="F33" s="469"/>
      <c r="G33" s="469"/>
      <c r="H33" s="469"/>
      <c r="I33" s="452"/>
      <c r="J33" s="113"/>
    </row>
    <row r="34" spans="1:10" ht="27.95" customHeight="1">
      <c r="A34" s="111"/>
      <c r="B34" s="446" t="s">
        <v>127</v>
      </c>
      <c r="C34" s="447"/>
      <c r="D34" s="458" t="s">
        <v>138</v>
      </c>
      <c r="E34" s="459"/>
      <c r="F34" s="459"/>
      <c r="G34" s="459"/>
      <c r="H34" s="459"/>
      <c r="I34" s="447"/>
      <c r="J34" s="113"/>
    </row>
    <row r="35" spans="1:10" ht="34.5" customHeight="1" thickBot="1">
      <c r="A35" s="114"/>
      <c r="B35" s="115"/>
      <c r="C35" s="115"/>
      <c r="D35" s="115"/>
      <c r="E35" s="115"/>
      <c r="F35" s="115"/>
      <c r="G35" s="115"/>
      <c r="H35" s="115"/>
      <c r="I35" s="115"/>
      <c r="J35" s="116"/>
    </row>
  </sheetData>
  <mergeCells count="39">
    <mergeCell ref="D32:I32"/>
    <mergeCell ref="I15:J15"/>
    <mergeCell ref="I11:J11"/>
    <mergeCell ref="B31:C31"/>
    <mergeCell ref="B27:C27"/>
    <mergeCell ref="E15:G15"/>
    <mergeCell ref="A19:J19"/>
    <mergeCell ref="E10:F10"/>
    <mergeCell ref="D28:I30"/>
    <mergeCell ref="E13:F13"/>
    <mergeCell ref="E12:F12"/>
    <mergeCell ref="D27:I27"/>
    <mergeCell ref="A1:J1"/>
    <mergeCell ref="I12:J12"/>
    <mergeCell ref="E6:F6"/>
    <mergeCell ref="I4:J4"/>
    <mergeCell ref="E7:F7"/>
    <mergeCell ref="E5:J5"/>
    <mergeCell ref="A3:C3"/>
    <mergeCell ref="E4:F4"/>
    <mergeCell ref="I7:J7"/>
    <mergeCell ref="I6:J6"/>
    <mergeCell ref="E8:F8"/>
    <mergeCell ref="B34:C34"/>
    <mergeCell ref="E11:F11"/>
    <mergeCell ref="B28:C30"/>
    <mergeCell ref="I8:J8"/>
    <mergeCell ref="I14:J14"/>
    <mergeCell ref="I17:J17"/>
    <mergeCell ref="D34:I34"/>
    <mergeCell ref="I10:J10"/>
    <mergeCell ref="D31:I31"/>
    <mergeCell ref="I13:J13"/>
    <mergeCell ref="I9:J9"/>
    <mergeCell ref="B32:C33"/>
    <mergeCell ref="E9:F9"/>
    <mergeCell ref="A10:C10"/>
    <mergeCell ref="D33:I33"/>
    <mergeCell ref="E14:F14"/>
  </mergeCells>
  <phoneticPr fontId="2" type="noConversion"/>
  <printOptions horizontalCentered="1"/>
  <pageMargins left="0.39370078740157483" right="0.39370078740157483" top="0.78740157480314965" bottom="0.39370078740157483" header="0.31496062992125978" footer="0.47244094488188981"/>
  <pageSetup paperSize="9" scale="8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  <pageSetUpPr fitToPage="1"/>
  </sheetPr>
  <dimension ref="A1:AO35"/>
  <sheetViews>
    <sheetView showGridLines="0" showZeros="0" zoomScaleNormal="100" zoomScaleSheetLayoutView="115" workbookViewId="0">
      <selection activeCell="E4" sqref="E4"/>
    </sheetView>
  </sheetViews>
  <sheetFormatPr defaultColWidth="0" defaultRowHeight="13.5" zeroHeight="1"/>
  <cols>
    <col min="1" max="1" width="3" style="35" customWidth="1"/>
    <col min="2" max="2" width="4.77734375" style="35" customWidth="1"/>
    <col min="3" max="3" width="12.77734375" style="35" customWidth="1"/>
    <col min="4" max="4" width="9.77734375" style="35" customWidth="1"/>
    <col min="5" max="6" width="8.77734375" style="35" customWidth="1"/>
    <col min="7" max="7" width="12.77734375" style="35" customWidth="1"/>
    <col min="8" max="8" width="15.77734375" style="35" customWidth="1"/>
    <col min="9" max="9" width="13.77734375" style="35" customWidth="1"/>
    <col min="10" max="10" width="2.77734375" style="35" customWidth="1"/>
    <col min="11" max="41" width="0" style="35" hidden="1" customWidth="1"/>
    <col min="42" max="42" width="8.88671875" style="35" hidden="1" customWidth="1"/>
    <col min="43" max="16384" width="8.88671875" style="35" hidden="1"/>
  </cols>
  <sheetData>
    <row r="1" spans="1:10" ht="35.25" customHeight="1">
      <c r="A1" s="470" t="s">
        <v>139</v>
      </c>
      <c r="B1" s="445"/>
      <c r="C1" s="445"/>
      <c r="D1" s="445"/>
      <c r="E1" s="445"/>
      <c r="F1" s="445"/>
      <c r="G1" s="445"/>
      <c r="H1" s="445"/>
      <c r="I1" s="445"/>
      <c r="J1" s="445"/>
    </row>
    <row r="2" spans="1:10" ht="27.95" customHeight="1" thickBot="1">
      <c r="A2" s="37"/>
      <c r="B2" s="37"/>
      <c r="C2" s="37"/>
      <c r="D2" s="37"/>
      <c r="E2" s="37"/>
      <c r="F2" s="37"/>
      <c r="G2" s="37"/>
      <c r="H2" s="37"/>
      <c r="I2" s="37"/>
    </row>
    <row r="3" spans="1:10" ht="27.95" customHeight="1" thickBot="1">
      <c r="A3" s="512" t="s">
        <v>140</v>
      </c>
      <c r="B3" s="475"/>
      <c r="C3" s="476"/>
      <c r="D3" s="38"/>
      <c r="E3" s="38"/>
      <c r="F3" s="38"/>
      <c r="G3" s="38"/>
      <c r="H3" s="38"/>
      <c r="I3" s="38"/>
    </row>
    <row r="4" spans="1:10" ht="27.95" customHeight="1">
      <c r="A4" s="332" t="s">
        <v>78</v>
      </c>
      <c r="B4" s="138"/>
      <c r="C4" s="119" t="s">
        <v>79</v>
      </c>
      <c r="D4" s="120" t="s">
        <v>80</v>
      </c>
      <c r="E4" s="120" t="s">
        <v>141</v>
      </c>
      <c r="F4" s="120" t="s">
        <v>142</v>
      </c>
      <c r="G4" s="121" t="s">
        <v>82</v>
      </c>
      <c r="H4" s="121" t="s">
        <v>83</v>
      </c>
      <c r="I4" s="506" t="s">
        <v>57</v>
      </c>
      <c r="J4" s="472"/>
    </row>
    <row r="5" spans="1:10" ht="27.95" customHeight="1">
      <c r="A5" s="333" t="s">
        <v>84</v>
      </c>
      <c r="B5" s="122"/>
      <c r="C5" s="123" t="s">
        <v>85</v>
      </c>
      <c r="D5" s="124"/>
      <c r="E5" s="496"/>
      <c r="F5" s="362"/>
      <c r="G5" s="362"/>
      <c r="H5" s="362"/>
      <c r="I5" s="362"/>
      <c r="J5" s="454"/>
    </row>
    <row r="6" spans="1:10" ht="27.95" customHeight="1">
      <c r="A6" s="334"/>
      <c r="B6" s="125" t="s">
        <v>86</v>
      </c>
      <c r="C6" s="126" t="s">
        <v>87</v>
      </c>
      <c r="D6" s="127" t="s">
        <v>88</v>
      </c>
      <c r="E6" s="118"/>
      <c r="F6" s="118" t="str">
        <f>IF(E6=1,12,"")</f>
        <v/>
      </c>
      <c r="G6" s="46"/>
      <c r="H6" s="47" t="str">
        <f>IFERROR(E6*F6*G6,"")</f>
        <v/>
      </c>
      <c r="I6" s="453"/>
      <c r="J6" s="454"/>
    </row>
    <row r="7" spans="1:10" ht="27.95" customHeight="1">
      <c r="A7" s="335"/>
      <c r="B7" s="128" t="s">
        <v>89</v>
      </c>
      <c r="C7" s="129" t="s">
        <v>87</v>
      </c>
      <c r="D7" s="127" t="s">
        <v>88</v>
      </c>
      <c r="E7" s="118"/>
      <c r="F7" s="118" t="str">
        <f>IF(E7=1,12,"")</f>
        <v/>
      </c>
      <c r="G7" s="46"/>
      <c r="H7" s="47" t="str">
        <f>IFERROR(E7*F7*G7,"")</f>
        <v/>
      </c>
      <c r="I7" s="453"/>
      <c r="J7" s="454"/>
    </row>
    <row r="8" spans="1:10" ht="27.95" customHeight="1">
      <c r="A8" s="335"/>
      <c r="B8" s="128" t="s">
        <v>90</v>
      </c>
      <c r="C8" s="129" t="s">
        <v>87</v>
      </c>
      <c r="D8" s="127" t="s">
        <v>88</v>
      </c>
      <c r="E8" s="118"/>
      <c r="F8" s="118" t="str">
        <f>IF(E8=1,12,"")</f>
        <v/>
      </c>
      <c r="G8" s="46"/>
      <c r="H8" s="47" t="str">
        <f>IFERROR(E8*F8*G8,"")</f>
        <v/>
      </c>
      <c r="I8" s="453"/>
      <c r="J8" s="454"/>
    </row>
    <row r="9" spans="1:10" ht="27.95" customHeight="1">
      <c r="A9" s="335"/>
      <c r="B9" s="128" t="s">
        <v>91</v>
      </c>
      <c r="C9" s="129" t="s">
        <v>87</v>
      </c>
      <c r="D9" s="127" t="s">
        <v>88</v>
      </c>
      <c r="E9" s="118"/>
      <c r="F9" s="118" t="str">
        <f>IF(E9=1,12,"")</f>
        <v/>
      </c>
      <c r="G9" s="46"/>
      <c r="H9" s="47" t="str">
        <f>IFERROR(E9*F9*G9,"")</f>
        <v/>
      </c>
      <c r="I9" s="453"/>
      <c r="J9" s="454"/>
    </row>
    <row r="10" spans="1:10" ht="27.95" customHeight="1">
      <c r="A10" s="511" t="s">
        <v>92</v>
      </c>
      <c r="B10" s="362"/>
      <c r="C10" s="363"/>
      <c r="D10" s="127"/>
      <c r="E10" s="500"/>
      <c r="F10" s="362"/>
      <c r="G10" s="56"/>
      <c r="H10" s="54"/>
      <c r="I10" s="453"/>
      <c r="J10" s="454"/>
    </row>
    <row r="11" spans="1:10" ht="27.95" customHeight="1">
      <c r="A11" s="333" t="s">
        <v>93</v>
      </c>
      <c r="B11" s="122"/>
      <c r="C11" s="123" t="s">
        <v>94</v>
      </c>
      <c r="D11" s="124"/>
      <c r="E11" s="448" t="s">
        <v>95</v>
      </c>
      <c r="F11" s="362"/>
      <c r="G11" s="49">
        <v>0</v>
      </c>
      <c r="H11" s="50"/>
      <c r="I11" s="488"/>
      <c r="J11" s="454"/>
    </row>
    <row r="12" spans="1:10" ht="27.95" customHeight="1">
      <c r="A12" s="333" t="s">
        <v>97</v>
      </c>
      <c r="B12" s="122"/>
      <c r="C12" s="123" t="s">
        <v>98</v>
      </c>
      <c r="D12" s="124"/>
      <c r="E12" s="448" t="s">
        <v>95</v>
      </c>
      <c r="F12" s="362"/>
      <c r="G12" s="49">
        <v>0</v>
      </c>
      <c r="H12" s="50"/>
      <c r="I12" s="463"/>
      <c r="J12" s="454"/>
    </row>
    <row r="13" spans="1:10" ht="27.95" customHeight="1">
      <c r="A13" s="333" t="s">
        <v>100</v>
      </c>
      <c r="B13" s="122"/>
      <c r="C13" s="123" t="s">
        <v>101</v>
      </c>
      <c r="D13" s="124"/>
      <c r="E13" s="448" t="s">
        <v>102</v>
      </c>
      <c r="F13" s="362"/>
      <c r="G13" s="49">
        <v>0</v>
      </c>
      <c r="H13" s="50"/>
      <c r="I13" s="463"/>
      <c r="J13" s="454"/>
    </row>
    <row r="14" spans="1:10" ht="27.95" customHeight="1">
      <c r="A14" s="336" t="s">
        <v>104</v>
      </c>
      <c r="B14" s="130"/>
      <c r="C14" s="131" t="s">
        <v>131</v>
      </c>
      <c r="D14" s="124"/>
      <c r="E14" s="448" t="s">
        <v>106</v>
      </c>
      <c r="F14" s="362"/>
      <c r="G14" s="49"/>
      <c r="H14" s="50"/>
      <c r="I14" s="455"/>
      <c r="J14" s="454"/>
    </row>
    <row r="15" spans="1:10" ht="27.95" customHeight="1">
      <c r="A15" s="336" t="s">
        <v>107</v>
      </c>
      <c r="B15" s="130"/>
      <c r="C15" s="132" t="s">
        <v>108</v>
      </c>
      <c r="D15" s="124"/>
      <c r="E15" s="490"/>
      <c r="F15" s="362"/>
      <c r="G15" s="363"/>
      <c r="H15" s="51"/>
      <c r="I15" s="455"/>
      <c r="J15" s="454"/>
    </row>
    <row r="16" spans="1:10" ht="7.5" customHeight="1">
      <c r="A16" s="337"/>
      <c r="B16" s="57"/>
      <c r="C16" s="58"/>
      <c r="D16" s="59"/>
      <c r="E16" s="52"/>
      <c r="F16" s="52"/>
      <c r="G16" s="52"/>
      <c r="H16" s="52"/>
      <c r="I16" s="52"/>
      <c r="J16" s="317"/>
    </row>
    <row r="17" spans="1:10" s="36" customFormat="1" ht="27.95" customHeight="1" thickBot="1">
      <c r="A17" s="338" t="s">
        <v>109</v>
      </c>
      <c r="B17" s="133"/>
      <c r="C17" s="134" t="s">
        <v>110</v>
      </c>
      <c r="D17" s="135"/>
      <c r="E17" s="135"/>
      <c r="F17" s="135"/>
      <c r="G17" s="136"/>
      <c r="H17" s="137"/>
      <c r="I17" s="505"/>
      <c r="J17" s="492"/>
    </row>
    <row r="18" spans="1:10" ht="15" customHeight="1" thickBot="1">
      <c r="A18" s="37"/>
      <c r="B18" s="37"/>
      <c r="C18" s="37"/>
      <c r="D18" s="37"/>
      <c r="E18" s="37"/>
      <c r="F18" s="37"/>
      <c r="G18" s="37"/>
      <c r="H18" s="37"/>
      <c r="I18" s="37"/>
    </row>
    <row r="19" spans="1:10" ht="24" customHeight="1">
      <c r="A19" s="513" t="s">
        <v>111</v>
      </c>
      <c r="B19" s="479"/>
      <c r="C19" s="479"/>
      <c r="D19" s="479"/>
      <c r="E19" s="479"/>
      <c r="F19" s="479"/>
      <c r="G19" s="479"/>
      <c r="H19" s="479"/>
      <c r="I19" s="479"/>
      <c r="J19" s="480"/>
    </row>
    <row r="20" spans="1:10" ht="20.100000000000001" customHeight="1">
      <c r="A20" s="102"/>
      <c r="B20" s="103" t="s">
        <v>112</v>
      </c>
      <c r="C20" s="71"/>
      <c r="D20" s="71"/>
      <c r="E20" s="71"/>
      <c r="F20" s="71"/>
      <c r="G20" s="71"/>
      <c r="H20" s="71"/>
      <c r="I20" s="71"/>
      <c r="J20" s="104"/>
    </row>
    <row r="21" spans="1:10" ht="20.100000000000001" customHeight="1">
      <c r="A21" s="105"/>
      <c r="B21" s="106" t="s">
        <v>113</v>
      </c>
      <c r="C21" s="71"/>
      <c r="D21" s="71"/>
      <c r="E21" s="71"/>
      <c r="F21" s="71"/>
      <c r="G21" s="71"/>
      <c r="H21" s="71"/>
      <c r="I21" s="71"/>
      <c r="J21" s="104"/>
    </row>
    <row r="22" spans="1:10" ht="20.100000000000001" customHeight="1">
      <c r="A22" s="105"/>
      <c r="B22" s="106" t="s">
        <v>114</v>
      </c>
      <c r="C22" s="71"/>
      <c r="D22" s="71"/>
      <c r="E22" s="71"/>
      <c r="F22" s="71"/>
      <c r="G22" s="71"/>
      <c r="H22" s="71"/>
      <c r="I22" s="71"/>
      <c r="J22" s="104"/>
    </row>
    <row r="23" spans="1:10" ht="20.100000000000001" customHeight="1">
      <c r="A23" s="105"/>
      <c r="B23" s="106" t="s">
        <v>115</v>
      </c>
      <c r="C23" s="71"/>
      <c r="D23" s="71"/>
      <c r="E23" s="71"/>
      <c r="F23" s="71"/>
      <c r="G23" s="71"/>
      <c r="H23" s="71"/>
      <c r="I23" s="71"/>
      <c r="J23" s="104"/>
    </row>
    <row r="24" spans="1:10" ht="20.100000000000001" customHeight="1">
      <c r="A24" s="105"/>
      <c r="B24" s="106" t="s">
        <v>116</v>
      </c>
      <c r="C24" s="71"/>
      <c r="D24" s="71"/>
      <c r="E24" s="71"/>
      <c r="F24" s="71"/>
      <c r="G24" s="71"/>
      <c r="H24" s="71"/>
      <c r="I24" s="71"/>
      <c r="J24" s="104"/>
    </row>
    <row r="25" spans="1:10" ht="20.100000000000001" customHeight="1">
      <c r="A25" s="107"/>
      <c r="B25" s="108"/>
      <c r="C25" s="71"/>
      <c r="D25" s="71"/>
      <c r="E25" s="71"/>
      <c r="F25" s="71"/>
      <c r="G25" s="71"/>
      <c r="H25" s="71"/>
      <c r="I25" s="71"/>
      <c r="J25" s="104"/>
    </row>
    <row r="26" spans="1:10" ht="20.100000000000001" customHeight="1">
      <c r="A26" s="102"/>
      <c r="B26" s="103" t="s">
        <v>143</v>
      </c>
      <c r="C26" s="71"/>
      <c r="D26" s="71"/>
      <c r="E26" s="71"/>
      <c r="F26" s="71"/>
      <c r="G26" s="71"/>
      <c r="H26" s="71"/>
      <c r="I26" s="71"/>
      <c r="J26" s="104"/>
    </row>
    <row r="27" spans="1:10">
      <c r="A27" s="109"/>
      <c r="B27" s="501" t="s">
        <v>144</v>
      </c>
      <c r="C27" s="362"/>
      <c r="D27" s="362"/>
      <c r="E27" s="363"/>
      <c r="F27" s="504" t="s">
        <v>145</v>
      </c>
      <c r="G27" s="363"/>
      <c r="H27" s="196" t="s">
        <v>146</v>
      </c>
      <c r="I27" s="196" t="s">
        <v>147</v>
      </c>
      <c r="J27" s="110"/>
    </row>
    <row r="28" spans="1:10" ht="20.100000000000001" customHeight="1">
      <c r="A28" s="111"/>
      <c r="B28" s="508" t="s">
        <v>148</v>
      </c>
      <c r="C28" s="469"/>
      <c r="D28" s="469"/>
      <c r="E28" s="452"/>
      <c r="F28" s="503" t="s">
        <v>149</v>
      </c>
      <c r="G28" s="452"/>
      <c r="H28" s="139" t="s">
        <v>150</v>
      </c>
      <c r="I28" s="194">
        <v>46040</v>
      </c>
      <c r="J28" s="112"/>
    </row>
    <row r="29" spans="1:10" ht="20.100000000000001" customHeight="1">
      <c r="A29" s="111"/>
      <c r="B29" s="507" t="s">
        <v>151</v>
      </c>
      <c r="C29" s="461"/>
      <c r="D29" s="461"/>
      <c r="E29" s="462"/>
      <c r="F29" s="502" t="s">
        <v>152</v>
      </c>
      <c r="G29" s="462"/>
      <c r="H29" s="140" t="s">
        <v>150</v>
      </c>
      <c r="I29" s="195">
        <v>46040</v>
      </c>
      <c r="J29" s="112"/>
    </row>
    <row r="30" spans="1:10" ht="20.100000000000001" customHeight="1">
      <c r="A30" s="111"/>
      <c r="B30" s="507" t="s">
        <v>153</v>
      </c>
      <c r="C30" s="461"/>
      <c r="D30" s="461"/>
      <c r="E30" s="462"/>
      <c r="F30" s="502" t="s">
        <v>154</v>
      </c>
      <c r="G30" s="462"/>
      <c r="H30" s="140" t="s">
        <v>150</v>
      </c>
      <c r="I30" s="195">
        <v>46252</v>
      </c>
      <c r="J30" s="112"/>
    </row>
    <row r="31" spans="1:10" ht="20.100000000000001" customHeight="1">
      <c r="A31" s="111"/>
      <c r="B31" s="507" t="s">
        <v>155</v>
      </c>
      <c r="C31" s="461"/>
      <c r="D31" s="461"/>
      <c r="E31" s="462"/>
      <c r="F31" s="502" t="s">
        <v>156</v>
      </c>
      <c r="G31" s="462"/>
      <c r="H31" s="140" t="s">
        <v>150</v>
      </c>
      <c r="I31" s="195">
        <v>46252</v>
      </c>
      <c r="J31" s="113"/>
    </row>
    <row r="32" spans="1:10" ht="20.100000000000001" customHeight="1">
      <c r="A32" s="111"/>
      <c r="B32" s="509" t="s">
        <v>157</v>
      </c>
      <c r="C32" s="459"/>
      <c r="D32" s="459"/>
      <c r="E32" s="447"/>
      <c r="F32" s="510" t="s">
        <v>156</v>
      </c>
      <c r="G32" s="447"/>
      <c r="H32" s="197" t="s">
        <v>150</v>
      </c>
      <c r="I32" s="198">
        <v>46617</v>
      </c>
      <c r="J32" s="113"/>
    </row>
    <row r="33" spans="1:10">
      <c r="A33" s="111"/>
      <c r="B33" s="141" t="s">
        <v>158</v>
      </c>
      <c r="C33" s="101"/>
      <c r="D33" s="101"/>
      <c r="E33" s="101"/>
      <c r="F33" s="101"/>
      <c r="G33" s="101"/>
      <c r="H33" s="101"/>
      <c r="I33" s="101"/>
      <c r="J33" s="113"/>
    </row>
    <row r="34" spans="1:10">
      <c r="A34" s="111"/>
      <c r="B34" s="141" t="s">
        <v>159</v>
      </c>
      <c r="C34" s="101"/>
      <c r="D34" s="101"/>
      <c r="E34" s="101"/>
      <c r="F34" s="101"/>
      <c r="G34" s="101"/>
      <c r="H34" s="101"/>
      <c r="I34" s="101"/>
      <c r="J34" s="113"/>
    </row>
    <row r="35" spans="1:10" ht="34.5" customHeight="1" thickBot="1">
      <c r="A35" s="114"/>
      <c r="B35" s="115"/>
      <c r="C35" s="115"/>
      <c r="D35" s="115"/>
      <c r="E35" s="115"/>
      <c r="F35" s="115"/>
      <c r="G35" s="115"/>
      <c r="H35" s="115"/>
      <c r="I35" s="115"/>
      <c r="J35" s="116"/>
    </row>
  </sheetData>
  <mergeCells count="35">
    <mergeCell ref="A3:C3"/>
    <mergeCell ref="E14:F14"/>
    <mergeCell ref="E15:G15"/>
    <mergeCell ref="A19:J19"/>
    <mergeCell ref="I6:J6"/>
    <mergeCell ref="B32:E32"/>
    <mergeCell ref="F30:G30"/>
    <mergeCell ref="E10:F10"/>
    <mergeCell ref="I7:J7"/>
    <mergeCell ref="E13:F13"/>
    <mergeCell ref="F32:G32"/>
    <mergeCell ref="A10:C10"/>
    <mergeCell ref="B31:E31"/>
    <mergeCell ref="I9:J9"/>
    <mergeCell ref="E12:F12"/>
    <mergeCell ref="F29:G29"/>
    <mergeCell ref="I15:J15"/>
    <mergeCell ref="B30:E30"/>
    <mergeCell ref="I11:J11"/>
    <mergeCell ref="A1:J1"/>
    <mergeCell ref="I12:J12"/>
    <mergeCell ref="B27:E27"/>
    <mergeCell ref="E11:F11"/>
    <mergeCell ref="F31:G31"/>
    <mergeCell ref="F28:G28"/>
    <mergeCell ref="I14:J14"/>
    <mergeCell ref="I8:J8"/>
    <mergeCell ref="F27:G27"/>
    <mergeCell ref="I17:J17"/>
    <mergeCell ref="I4:J4"/>
    <mergeCell ref="I10:J10"/>
    <mergeCell ref="E5:J5"/>
    <mergeCell ref="B29:E29"/>
    <mergeCell ref="I13:J13"/>
    <mergeCell ref="B28:E28"/>
  </mergeCells>
  <phoneticPr fontId="2" type="noConversion"/>
  <printOptions horizontalCentered="1"/>
  <pageMargins left="0.39370078740157483" right="0.39370078740157483" top="0.78740157480314965" bottom="0.39370078740157483" header="0.31496062992125978" footer="0.47244094488188981"/>
  <pageSetup paperSize="9" scale="89"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  <pageSetUpPr fitToPage="1"/>
  </sheetPr>
  <dimension ref="A1:Z41"/>
  <sheetViews>
    <sheetView showGridLines="0" showZeros="0" tabSelected="1" view="pageBreakPreview" zoomScale="85" zoomScaleNormal="85" zoomScaleSheetLayoutView="85" workbookViewId="0">
      <selection activeCell="Z1" sqref="Z1"/>
    </sheetView>
  </sheetViews>
  <sheetFormatPr defaultColWidth="3.77734375" defaultRowHeight="20.100000000000001" customHeight="1"/>
  <cols>
    <col min="1" max="11" width="4" style="35" customWidth="1"/>
    <col min="12" max="14" width="2.77734375" style="35" customWidth="1"/>
    <col min="15" max="25" width="4" style="35" customWidth="1"/>
    <col min="26" max="26" width="3.77734375" style="35" customWidth="1"/>
    <col min="27" max="16384" width="3.77734375" style="35"/>
  </cols>
  <sheetData>
    <row r="1" spans="1:26" ht="35.1" customHeight="1">
      <c r="A1" s="528" t="s">
        <v>160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480"/>
    </row>
    <row r="2" spans="1:26" s="151" customFormat="1" ht="21" customHeight="1">
      <c r="A2" s="174"/>
      <c r="B2" s="143"/>
      <c r="C2" s="143"/>
      <c r="D2" s="143"/>
      <c r="E2" s="143"/>
      <c r="F2" s="143"/>
      <c r="G2" s="143"/>
      <c r="H2" s="143"/>
      <c r="Y2" s="175"/>
    </row>
    <row r="3" spans="1:26" s="151" customFormat="1" ht="21" customHeight="1" thickBot="1">
      <c r="A3" s="174"/>
      <c r="B3" s="143"/>
      <c r="C3" s="143"/>
      <c r="D3" s="143"/>
      <c r="E3" s="143"/>
      <c r="F3" s="143"/>
      <c r="G3" s="143"/>
      <c r="H3" s="143"/>
      <c r="Y3" s="175"/>
    </row>
    <row r="4" spans="1:26" s="151" customFormat="1" ht="21" customHeight="1">
      <c r="A4" s="176"/>
      <c r="B4" s="520" t="s">
        <v>161</v>
      </c>
      <c r="C4" s="398"/>
      <c r="D4" s="398"/>
      <c r="E4" s="398"/>
      <c r="F4" s="398"/>
      <c r="G4" s="398"/>
      <c r="H4" s="398"/>
      <c r="I4" s="398"/>
      <c r="J4" s="398"/>
      <c r="K4" s="521"/>
      <c r="O4" s="520" t="s">
        <v>162</v>
      </c>
      <c r="P4" s="398"/>
      <c r="Q4" s="398"/>
      <c r="R4" s="398"/>
      <c r="S4" s="398"/>
      <c r="T4" s="398"/>
      <c r="U4" s="398"/>
      <c r="V4" s="398"/>
      <c r="W4" s="398"/>
      <c r="X4" s="521"/>
      <c r="Y4" s="175"/>
    </row>
    <row r="5" spans="1:26" s="151" customFormat="1" ht="21" customHeight="1" thickBot="1">
      <c r="A5" s="174"/>
      <c r="B5" s="517"/>
      <c r="C5" s="388"/>
      <c r="D5" s="388"/>
      <c r="E5" s="388"/>
      <c r="F5" s="388"/>
      <c r="G5" s="388"/>
      <c r="H5" s="388"/>
      <c r="I5" s="388"/>
      <c r="J5" s="388"/>
      <c r="K5" s="518"/>
      <c r="O5" s="517"/>
      <c r="P5" s="388"/>
      <c r="Q5" s="388"/>
      <c r="R5" s="388"/>
      <c r="S5" s="388"/>
      <c r="T5" s="388"/>
      <c r="U5" s="388"/>
      <c r="V5" s="388"/>
      <c r="W5" s="388"/>
      <c r="X5" s="518"/>
      <c r="Y5" s="175"/>
    </row>
    <row r="6" spans="1:26" s="151" customFormat="1" ht="21" customHeight="1" thickBot="1">
      <c r="A6" s="177"/>
      <c r="B6" s="38"/>
      <c r="C6" s="146"/>
      <c r="D6" s="38"/>
      <c r="E6" s="38"/>
      <c r="F6" s="38"/>
      <c r="G6" s="38"/>
      <c r="H6" s="38"/>
      <c r="I6" s="38"/>
      <c r="Y6" s="175"/>
    </row>
    <row r="7" spans="1:26" s="151" customFormat="1" ht="21" customHeight="1">
      <c r="A7" s="176"/>
      <c r="B7" s="38"/>
      <c r="C7" s="143"/>
      <c r="D7" s="147"/>
      <c r="E7" s="147"/>
      <c r="F7" s="148"/>
      <c r="G7" s="525" t="s">
        <v>163</v>
      </c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521"/>
      <c r="T7" s="192"/>
      <c r="U7" s="152"/>
      <c r="V7" s="152"/>
      <c r="W7" s="152"/>
      <c r="X7" s="152"/>
      <c r="Y7" s="178"/>
      <c r="Z7" s="152"/>
    </row>
    <row r="8" spans="1:26" s="151" customFormat="1" ht="21" customHeight="1">
      <c r="A8" s="109"/>
      <c r="B8" s="100"/>
      <c r="C8" s="143"/>
      <c r="D8" s="147"/>
      <c r="E8" s="147"/>
      <c r="F8" s="148"/>
      <c r="G8" s="52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413"/>
      <c r="T8" s="192"/>
      <c r="U8" s="152"/>
      <c r="V8" s="152"/>
      <c r="W8" s="152"/>
      <c r="X8" s="152"/>
      <c r="Y8" s="178"/>
      <c r="Z8" s="152"/>
    </row>
    <row r="9" spans="1:26" s="151" customFormat="1" ht="21" customHeight="1" thickBot="1">
      <c r="A9" s="109"/>
      <c r="B9" s="100"/>
      <c r="C9" s="143"/>
      <c r="D9" s="147"/>
      <c r="E9" s="147"/>
      <c r="F9" s="148"/>
      <c r="G9" s="517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388"/>
      <c r="S9" s="518"/>
      <c r="T9" s="192"/>
      <c r="U9" s="152"/>
      <c r="V9" s="152"/>
      <c r="W9" s="152"/>
      <c r="X9" s="152"/>
      <c r="Y9" s="178"/>
      <c r="Z9" s="152"/>
    </row>
    <row r="10" spans="1:26" s="151" customFormat="1" ht="21" customHeight="1">
      <c r="A10" s="109"/>
      <c r="B10" s="100"/>
      <c r="C10" s="143"/>
      <c r="D10" s="147"/>
      <c r="E10" s="147"/>
      <c r="F10" s="157"/>
      <c r="G10" s="148"/>
      <c r="H10" s="148"/>
      <c r="I10" s="148"/>
      <c r="R10" s="152"/>
      <c r="S10" s="193"/>
      <c r="T10" s="152"/>
      <c r="U10" s="152"/>
      <c r="V10" s="152"/>
      <c r="W10" s="152"/>
      <c r="X10" s="152"/>
      <c r="Y10" s="178"/>
      <c r="Z10" s="152"/>
    </row>
    <row r="11" spans="1:26" s="151" customFormat="1" ht="21" customHeight="1" thickBot="1">
      <c r="A11" s="109"/>
      <c r="B11" s="100"/>
      <c r="C11" s="143"/>
      <c r="D11" s="149"/>
      <c r="E11" s="149"/>
      <c r="F11" s="158"/>
      <c r="G11" s="150"/>
      <c r="H11" s="148"/>
      <c r="I11" s="148"/>
      <c r="R11" s="152"/>
      <c r="S11" s="159"/>
      <c r="T11" s="152"/>
      <c r="U11" s="152"/>
      <c r="V11" s="152"/>
      <c r="W11" s="152"/>
      <c r="X11" s="152"/>
      <c r="Y11" s="178"/>
      <c r="Z11" s="152"/>
    </row>
    <row r="12" spans="1:26" s="151" customFormat="1" ht="21" customHeight="1">
      <c r="A12" s="177"/>
      <c r="B12" s="530" t="s">
        <v>164</v>
      </c>
      <c r="C12" s="398"/>
      <c r="D12" s="398"/>
      <c r="E12" s="398"/>
      <c r="F12" s="398"/>
      <c r="G12" s="398"/>
      <c r="H12" s="398"/>
      <c r="I12" s="398"/>
      <c r="J12" s="398"/>
      <c r="K12" s="521"/>
      <c r="O12" s="530" t="s">
        <v>165</v>
      </c>
      <c r="P12" s="398"/>
      <c r="Q12" s="398"/>
      <c r="R12" s="398"/>
      <c r="S12" s="398"/>
      <c r="T12" s="398"/>
      <c r="U12" s="398"/>
      <c r="V12" s="398"/>
      <c r="W12" s="398"/>
      <c r="X12" s="521"/>
      <c r="Y12" s="178"/>
      <c r="Z12" s="152"/>
    </row>
    <row r="13" spans="1:26" s="151" customFormat="1" ht="21" customHeight="1" thickBot="1">
      <c r="A13" s="177"/>
      <c r="B13" s="519" t="s">
        <v>166</v>
      </c>
      <c r="C13" s="388"/>
      <c r="D13" s="388"/>
      <c r="E13" s="388"/>
      <c r="F13" s="388"/>
      <c r="G13" s="388"/>
      <c r="H13" s="388"/>
      <c r="I13" s="388"/>
      <c r="J13" s="388"/>
      <c r="K13" s="518"/>
      <c r="O13" s="519" t="s">
        <v>166</v>
      </c>
      <c r="P13" s="388"/>
      <c r="Q13" s="388"/>
      <c r="R13" s="388"/>
      <c r="S13" s="388"/>
      <c r="T13" s="388"/>
      <c r="U13" s="388"/>
      <c r="V13" s="388"/>
      <c r="W13" s="388"/>
      <c r="X13" s="518"/>
      <c r="Y13" s="178"/>
      <c r="Z13" s="152"/>
    </row>
    <row r="14" spans="1:26" s="151" customFormat="1" ht="21" customHeight="1" thickBot="1">
      <c r="A14" s="177"/>
      <c r="B14" s="38"/>
      <c r="C14" s="146"/>
      <c r="D14" s="38"/>
      <c r="E14" s="38"/>
      <c r="F14" s="162"/>
      <c r="G14" s="166"/>
      <c r="H14" s="145"/>
      <c r="I14" s="145"/>
      <c r="Q14" s="38"/>
      <c r="R14" s="38"/>
      <c r="S14" s="162"/>
      <c r="T14" s="166"/>
      <c r="U14" s="145"/>
      <c r="V14" s="145"/>
      <c r="W14" s="152"/>
      <c r="X14" s="152"/>
      <c r="Y14" s="178"/>
      <c r="Z14" s="152"/>
    </row>
    <row r="15" spans="1:26" s="151" customFormat="1" ht="21" customHeight="1" thickBot="1">
      <c r="A15" s="179"/>
      <c r="B15" s="103"/>
      <c r="C15" s="146"/>
      <c r="D15" s="160"/>
      <c r="E15" s="161"/>
      <c r="F15" s="162"/>
      <c r="G15" s="163"/>
      <c r="H15" s="164"/>
      <c r="I15" s="165"/>
      <c r="Q15" s="160"/>
      <c r="R15" s="161"/>
      <c r="S15" s="162"/>
      <c r="T15" s="163"/>
      <c r="U15" s="164"/>
      <c r="V15" s="165"/>
      <c r="W15" s="152"/>
      <c r="X15" s="152"/>
      <c r="Y15" s="178"/>
      <c r="Z15" s="152"/>
    </row>
    <row r="16" spans="1:26" s="151" customFormat="1" ht="21" customHeight="1">
      <c r="A16" s="179"/>
      <c r="B16" s="522" t="s">
        <v>167</v>
      </c>
      <c r="C16" s="523"/>
      <c r="D16" s="523"/>
      <c r="E16" s="524"/>
      <c r="F16" s="100"/>
      <c r="G16" s="144"/>
      <c r="H16" s="522" t="s">
        <v>168</v>
      </c>
      <c r="I16" s="523"/>
      <c r="J16" s="523"/>
      <c r="K16" s="524"/>
      <c r="O16" s="522" t="s">
        <v>169</v>
      </c>
      <c r="P16" s="523"/>
      <c r="Q16" s="523"/>
      <c r="R16" s="524"/>
      <c r="S16" s="152"/>
      <c r="T16" s="152"/>
      <c r="U16" s="522" t="s">
        <v>170</v>
      </c>
      <c r="V16" s="523"/>
      <c r="W16" s="523"/>
      <c r="X16" s="524"/>
      <c r="Y16" s="178"/>
      <c r="Z16" s="152"/>
    </row>
    <row r="17" spans="1:26" s="151" customFormat="1" ht="21" customHeight="1">
      <c r="A17" s="179"/>
      <c r="B17" s="515" t="s">
        <v>171</v>
      </c>
      <c r="C17" s="516"/>
      <c r="D17" s="516"/>
      <c r="E17" s="413"/>
      <c r="F17" s="38"/>
      <c r="G17" s="38"/>
      <c r="H17" s="515" t="s">
        <v>172</v>
      </c>
      <c r="I17" s="516"/>
      <c r="J17" s="516"/>
      <c r="K17" s="413"/>
      <c r="O17" s="529" t="s">
        <v>173</v>
      </c>
      <c r="P17" s="516"/>
      <c r="Q17" s="516"/>
      <c r="R17" s="413"/>
      <c r="S17" s="152"/>
      <c r="T17" s="152"/>
      <c r="U17" s="515" t="s">
        <v>174</v>
      </c>
      <c r="V17" s="516"/>
      <c r="W17" s="516"/>
      <c r="X17" s="413"/>
      <c r="Y17" s="178"/>
      <c r="Z17" s="152"/>
    </row>
    <row r="18" spans="1:26" s="151" customFormat="1" ht="21" customHeight="1" thickBot="1">
      <c r="A18" s="177"/>
      <c r="B18" s="517"/>
      <c r="C18" s="388"/>
      <c r="D18" s="388"/>
      <c r="E18" s="518"/>
      <c r="F18" s="146"/>
      <c r="G18" s="145"/>
      <c r="H18" s="517"/>
      <c r="I18" s="388"/>
      <c r="J18" s="388"/>
      <c r="K18" s="518"/>
      <c r="O18" s="526"/>
      <c r="P18" s="516"/>
      <c r="Q18" s="516"/>
      <c r="R18" s="413"/>
      <c r="S18" s="152"/>
      <c r="T18" s="152"/>
      <c r="U18" s="526"/>
      <c r="V18" s="516"/>
      <c r="W18" s="516"/>
      <c r="X18" s="413"/>
      <c r="Y18" s="178"/>
      <c r="Z18" s="152"/>
    </row>
    <row r="19" spans="1:26" s="151" customFormat="1" ht="24" customHeight="1" thickBot="1">
      <c r="A19" s="174"/>
      <c r="B19" s="143"/>
      <c r="C19" s="143"/>
      <c r="D19" s="167"/>
      <c r="E19" s="143"/>
      <c r="F19" s="143"/>
      <c r="G19" s="143"/>
      <c r="H19" s="143"/>
      <c r="J19" s="168"/>
      <c r="O19" s="515" t="s">
        <v>175</v>
      </c>
      <c r="P19" s="516"/>
      <c r="Q19" s="516"/>
      <c r="R19" s="413"/>
      <c r="S19" s="152"/>
      <c r="T19" s="152"/>
      <c r="U19" s="526"/>
      <c r="V19" s="516"/>
      <c r="W19" s="516"/>
      <c r="X19" s="413"/>
      <c r="Y19" s="178"/>
      <c r="Z19" s="152"/>
    </row>
    <row r="20" spans="1:26" s="151" customFormat="1" ht="21" customHeight="1" thickBot="1">
      <c r="A20" s="109"/>
      <c r="B20" s="531" t="s">
        <v>176</v>
      </c>
      <c r="C20" s="398"/>
      <c r="D20" s="398"/>
      <c r="E20" s="398"/>
      <c r="F20" s="398"/>
      <c r="G20" s="398"/>
      <c r="H20" s="398"/>
      <c r="I20" s="398"/>
      <c r="J20" s="398"/>
      <c r="K20" s="521"/>
      <c r="O20" s="517"/>
      <c r="P20" s="388"/>
      <c r="Q20" s="388"/>
      <c r="R20" s="518"/>
      <c r="U20" s="517"/>
      <c r="V20" s="388"/>
      <c r="W20" s="388"/>
      <c r="X20" s="518"/>
      <c r="Y20" s="175"/>
    </row>
    <row r="21" spans="1:26" s="151" customFormat="1" ht="21" customHeight="1" thickBot="1">
      <c r="A21" s="102"/>
      <c r="B21" s="517"/>
      <c r="C21" s="388"/>
      <c r="D21" s="388"/>
      <c r="E21" s="388"/>
      <c r="F21" s="388"/>
      <c r="G21" s="388"/>
      <c r="H21" s="388"/>
      <c r="I21" s="388"/>
      <c r="J21" s="388"/>
      <c r="K21" s="518"/>
      <c r="Q21" s="170"/>
      <c r="W21" s="170"/>
      <c r="Y21" s="175"/>
    </row>
    <row r="22" spans="1:26" s="151" customFormat="1" ht="21" customHeight="1">
      <c r="A22" s="180"/>
      <c r="B22" s="117"/>
      <c r="C22" s="117"/>
      <c r="D22" s="117"/>
      <c r="E22" s="117"/>
      <c r="F22" s="117"/>
      <c r="G22" s="169"/>
      <c r="H22" s="117"/>
      <c r="I22" s="117"/>
      <c r="Q22" s="171"/>
      <c r="W22" s="171"/>
      <c r="Y22" s="175"/>
    </row>
    <row r="23" spans="1:26" s="151" customFormat="1" ht="21" customHeight="1" thickBot="1">
      <c r="A23" s="180"/>
      <c r="B23" s="117"/>
      <c r="C23" s="117"/>
      <c r="D23" s="117"/>
      <c r="E23" s="117"/>
      <c r="F23" s="117"/>
      <c r="G23" s="155"/>
      <c r="H23" s="117"/>
      <c r="I23" s="117"/>
      <c r="Q23" s="172"/>
      <c r="W23" s="172"/>
      <c r="Y23" s="175"/>
    </row>
    <row r="24" spans="1:26" s="151" customFormat="1" ht="21" customHeight="1">
      <c r="A24" s="180"/>
      <c r="B24" s="527" t="s">
        <v>177</v>
      </c>
      <c r="C24" s="398"/>
      <c r="D24" s="398"/>
      <c r="E24" s="398"/>
      <c r="F24" s="398"/>
      <c r="G24" s="398"/>
      <c r="H24" s="398"/>
      <c r="I24" s="398"/>
      <c r="J24" s="398"/>
      <c r="K24" s="521"/>
      <c r="O24" s="527" t="s">
        <v>178</v>
      </c>
      <c r="P24" s="398"/>
      <c r="Q24" s="398"/>
      <c r="R24" s="398"/>
      <c r="S24" s="398"/>
      <c r="T24" s="398"/>
      <c r="U24" s="398"/>
      <c r="V24" s="398"/>
      <c r="W24" s="398"/>
      <c r="X24" s="521"/>
      <c r="Y24" s="175"/>
    </row>
    <row r="25" spans="1:26" s="151" customFormat="1" ht="21" customHeight="1">
      <c r="A25" s="181"/>
      <c r="B25" s="526"/>
      <c r="C25" s="516"/>
      <c r="D25" s="516"/>
      <c r="E25" s="516"/>
      <c r="F25" s="516"/>
      <c r="G25" s="516"/>
      <c r="H25" s="516"/>
      <c r="I25" s="516"/>
      <c r="J25" s="516"/>
      <c r="K25" s="413"/>
      <c r="O25" s="526"/>
      <c r="P25" s="516"/>
      <c r="Q25" s="516"/>
      <c r="R25" s="516"/>
      <c r="S25" s="516"/>
      <c r="T25" s="516"/>
      <c r="U25" s="516"/>
      <c r="V25" s="516"/>
      <c r="W25" s="516"/>
      <c r="X25" s="413"/>
      <c r="Y25" s="175"/>
    </row>
    <row r="26" spans="1:26" s="151" customFormat="1" ht="21" customHeight="1" thickBot="1">
      <c r="A26" s="102"/>
      <c r="B26" s="519" t="s">
        <v>179</v>
      </c>
      <c r="C26" s="388"/>
      <c r="D26" s="388"/>
      <c r="E26" s="388"/>
      <c r="F26" s="388"/>
      <c r="G26" s="388"/>
      <c r="H26" s="388"/>
      <c r="I26" s="388"/>
      <c r="J26" s="388"/>
      <c r="K26" s="518"/>
      <c r="O26" s="519" t="s">
        <v>179</v>
      </c>
      <c r="P26" s="388"/>
      <c r="Q26" s="388"/>
      <c r="R26" s="388"/>
      <c r="S26" s="388"/>
      <c r="T26" s="388"/>
      <c r="U26" s="388"/>
      <c r="V26" s="388"/>
      <c r="W26" s="388"/>
      <c r="X26" s="518"/>
      <c r="Y26" s="175"/>
    </row>
    <row r="27" spans="1:26" s="151" customFormat="1" ht="12" customHeight="1">
      <c r="A27" s="109"/>
      <c r="B27" s="100"/>
      <c r="C27" s="100"/>
      <c r="D27" s="100"/>
      <c r="E27" s="100"/>
      <c r="F27" s="100"/>
      <c r="G27" s="169"/>
      <c r="H27" s="117"/>
      <c r="I27" s="100"/>
      <c r="T27" s="170"/>
      <c r="Y27" s="175"/>
    </row>
    <row r="28" spans="1:26" s="151" customFormat="1" ht="12.75" customHeight="1" thickBot="1">
      <c r="A28" s="109"/>
      <c r="B28" s="100"/>
      <c r="C28" s="100"/>
      <c r="D28" s="100"/>
      <c r="E28" s="153"/>
      <c r="F28" s="153"/>
      <c r="G28" s="156"/>
      <c r="H28" s="154"/>
      <c r="I28" s="153"/>
      <c r="T28" s="172"/>
      <c r="Y28" s="175"/>
    </row>
    <row r="29" spans="1:26" s="151" customFormat="1" ht="12" customHeight="1">
      <c r="A29" s="109"/>
      <c r="B29" s="527" t="s">
        <v>180</v>
      </c>
      <c r="C29" s="398"/>
      <c r="D29" s="398"/>
      <c r="E29" s="398"/>
      <c r="F29" s="398"/>
      <c r="G29" s="398"/>
      <c r="H29" s="398"/>
      <c r="I29" s="398"/>
      <c r="J29" s="398"/>
      <c r="K29" s="521"/>
      <c r="O29" s="527" t="s">
        <v>181</v>
      </c>
      <c r="P29" s="398"/>
      <c r="Q29" s="398"/>
      <c r="R29" s="398"/>
      <c r="S29" s="398"/>
      <c r="T29" s="398"/>
      <c r="U29" s="398"/>
      <c r="V29" s="398"/>
      <c r="W29" s="398"/>
      <c r="X29" s="521"/>
      <c r="Y29" s="175"/>
    </row>
    <row r="30" spans="1:26" s="151" customFormat="1" ht="23.25" customHeight="1" thickBot="1">
      <c r="A30" s="109"/>
      <c r="B30" s="526"/>
      <c r="C30" s="516"/>
      <c r="D30" s="516"/>
      <c r="E30" s="516"/>
      <c r="F30" s="516"/>
      <c r="G30" s="516"/>
      <c r="H30" s="516"/>
      <c r="I30" s="516"/>
      <c r="J30" s="516"/>
      <c r="K30" s="413"/>
      <c r="O30" s="519" t="s">
        <v>182</v>
      </c>
      <c r="P30" s="388"/>
      <c r="Q30" s="388"/>
      <c r="R30" s="388"/>
      <c r="S30" s="388"/>
      <c r="T30" s="388"/>
      <c r="U30" s="388"/>
      <c r="V30" s="388"/>
      <c r="W30" s="388"/>
      <c r="X30" s="518"/>
      <c r="Y30" s="175"/>
    </row>
    <row r="31" spans="1:26" s="151" customFormat="1" ht="12.75" customHeight="1" thickBot="1">
      <c r="A31" s="109"/>
      <c r="B31" s="519" t="s">
        <v>183</v>
      </c>
      <c r="C31" s="388"/>
      <c r="D31" s="388"/>
      <c r="E31" s="388"/>
      <c r="F31" s="388"/>
      <c r="G31" s="388"/>
      <c r="H31" s="388"/>
      <c r="I31" s="388"/>
      <c r="J31" s="388"/>
      <c r="K31" s="518"/>
      <c r="O31" s="38"/>
      <c r="P31" s="38"/>
      <c r="Q31" s="38"/>
      <c r="R31" s="38"/>
      <c r="S31" s="38"/>
      <c r="T31" s="160"/>
      <c r="U31" s="38"/>
      <c r="V31" s="38"/>
      <c r="W31" s="38"/>
      <c r="X31" s="38"/>
      <c r="Y31" s="175"/>
    </row>
    <row r="32" spans="1:26" s="151" customFormat="1" ht="12.75" customHeight="1" thickBot="1">
      <c r="A32" s="109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T32" s="172"/>
      <c r="Y32" s="175"/>
    </row>
    <row r="33" spans="1:25" s="151" customFormat="1" ht="12" customHeight="1">
      <c r="A33" s="109"/>
      <c r="B33" s="100"/>
      <c r="C33" s="100"/>
      <c r="D33" s="100"/>
      <c r="E33" s="100"/>
      <c r="F33" s="100"/>
      <c r="G33" s="100"/>
      <c r="H33" s="100"/>
      <c r="I33" s="100"/>
      <c r="O33" s="527" t="s">
        <v>184</v>
      </c>
      <c r="P33" s="398"/>
      <c r="Q33" s="398"/>
      <c r="R33" s="398"/>
      <c r="S33" s="398"/>
      <c r="T33" s="398"/>
      <c r="U33" s="398"/>
      <c r="V33" s="398"/>
      <c r="W33" s="398"/>
      <c r="X33" s="521"/>
      <c r="Y33" s="175"/>
    </row>
    <row r="34" spans="1:25" s="151" customFormat="1" ht="21" customHeight="1" thickBot="1">
      <c r="A34" s="109"/>
      <c r="B34" s="100"/>
      <c r="C34" s="100"/>
      <c r="D34" s="100"/>
      <c r="E34" s="100"/>
      <c r="F34" s="100"/>
      <c r="G34" s="100"/>
      <c r="H34" s="100"/>
      <c r="I34" s="100"/>
      <c r="O34" s="519" t="s">
        <v>185</v>
      </c>
      <c r="P34" s="388"/>
      <c r="Q34" s="388"/>
      <c r="R34" s="388"/>
      <c r="S34" s="388"/>
      <c r="T34" s="388"/>
      <c r="U34" s="388"/>
      <c r="V34" s="388"/>
      <c r="W34" s="388"/>
      <c r="X34" s="518"/>
      <c r="Y34" s="175"/>
    </row>
    <row r="35" spans="1:25" s="151" customFormat="1" ht="34.5" customHeight="1">
      <c r="A35" s="182"/>
      <c r="T35" s="170"/>
      <c r="Y35" s="175"/>
    </row>
    <row r="36" spans="1:25" s="36" customFormat="1" ht="21" customHeight="1" thickBot="1">
      <c r="A36" s="183"/>
      <c r="T36" s="173"/>
      <c r="Y36" s="184"/>
    </row>
    <row r="37" spans="1:25" s="36" customFormat="1" ht="21" customHeight="1">
      <c r="A37" s="183"/>
      <c r="O37" s="527" t="s">
        <v>186</v>
      </c>
      <c r="P37" s="398"/>
      <c r="Q37" s="398"/>
      <c r="R37" s="398"/>
      <c r="S37" s="398"/>
      <c r="T37" s="398"/>
      <c r="U37" s="398"/>
      <c r="V37" s="398"/>
      <c r="W37" s="398"/>
      <c r="X37" s="521"/>
      <c r="Y37" s="184"/>
    </row>
    <row r="38" spans="1:25" s="36" customFormat="1" ht="21" customHeight="1" thickBot="1">
      <c r="A38" s="183"/>
      <c r="O38" s="519" t="s">
        <v>187</v>
      </c>
      <c r="P38" s="388"/>
      <c r="Q38" s="388"/>
      <c r="R38" s="388"/>
      <c r="S38" s="388"/>
      <c r="T38" s="388"/>
      <c r="U38" s="388"/>
      <c r="V38" s="388"/>
      <c r="W38" s="388"/>
      <c r="X38" s="518"/>
      <c r="Y38" s="184"/>
    </row>
    <row r="39" spans="1:25" s="36" customFormat="1" ht="15" customHeight="1">
      <c r="A39" s="183"/>
      <c r="O39" s="187" t="s">
        <v>188</v>
      </c>
      <c r="P39" s="186"/>
      <c r="Q39" s="186"/>
      <c r="R39" s="186"/>
      <c r="S39" s="186"/>
      <c r="T39" s="186"/>
      <c r="U39" s="186"/>
      <c r="V39" s="186"/>
      <c r="W39" s="186"/>
      <c r="X39" s="186"/>
      <c r="Y39" s="184"/>
    </row>
    <row r="40" spans="1:25" ht="26.25" customHeight="1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85"/>
      <c r="P40" s="115"/>
      <c r="Q40" s="115"/>
      <c r="R40" s="115"/>
      <c r="S40" s="115"/>
      <c r="T40" s="115"/>
      <c r="U40" s="115"/>
      <c r="V40" s="115"/>
      <c r="W40" s="115"/>
      <c r="X40" s="115"/>
      <c r="Y40" s="116"/>
    </row>
    <row r="41" spans="1:25" ht="30" customHeight="1">
      <c r="A41" s="514"/>
      <c r="B41" s="479"/>
      <c r="C41" s="479"/>
      <c r="D41" s="479"/>
      <c r="E41" s="479"/>
      <c r="F41" s="479"/>
      <c r="G41" s="479"/>
      <c r="H41" s="479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Y41" s="479"/>
    </row>
  </sheetData>
  <mergeCells count="31">
    <mergeCell ref="A1:Y1"/>
    <mergeCell ref="O17:R18"/>
    <mergeCell ref="B12:K12"/>
    <mergeCell ref="O29:X29"/>
    <mergeCell ref="B20:K21"/>
    <mergeCell ref="U16:X16"/>
    <mergeCell ref="O12:X12"/>
    <mergeCell ref="B17:E18"/>
    <mergeCell ref="O24:X25"/>
    <mergeCell ref="O4:X5"/>
    <mergeCell ref="B29:K30"/>
    <mergeCell ref="O13:X13"/>
    <mergeCell ref="B26:K26"/>
    <mergeCell ref="H17:K18"/>
    <mergeCell ref="U17:X20"/>
    <mergeCell ref="B16:E16"/>
    <mergeCell ref="A41:Y41"/>
    <mergeCell ref="O19:R20"/>
    <mergeCell ref="O26:X26"/>
    <mergeCell ref="B4:K5"/>
    <mergeCell ref="B13:K13"/>
    <mergeCell ref="O16:R16"/>
    <mergeCell ref="G7:S9"/>
    <mergeCell ref="H16:K16"/>
    <mergeCell ref="O30:X30"/>
    <mergeCell ref="O38:X38"/>
    <mergeCell ref="O37:X37"/>
    <mergeCell ref="O34:X34"/>
    <mergeCell ref="O33:X33"/>
    <mergeCell ref="B31:K31"/>
    <mergeCell ref="B24:K25"/>
  </mergeCells>
  <phoneticPr fontId="2" type="noConversion"/>
  <printOptions horizontalCentered="1"/>
  <pageMargins left="0.39370078740157483" right="0.39370078740157483" top="0.78740157480314965" bottom="0.39370078740157483" header="0.31496062992125978" footer="0.47244094488188981"/>
  <pageSetup paperSize="9" scale="8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B1:G20"/>
  <sheetViews>
    <sheetView workbookViewId="0">
      <selection activeCell="K19" sqref="K19"/>
    </sheetView>
  </sheetViews>
  <sheetFormatPr defaultColWidth="8.88671875" defaultRowHeight="24.95" customHeight="1"/>
  <cols>
    <col min="1" max="1" width="8.88671875" style="200" customWidth="1"/>
    <col min="2" max="7" width="11.88671875" style="200" customWidth="1"/>
    <col min="8" max="8" width="8.88671875" style="200" customWidth="1"/>
    <col min="9" max="16384" width="8.88671875" style="200"/>
  </cols>
  <sheetData>
    <row r="1" spans="2:7" ht="24.95" customHeight="1">
      <c r="B1" s="201" t="s">
        <v>189</v>
      </c>
      <c r="C1" s="201"/>
    </row>
    <row r="2" spans="2:7" ht="24.95" customHeight="1">
      <c r="B2" s="532" t="s">
        <v>118</v>
      </c>
      <c r="C2" s="533"/>
      <c r="D2" s="202" t="s">
        <v>190</v>
      </c>
      <c r="E2" s="202" t="s">
        <v>191</v>
      </c>
      <c r="F2" s="202" t="s">
        <v>192</v>
      </c>
      <c r="G2" s="202" t="s">
        <v>193</v>
      </c>
    </row>
    <row r="3" spans="2:7" ht="24.95" customHeight="1">
      <c r="B3" s="532" t="s">
        <v>194</v>
      </c>
      <c r="C3" s="202" t="s">
        <v>195</v>
      </c>
      <c r="D3" s="203">
        <v>1300000</v>
      </c>
      <c r="E3" s="203">
        <v>1200000</v>
      </c>
      <c r="F3" s="203">
        <v>900000</v>
      </c>
      <c r="G3" s="535" t="s">
        <v>196</v>
      </c>
    </row>
    <row r="4" spans="2:7" ht="24.95" customHeight="1">
      <c r="B4" s="534"/>
      <c r="C4" s="202" t="s">
        <v>197</v>
      </c>
      <c r="D4" s="205">
        <f>D3*12</f>
        <v>15600000</v>
      </c>
      <c r="E4" s="205">
        <f>E3*12</f>
        <v>14400000</v>
      </c>
      <c r="F4" s="205">
        <f>F3*12</f>
        <v>10800000</v>
      </c>
      <c r="G4" s="534"/>
    </row>
    <row r="5" spans="2:7" ht="24.95" customHeight="1">
      <c r="B5" s="204"/>
      <c r="C5" s="204"/>
    </row>
    <row r="6" spans="2:7" ht="24.95" customHeight="1">
      <c r="B6" s="204"/>
      <c r="C6" s="204"/>
    </row>
    <row r="7" spans="2:7" ht="24.95" customHeight="1" thickBot="1">
      <c r="B7" s="201" t="s">
        <v>198</v>
      </c>
      <c r="C7" s="201"/>
    </row>
    <row r="8" spans="2:7" ht="24.95" customHeight="1">
      <c r="B8" s="532" t="s">
        <v>118</v>
      </c>
      <c r="C8" s="533"/>
      <c r="D8" s="202" t="s">
        <v>190</v>
      </c>
      <c r="E8" s="206" t="s">
        <v>191</v>
      </c>
      <c r="F8" s="210" t="s">
        <v>192</v>
      </c>
      <c r="G8" s="209" t="s">
        <v>193</v>
      </c>
    </row>
    <row r="9" spans="2:7" ht="24.95" customHeight="1">
      <c r="B9" s="532" t="s">
        <v>194</v>
      </c>
      <c r="C9" s="202" t="s">
        <v>195</v>
      </c>
      <c r="D9" s="203">
        <v>1350000</v>
      </c>
      <c r="E9" s="207">
        <v>1250000</v>
      </c>
      <c r="F9" s="211">
        <v>900000</v>
      </c>
      <c r="G9" s="536" t="s">
        <v>196</v>
      </c>
    </row>
    <row r="10" spans="2:7" ht="24.95" customHeight="1" thickBot="1">
      <c r="B10" s="534"/>
      <c r="C10" s="202" t="s">
        <v>197</v>
      </c>
      <c r="D10" s="205">
        <f>D9*12</f>
        <v>16200000</v>
      </c>
      <c r="E10" s="208">
        <f>E9*12</f>
        <v>15000000</v>
      </c>
      <c r="F10" s="212">
        <f>F9*12</f>
        <v>10800000</v>
      </c>
      <c r="G10" s="537"/>
    </row>
    <row r="12" spans="2:7" ht="24.95" customHeight="1" thickBot="1">
      <c r="B12" s="201" t="s">
        <v>199</v>
      </c>
      <c r="C12" s="201"/>
    </row>
    <row r="13" spans="2:7" ht="24.95" customHeight="1">
      <c r="B13" s="532" t="s">
        <v>118</v>
      </c>
      <c r="C13" s="533"/>
      <c r="D13" s="202" t="s">
        <v>190</v>
      </c>
      <c r="E13" s="206" t="s">
        <v>191</v>
      </c>
      <c r="F13" s="210" t="s">
        <v>192</v>
      </c>
      <c r="G13" s="209" t="s">
        <v>193</v>
      </c>
    </row>
    <row r="14" spans="2:7" ht="24.95" customHeight="1">
      <c r="B14" s="532" t="s">
        <v>194</v>
      </c>
      <c r="C14" s="202" t="s">
        <v>195</v>
      </c>
      <c r="D14" s="203">
        <v>900000</v>
      </c>
      <c r="E14" s="207">
        <v>850000</v>
      </c>
      <c r="F14" s="211">
        <v>750000</v>
      </c>
      <c r="G14" s="536" t="s">
        <v>196</v>
      </c>
    </row>
    <row r="15" spans="2:7" ht="24.95" customHeight="1" thickBot="1">
      <c r="B15" s="534"/>
      <c r="C15" s="202" t="s">
        <v>197</v>
      </c>
      <c r="D15" s="205">
        <f>D14*12</f>
        <v>10800000</v>
      </c>
      <c r="E15" s="208">
        <f>E14*12</f>
        <v>10200000</v>
      </c>
      <c r="F15" s="212">
        <f>F14*12</f>
        <v>9000000</v>
      </c>
      <c r="G15" s="537"/>
    </row>
    <row r="17" spans="2:7" ht="24.95" customHeight="1" thickBot="1">
      <c r="B17" s="201" t="s">
        <v>200</v>
      </c>
      <c r="C17" s="201"/>
    </row>
    <row r="18" spans="2:7" ht="24.95" customHeight="1">
      <c r="B18" s="532" t="s">
        <v>118</v>
      </c>
      <c r="C18" s="533"/>
      <c r="D18" s="202" t="s">
        <v>190</v>
      </c>
      <c r="E18" s="206" t="s">
        <v>191</v>
      </c>
      <c r="F18" s="210" t="s">
        <v>192</v>
      </c>
      <c r="G18" s="209" t="s">
        <v>193</v>
      </c>
    </row>
    <row r="19" spans="2:7" ht="24.95" customHeight="1">
      <c r="B19" s="532" t="s">
        <v>194</v>
      </c>
      <c r="C19" s="202" t="s">
        <v>195</v>
      </c>
      <c r="D19" s="203">
        <v>900000</v>
      </c>
      <c r="E19" s="207">
        <v>800000</v>
      </c>
      <c r="F19" s="211">
        <v>650000</v>
      </c>
      <c r="G19" s="536" t="s">
        <v>196</v>
      </c>
    </row>
    <row r="20" spans="2:7" ht="24.95" customHeight="1" thickBot="1">
      <c r="B20" s="534"/>
      <c r="C20" s="202" t="s">
        <v>197</v>
      </c>
      <c r="D20" s="205">
        <f>D19*12</f>
        <v>10800000</v>
      </c>
      <c r="E20" s="208">
        <f>E19*12</f>
        <v>9600000</v>
      </c>
      <c r="F20" s="212">
        <f>F19*12</f>
        <v>7800000</v>
      </c>
      <c r="G20" s="537"/>
    </row>
  </sheetData>
  <mergeCells count="12">
    <mergeCell ref="B2:C2"/>
    <mergeCell ref="B3:B4"/>
    <mergeCell ref="G3:G4"/>
    <mergeCell ref="G19:G20"/>
    <mergeCell ref="B18:C18"/>
    <mergeCell ref="B8:C8"/>
    <mergeCell ref="B19:B20"/>
    <mergeCell ref="B14:B15"/>
    <mergeCell ref="G14:G15"/>
    <mergeCell ref="B13:C13"/>
    <mergeCell ref="B9:B10"/>
    <mergeCell ref="G9:G10"/>
  </mergeCells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zoomScale="130" zoomScaleNormal="130" workbookViewId="0">
      <selection activeCell="D3" sqref="D3:G9"/>
    </sheetView>
  </sheetViews>
  <sheetFormatPr defaultColWidth="8.88671875" defaultRowHeight="20.100000000000001" customHeight="1"/>
  <cols>
    <col min="1" max="1" width="8.88671875" style="73" customWidth="1"/>
    <col min="2" max="2" width="24.109375" style="73" bestFit="1" customWidth="1"/>
    <col min="3" max="3" width="35.44140625" style="73" bestFit="1" customWidth="1"/>
    <col min="4" max="4" width="9.88671875" style="73" bestFit="1" customWidth="1"/>
    <col min="5" max="5" width="12.44140625" style="213" bestFit="1" customWidth="1"/>
    <col min="6" max="6" width="8.88671875" style="73" customWidth="1"/>
    <col min="7" max="7" width="14.109375" style="74" bestFit="1" customWidth="1"/>
    <col min="8" max="8" width="10.77734375" style="73" bestFit="1" customWidth="1"/>
    <col min="9" max="9" width="8.88671875" style="73" customWidth="1"/>
    <col min="10" max="16384" width="8.88671875" style="73"/>
  </cols>
  <sheetData>
    <row r="1" spans="1:8" ht="20.100000000000001" customHeight="1">
      <c r="A1" s="72" t="s">
        <v>201</v>
      </c>
    </row>
    <row r="2" spans="1:8" ht="20.100000000000001" customHeight="1">
      <c r="A2" s="73" t="s">
        <v>78</v>
      </c>
      <c r="B2" s="73" t="s">
        <v>202</v>
      </c>
      <c r="C2" s="73" t="s">
        <v>203</v>
      </c>
      <c r="D2" s="73" t="s">
        <v>204</v>
      </c>
      <c r="E2" s="213" t="s">
        <v>205</v>
      </c>
      <c r="F2" s="73" t="s">
        <v>206</v>
      </c>
      <c r="G2" s="74" t="s">
        <v>207</v>
      </c>
      <c r="H2" s="73" t="s">
        <v>194</v>
      </c>
    </row>
    <row r="3" spans="1:8" ht="20.100000000000001" customHeight="1">
      <c r="A3" s="73">
        <v>1</v>
      </c>
      <c r="B3" s="73" t="s">
        <v>208</v>
      </c>
      <c r="C3" s="73" t="s">
        <v>209</v>
      </c>
      <c r="D3" s="73" t="s">
        <v>210</v>
      </c>
      <c r="E3" s="213">
        <v>77578.880000000005</v>
      </c>
      <c r="F3" s="73" t="s">
        <v>86</v>
      </c>
      <c r="G3" s="74">
        <v>39974</v>
      </c>
      <c r="H3" s="75">
        <v>10800000</v>
      </c>
    </row>
    <row r="4" spans="1:8" ht="20.100000000000001" customHeight="1">
      <c r="A4" s="73">
        <v>2</v>
      </c>
      <c r="B4" s="73" t="s">
        <v>211</v>
      </c>
      <c r="C4" s="73" t="s">
        <v>212</v>
      </c>
      <c r="D4" s="73" t="s">
        <v>210</v>
      </c>
      <c r="E4" s="213">
        <v>159958.14000000001</v>
      </c>
      <c r="F4" s="73" t="s">
        <v>86</v>
      </c>
      <c r="H4" s="75">
        <v>15000000</v>
      </c>
    </row>
    <row r="5" spans="1:8" ht="20.100000000000001" customHeight="1">
      <c r="A5" s="73">
        <v>3</v>
      </c>
      <c r="B5" s="73" t="s">
        <v>213</v>
      </c>
      <c r="C5" s="73" t="s">
        <v>214</v>
      </c>
      <c r="D5" s="73" t="s">
        <v>210</v>
      </c>
      <c r="E5" s="213">
        <v>70545.100000000006</v>
      </c>
      <c r="F5" s="73" t="s">
        <v>86</v>
      </c>
      <c r="H5" s="75">
        <v>10800000</v>
      </c>
    </row>
    <row r="6" spans="1:8" ht="20.100000000000001" customHeight="1">
      <c r="A6" s="73">
        <v>4</v>
      </c>
      <c r="B6" s="73" t="s">
        <v>215</v>
      </c>
      <c r="C6" s="73" t="s">
        <v>216</v>
      </c>
      <c r="D6" s="73" t="s">
        <v>210</v>
      </c>
      <c r="E6" s="213">
        <v>30771.77</v>
      </c>
      <c r="F6" s="73" t="s">
        <v>89</v>
      </c>
      <c r="G6" s="74">
        <v>44589</v>
      </c>
      <c r="H6" s="75">
        <v>4200000</v>
      </c>
    </row>
    <row r="7" spans="1:8" ht="20.100000000000001" customHeight="1">
      <c r="A7" s="73">
        <v>5</v>
      </c>
      <c r="B7" s="73" t="s">
        <v>217</v>
      </c>
      <c r="C7" s="73" t="s">
        <v>218</v>
      </c>
      <c r="D7" s="73" t="s">
        <v>210</v>
      </c>
      <c r="E7" s="213">
        <v>143763.76</v>
      </c>
      <c r="F7" s="73" t="s">
        <v>86</v>
      </c>
      <c r="H7" s="75">
        <v>15000000</v>
      </c>
    </row>
    <row r="8" spans="1:8" ht="20.100000000000001" customHeight="1">
      <c r="A8" s="73">
        <v>6</v>
      </c>
      <c r="B8" s="73" t="s">
        <v>219</v>
      </c>
      <c r="C8" s="73" t="s">
        <v>220</v>
      </c>
      <c r="D8" s="73" t="s">
        <v>210</v>
      </c>
      <c r="E8" s="213">
        <v>33408.769999999997</v>
      </c>
      <c r="F8" s="73" t="s">
        <v>89</v>
      </c>
      <c r="G8" s="74">
        <v>31665</v>
      </c>
      <c r="H8" s="75">
        <v>4200000</v>
      </c>
    </row>
    <row r="9" spans="1:8" ht="20.100000000000001" customHeight="1">
      <c r="A9" s="73">
        <v>7</v>
      </c>
      <c r="B9" s="73" t="s">
        <v>221</v>
      </c>
      <c r="C9" s="73" t="s">
        <v>222</v>
      </c>
      <c r="D9" s="73" t="s">
        <v>210</v>
      </c>
      <c r="E9" s="213">
        <v>33039.160000000003</v>
      </c>
      <c r="F9" s="73" t="s">
        <v>89</v>
      </c>
      <c r="G9" s="74">
        <v>41271</v>
      </c>
      <c r="H9" s="75">
        <v>7800000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9"/>
  <sheetViews>
    <sheetView zoomScale="130" zoomScaleNormal="130" workbookViewId="0">
      <selection activeCell="G13" sqref="G13"/>
    </sheetView>
  </sheetViews>
  <sheetFormatPr defaultColWidth="8.88671875" defaultRowHeight="20.100000000000001" customHeight="1"/>
  <cols>
    <col min="1" max="1" width="8.88671875" style="231" customWidth="1"/>
    <col min="2" max="2" width="18.77734375" style="231" bestFit="1" customWidth="1"/>
    <col min="3" max="3" width="36.5546875" style="231" bestFit="1" customWidth="1"/>
    <col min="4" max="4" width="8.88671875" style="233" customWidth="1"/>
    <col min="5" max="5" width="8.88671875" style="231" customWidth="1"/>
    <col min="6" max="6" width="11.21875" style="233" bestFit="1" customWidth="1"/>
    <col min="7" max="7" width="9.109375" style="233" bestFit="1" customWidth="1"/>
    <col min="8" max="8" width="8.88671875" style="231" customWidth="1"/>
    <col min="9" max="16384" width="8.88671875" style="231"/>
  </cols>
  <sheetData>
    <row r="1" spans="1:27" ht="20.100000000000001" customHeight="1">
      <c r="A1" s="231" t="s">
        <v>223</v>
      </c>
      <c r="B1" s="231" t="s">
        <v>202</v>
      </c>
      <c r="C1" s="231" t="s">
        <v>203</v>
      </c>
      <c r="D1" s="233" t="s">
        <v>41</v>
      </c>
      <c r="E1" s="231" t="s">
        <v>206</v>
      </c>
      <c r="F1" s="233" t="s">
        <v>194</v>
      </c>
      <c r="G1" s="233" t="s">
        <v>224</v>
      </c>
    </row>
    <row r="2" spans="1:27" ht="20.100000000000001" customHeight="1">
      <c r="A2" s="231">
        <v>1</v>
      </c>
      <c r="B2" s="232" t="s">
        <v>225</v>
      </c>
      <c r="C2" s="232" t="s">
        <v>226</v>
      </c>
      <c r="D2" s="230">
        <v>163451.9</v>
      </c>
      <c r="E2" s="229" t="s">
        <v>86</v>
      </c>
      <c r="F2" s="230">
        <f t="shared" ref="F2:F8" si="0">G2*12</f>
        <v>18000000</v>
      </c>
      <c r="G2" s="230">
        <v>1500000</v>
      </c>
      <c r="H2" s="229"/>
      <c r="I2" s="230"/>
      <c r="J2" s="229"/>
      <c r="K2" s="229"/>
      <c r="L2" s="229"/>
      <c r="M2" s="229"/>
      <c r="N2" s="229"/>
      <c r="O2" s="230"/>
      <c r="P2" s="230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20.100000000000001" customHeight="1">
      <c r="A3" s="231">
        <v>2</v>
      </c>
      <c r="B3" s="232" t="s">
        <v>227</v>
      </c>
      <c r="C3" s="232" t="s">
        <v>228</v>
      </c>
      <c r="D3" s="230">
        <v>31580.2</v>
      </c>
      <c r="E3" s="229" t="s">
        <v>89</v>
      </c>
      <c r="F3" s="230">
        <f t="shared" si="0"/>
        <v>9600000</v>
      </c>
      <c r="G3" s="230">
        <v>800000</v>
      </c>
      <c r="H3" s="229"/>
      <c r="I3" s="230"/>
      <c r="J3" s="229"/>
      <c r="K3" s="229"/>
      <c r="L3" s="229"/>
      <c r="M3" s="229"/>
      <c r="N3" s="229"/>
      <c r="O3" s="230"/>
      <c r="P3" s="230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</row>
    <row r="4" spans="1:27" ht="20.100000000000001" customHeight="1">
      <c r="A4" s="231">
        <v>3</v>
      </c>
      <c r="B4" s="232" t="s">
        <v>229</v>
      </c>
      <c r="C4" s="232" t="s">
        <v>230</v>
      </c>
      <c r="D4" s="230">
        <v>66924.899999999994</v>
      </c>
      <c r="E4" s="229" t="s">
        <v>86</v>
      </c>
      <c r="F4" s="230">
        <f t="shared" si="0"/>
        <v>15000000</v>
      </c>
      <c r="G4" s="230">
        <v>1250000</v>
      </c>
      <c r="H4" s="229"/>
      <c r="I4" s="230"/>
      <c r="J4" s="229"/>
      <c r="K4" s="229"/>
      <c r="L4" s="229"/>
      <c r="M4" s="229"/>
      <c r="N4" s="229"/>
      <c r="O4" s="230"/>
      <c r="P4" s="230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</row>
    <row r="5" spans="1:27" ht="20.100000000000001" customHeight="1">
      <c r="A5" s="231">
        <v>4</v>
      </c>
      <c r="B5" s="232" t="s">
        <v>231</v>
      </c>
      <c r="C5" s="232" t="s">
        <v>232</v>
      </c>
      <c r="D5" s="230">
        <v>5591.3</v>
      </c>
      <c r="E5" s="229" t="s">
        <v>91</v>
      </c>
      <c r="F5" s="230">
        <f t="shared" si="0"/>
        <v>4800000</v>
      </c>
      <c r="G5" s="230">
        <v>400000</v>
      </c>
      <c r="H5" s="229"/>
      <c r="I5" s="230"/>
      <c r="J5" s="229"/>
      <c r="K5" s="229"/>
      <c r="L5" s="229"/>
      <c r="M5" s="229"/>
      <c r="N5" s="229"/>
      <c r="O5" s="230"/>
      <c r="P5" s="230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</row>
    <row r="6" spans="1:27" ht="20.100000000000001" customHeight="1">
      <c r="A6" s="231">
        <v>5</v>
      </c>
      <c r="B6" s="232" t="s">
        <v>233</v>
      </c>
      <c r="C6" s="232" t="s">
        <v>234</v>
      </c>
      <c r="D6" s="233">
        <v>34188.9</v>
      </c>
      <c r="E6" s="231" t="s">
        <v>89</v>
      </c>
      <c r="F6" s="230">
        <f t="shared" si="0"/>
        <v>9600000</v>
      </c>
      <c r="G6" s="233">
        <v>800000</v>
      </c>
    </row>
    <row r="7" spans="1:27" ht="20.100000000000001" customHeight="1">
      <c r="A7" s="231">
        <v>6</v>
      </c>
      <c r="B7" s="232" t="s">
        <v>235</v>
      </c>
      <c r="C7" s="232" t="s">
        <v>236</v>
      </c>
      <c r="D7" s="233">
        <v>25854.5</v>
      </c>
      <c r="E7" s="231" t="s">
        <v>90</v>
      </c>
      <c r="F7" s="230">
        <f t="shared" si="0"/>
        <v>7200000</v>
      </c>
      <c r="G7" s="233">
        <v>600000</v>
      </c>
    </row>
    <row r="8" spans="1:27" ht="20.100000000000001" customHeight="1">
      <c r="A8" s="231">
        <v>7</v>
      </c>
      <c r="B8" s="232" t="s">
        <v>237</v>
      </c>
      <c r="C8" s="232" t="s">
        <v>238</v>
      </c>
      <c r="D8" s="233">
        <v>17379.2</v>
      </c>
      <c r="E8" s="231" t="s">
        <v>90</v>
      </c>
      <c r="F8" s="230">
        <f t="shared" si="0"/>
        <v>6000000</v>
      </c>
      <c r="G8" s="233">
        <v>500000</v>
      </c>
    </row>
    <row r="9" spans="1:27" ht="20.100000000000001" customHeight="1">
      <c r="A9" s="538"/>
      <c r="B9" s="538"/>
      <c r="C9" s="538"/>
      <c r="D9" s="539"/>
      <c r="E9" s="538"/>
      <c r="F9" s="233">
        <f>SUM(F2:F8)</f>
        <v>70200000</v>
      </c>
    </row>
  </sheetData>
  <mergeCells count="1">
    <mergeCell ref="A9:E9"/>
  </mergeCells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N23"/>
  <sheetViews>
    <sheetView showGridLines="0" zoomScaleNormal="100" zoomScaleSheetLayoutView="100" workbookViewId="0">
      <selection activeCell="E26" sqref="E26"/>
    </sheetView>
  </sheetViews>
  <sheetFormatPr defaultRowHeight="13.5"/>
  <cols>
    <col min="1" max="1" width="21.21875" bestFit="1" customWidth="1"/>
    <col min="2" max="2" width="8.33203125" bestFit="1" customWidth="1"/>
    <col min="3" max="3" width="4.88671875" bestFit="1" customWidth="1"/>
    <col min="4" max="4" width="8.33203125" bestFit="1" customWidth="1"/>
    <col min="5" max="5" width="9.5546875" bestFit="1" customWidth="1"/>
    <col min="6" max="6" width="8.33203125" bestFit="1" customWidth="1"/>
    <col min="7" max="7" width="9.5546875" bestFit="1" customWidth="1"/>
    <col min="8" max="8" width="8.33203125" bestFit="1" customWidth="1"/>
    <col min="9" max="10" width="9.5546875" bestFit="1" customWidth="1"/>
    <col min="11" max="12" width="8.21875" bestFit="1" customWidth="1"/>
  </cols>
  <sheetData>
    <row r="1" spans="1:14" s="260" customFormat="1" ht="17.25" customHeight="1" thickBot="1">
      <c r="A1" s="257" t="s">
        <v>239</v>
      </c>
      <c r="B1" s="258"/>
      <c r="C1" s="259"/>
      <c r="D1" s="259"/>
      <c r="E1" s="259"/>
      <c r="F1" s="259"/>
      <c r="G1" s="259"/>
      <c r="H1" s="258"/>
      <c r="I1" s="258"/>
      <c r="J1" s="258"/>
      <c r="K1" s="258"/>
      <c r="L1" s="258"/>
    </row>
    <row r="2" spans="1:14" s="248" customFormat="1" ht="22.5" customHeight="1">
      <c r="A2" s="544" t="s">
        <v>240</v>
      </c>
      <c r="B2" s="546" t="s">
        <v>241</v>
      </c>
      <c r="C2" s="549" t="s">
        <v>206</v>
      </c>
      <c r="D2" s="544" t="s">
        <v>242</v>
      </c>
      <c r="E2" s="543"/>
      <c r="F2" s="548" t="s">
        <v>243</v>
      </c>
      <c r="G2" s="543"/>
      <c r="H2" s="542" t="s">
        <v>244</v>
      </c>
      <c r="I2" s="523"/>
      <c r="J2" s="543"/>
      <c r="K2" s="540" t="s">
        <v>245</v>
      </c>
      <c r="L2" s="540" t="s">
        <v>246</v>
      </c>
    </row>
    <row r="3" spans="1:14" s="248" customFormat="1" ht="22.5" customHeight="1" thickBot="1">
      <c r="A3" s="545"/>
      <c r="B3" s="547"/>
      <c r="C3" s="550"/>
      <c r="D3" s="249" t="s">
        <v>195</v>
      </c>
      <c r="E3" s="251" t="s">
        <v>197</v>
      </c>
      <c r="F3" s="252" t="s">
        <v>195</v>
      </c>
      <c r="G3" s="250" t="s">
        <v>197</v>
      </c>
      <c r="H3" s="253" t="s">
        <v>247</v>
      </c>
      <c r="I3" s="254" t="s">
        <v>248</v>
      </c>
      <c r="J3" s="255" t="s">
        <v>249</v>
      </c>
      <c r="K3" s="541"/>
      <c r="L3" s="541"/>
    </row>
    <row r="4" spans="1:14" s="248" customFormat="1" ht="22.5" customHeight="1">
      <c r="A4" s="262" t="s">
        <v>250</v>
      </c>
      <c r="B4" s="263">
        <v>5000</v>
      </c>
      <c r="C4" s="264" t="s">
        <v>91</v>
      </c>
      <c r="D4" s="265">
        <v>225000</v>
      </c>
      <c r="E4" s="266">
        <v>2700000</v>
      </c>
      <c r="F4" s="267">
        <v>80000</v>
      </c>
      <c r="G4" s="268">
        <f t="shared" ref="G4:G9" si="0">F4*12</f>
        <v>960000</v>
      </c>
      <c r="H4" s="265">
        <f t="shared" ref="H4:H9" si="1">E4*15%</f>
        <v>405000</v>
      </c>
      <c r="I4" s="269">
        <f t="shared" ref="I4:I9" si="2">E4-G4-H4</f>
        <v>1335000</v>
      </c>
      <c r="J4" s="270">
        <f t="shared" ref="J4:J9" si="3">SUM(H4:I4)</f>
        <v>1740000</v>
      </c>
      <c r="K4" s="271">
        <v>4</v>
      </c>
      <c r="L4" s="271">
        <v>4</v>
      </c>
    </row>
    <row r="5" spans="1:14" s="248" customFormat="1" ht="22.5" customHeight="1" thickBot="1">
      <c r="A5" s="272" t="s">
        <v>251</v>
      </c>
      <c r="B5" s="273">
        <v>10000</v>
      </c>
      <c r="C5" s="274" t="s">
        <v>91</v>
      </c>
      <c r="D5" s="275">
        <v>225000</v>
      </c>
      <c r="E5" s="276">
        <f>D5*12</f>
        <v>2700000</v>
      </c>
      <c r="F5" s="277">
        <v>80000</v>
      </c>
      <c r="G5" s="278">
        <f t="shared" si="0"/>
        <v>960000</v>
      </c>
      <c r="H5" s="275">
        <f t="shared" si="1"/>
        <v>405000</v>
      </c>
      <c r="I5" s="279">
        <f t="shared" si="2"/>
        <v>1335000</v>
      </c>
      <c r="J5" s="280">
        <f t="shared" si="3"/>
        <v>1740000</v>
      </c>
      <c r="K5" s="281">
        <v>4</v>
      </c>
      <c r="L5" s="281">
        <v>4</v>
      </c>
    </row>
    <row r="6" spans="1:14" s="248" customFormat="1" ht="22.5" customHeight="1" thickBot="1">
      <c r="A6" s="262" t="s">
        <v>252</v>
      </c>
      <c r="B6" s="263">
        <v>15000</v>
      </c>
      <c r="C6" s="264" t="s">
        <v>90</v>
      </c>
      <c r="D6" s="265">
        <v>275000</v>
      </c>
      <c r="E6" s="266">
        <v>3300000</v>
      </c>
      <c r="F6" s="267">
        <v>130000</v>
      </c>
      <c r="G6" s="268">
        <f t="shared" si="0"/>
        <v>1560000</v>
      </c>
      <c r="H6" s="265">
        <f t="shared" si="1"/>
        <v>495000</v>
      </c>
      <c r="I6" s="269">
        <f t="shared" si="2"/>
        <v>1245000</v>
      </c>
      <c r="J6" s="270">
        <f t="shared" si="3"/>
        <v>1740000</v>
      </c>
      <c r="K6" s="271">
        <v>6</v>
      </c>
      <c r="L6" s="271">
        <v>6</v>
      </c>
    </row>
    <row r="7" spans="1:14" s="248" customFormat="1" ht="22.5" customHeight="1" thickBot="1">
      <c r="A7" s="282" t="s">
        <v>253</v>
      </c>
      <c r="B7" s="283">
        <v>30000</v>
      </c>
      <c r="C7" s="284" t="s">
        <v>89</v>
      </c>
      <c r="D7" s="285">
        <v>350000</v>
      </c>
      <c r="E7" s="286">
        <v>4200000</v>
      </c>
      <c r="F7" s="287">
        <v>150000</v>
      </c>
      <c r="G7" s="288">
        <f t="shared" si="0"/>
        <v>1800000</v>
      </c>
      <c r="H7" s="285">
        <f t="shared" si="1"/>
        <v>630000</v>
      </c>
      <c r="I7" s="289">
        <f t="shared" si="2"/>
        <v>1770000</v>
      </c>
      <c r="J7" s="290">
        <f t="shared" si="3"/>
        <v>2400000</v>
      </c>
      <c r="K7" s="291">
        <v>8</v>
      </c>
      <c r="L7" s="291">
        <v>8</v>
      </c>
    </row>
    <row r="8" spans="1:14" s="248" customFormat="1" ht="22.5" customHeight="1">
      <c r="A8" s="292" t="s">
        <v>254</v>
      </c>
      <c r="B8" s="293">
        <v>60000</v>
      </c>
      <c r="C8" s="294" t="s">
        <v>86</v>
      </c>
      <c r="D8" s="295">
        <v>450000</v>
      </c>
      <c r="E8" s="296">
        <v>5400000</v>
      </c>
      <c r="F8" s="297">
        <v>180000</v>
      </c>
      <c r="G8" s="298">
        <f t="shared" si="0"/>
        <v>2160000</v>
      </c>
      <c r="H8" s="295">
        <f t="shared" si="1"/>
        <v>810000</v>
      </c>
      <c r="I8" s="299">
        <f t="shared" si="2"/>
        <v>2430000</v>
      </c>
      <c r="J8" s="300">
        <f t="shared" si="3"/>
        <v>3240000</v>
      </c>
      <c r="K8" s="301">
        <v>10</v>
      </c>
      <c r="L8" s="301">
        <v>10</v>
      </c>
    </row>
    <row r="9" spans="1:14" s="248" customFormat="1" ht="22.5" customHeight="1" thickBot="1">
      <c r="A9" s="272" t="s">
        <v>255</v>
      </c>
      <c r="B9" s="273">
        <v>150000</v>
      </c>
      <c r="C9" s="274" t="s">
        <v>86</v>
      </c>
      <c r="D9" s="275">
        <v>450000</v>
      </c>
      <c r="E9" s="276">
        <v>5400000</v>
      </c>
      <c r="F9" s="277">
        <v>180000</v>
      </c>
      <c r="G9" s="278">
        <f t="shared" si="0"/>
        <v>2160000</v>
      </c>
      <c r="H9" s="275">
        <f t="shared" si="1"/>
        <v>810000</v>
      </c>
      <c r="I9" s="279">
        <f t="shared" si="2"/>
        <v>2430000</v>
      </c>
      <c r="J9" s="280">
        <f t="shared" si="3"/>
        <v>3240000</v>
      </c>
      <c r="K9" s="281">
        <v>10</v>
      </c>
      <c r="L9" s="281">
        <v>10</v>
      </c>
    </row>
    <row r="10" spans="1:14" s="248" customFormat="1" ht="14.25" customHeight="1">
      <c r="N10" s="256"/>
    </row>
    <row r="11" spans="1:14" s="260" customFormat="1" ht="22.5" customHeight="1" thickBot="1">
      <c r="A11" s="257" t="s">
        <v>256</v>
      </c>
      <c r="B11" s="258"/>
      <c r="C11" s="259"/>
      <c r="D11" s="259"/>
      <c r="E11" s="259"/>
      <c r="F11" s="259"/>
      <c r="G11" s="259"/>
      <c r="H11" s="258"/>
      <c r="I11" s="258"/>
      <c r="J11" s="258"/>
      <c r="K11" s="258"/>
      <c r="L11" s="258"/>
      <c r="N11" s="261"/>
    </row>
    <row r="12" spans="1:14" s="248" customFormat="1" ht="22.5" customHeight="1">
      <c r="A12" s="544" t="s">
        <v>240</v>
      </c>
      <c r="B12" s="546" t="s">
        <v>241</v>
      </c>
      <c r="C12" s="549" t="s">
        <v>206</v>
      </c>
      <c r="D12" s="544" t="s">
        <v>242</v>
      </c>
      <c r="E12" s="543"/>
      <c r="F12" s="548" t="s">
        <v>243</v>
      </c>
      <c r="G12" s="543"/>
      <c r="H12" s="542" t="s">
        <v>244</v>
      </c>
      <c r="I12" s="523"/>
      <c r="J12" s="543"/>
      <c r="K12" s="540" t="s">
        <v>245</v>
      </c>
      <c r="L12" s="540" t="s">
        <v>246</v>
      </c>
      <c r="N12" s="256"/>
    </row>
    <row r="13" spans="1:14" s="248" customFormat="1" ht="22.5" customHeight="1" thickBot="1">
      <c r="A13" s="545"/>
      <c r="B13" s="547"/>
      <c r="C13" s="550"/>
      <c r="D13" s="249" t="s">
        <v>195</v>
      </c>
      <c r="E13" s="251" t="s">
        <v>197</v>
      </c>
      <c r="F13" s="252" t="s">
        <v>195</v>
      </c>
      <c r="G13" s="250" t="s">
        <v>197</v>
      </c>
      <c r="H13" s="253" t="s">
        <v>247</v>
      </c>
      <c r="I13" s="254" t="s">
        <v>248</v>
      </c>
      <c r="J13" s="255" t="s">
        <v>249</v>
      </c>
      <c r="K13" s="541"/>
      <c r="L13" s="541"/>
      <c r="N13" s="256"/>
    </row>
    <row r="14" spans="1:14" s="248" customFormat="1" ht="22.5" customHeight="1">
      <c r="A14" s="262" t="s">
        <v>250</v>
      </c>
      <c r="B14" s="263">
        <v>5000</v>
      </c>
      <c r="C14" s="264" t="s">
        <v>91</v>
      </c>
      <c r="D14" s="265">
        <v>200000</v>
      </c>
      <c r="E14" s="266">
        <v>2400000</v>
      </c>
      <c r="F14" s="267">
        <v>80000</v>
      </c>
      <c r="G14" s="268">
        <f t="shared" ref="G14:G19" si="4">F14*12</f>
        <v>960000</v>
      </c>
      <c r="H14" s="265">
        <f t="shared" ref="H14:H19" si="5">E14*15%</f>
        <v>360000</v>
      </c>
      <c r="I14" s="269">
        <f t="shared" ref="I14:I19" si="6">E14-G14-H14</f>
        <v>1080000</v>
      </c>
      <c r="J14" s="270">
        <f t="shared" ref="J14:J19" si="7">SUM(H14:I14)</f>
        <v>1440000</v>
      </c>
      <c r="K14" s="271">
        <v>4</v>
      </c>
      <c r="L14" s="271">
        <v>4</v>
      </c>
      <c r="N14" s="256"/>
    </row>
    <row r="15" spans="1:14" s="248" customFormat="1" ht="22.5" customHeight="1" thickBot="1">
      <c r="A15" s="272" t="s">
        <v>251</v>
      </c>
      <c r="B15" s="273">
        <v>10000</v>
      </c>
      <c r="C15" s="274" t="s">
        <v>91</v>
      </c>
      <c r="D15" s="275">
        <v>200000</v>
      </c>
      <c r="E15" s="276">
        <v>2400000</v>
      </c>
      <c r="F15" s="277">
        <v>80000</v>
      </c>
      <c r="G15" s="278">
        <f t="shared" si="4"/>
        <v>960000</v>
      </c>
      <c r="H15" s="275">
        <f t="shared" si="5"/>
        <v>360000</v>
      </c>
      <c r="I15" s="279">
        <f t="shared" si="6"/>
        <v>1080000</v>
      </c>
      <c r="J15" s="280">
        <f t="shared" si="7"/>
        <v>1440000</v>
      </c>
      <c r="K15" s="281">
        <v>4</v>
      </c>
      <c r="L15" s="281">
        <v>4</v>
      </c>
      <c r="N15" s="256"/>
    </row>
    <row r="16" spans="1:14" s="248" customFormat="1" ht="22.5" customHeight="1" thickBot="1">
      <c r="A16" s="262" t="s">
        <v>252</v>
      </c>
      <c r="B16" s="263">
        <v>15000</v>
      </c>
      <c r="C16" s="264" t="s">
        <v>90</v>
      </c>
      <c r="D16" s="265">
        <v>225000</v>
      </c>
      <c r="E16" s="266">
        <v>2700000</v>
      </c>
      <c r="F16" s="267">
        <v>130000</v>
      </c>
      <c r="G16" s="268">
        <f t="shared" si="4"/>
        <v>1560000</v>
      </c>
      <c r="H16" s="265">
        <f t="shared" si="5"/>
        <v>405000</v>
      </c>
      <c r="I16" s="269">
        <f t="shared" si="6"/>
        <v>735000</v>
      </c>
      <c r="J16" s="270">
        <f t="shared" si="7"/>
        <v>1140000</v>
      </c>
      <c r="K16" s="271">
        <v>6</v>
      </c>
      <c r="L16" s="271">
        <v>6</v>
      </c>
    </row>
    <row r="17" spans="1:12" s="248" customFormat="1" ht="22.5" customHeight="1" thickBot="1">
      <c r="A17" s="282" t="s">
        <v>253</v>
      </c>
      <c r="B17" s="283">
        <v>30000</v>
      </c>
      <c r="C17" s="284" t="s">
        <v>89</v>
      </c>
      <c r="D17" s="285">
        <v>300000</v>
      </c>
      <c r="E17" s="286">
        <v>3600000</v>
      </c>
      <c r="F17" s="287">
        <v>150000</v>
      </c>
      <c r="G17" s="288">
        <f t="shared" si="4"/>
        <v>1800000</v>
      </c>
      <c r="H17" s="285">
        <f t="shared" si="5"/>
        <v>540000</v>
      </c>
      <c r="I17" s="289">
        <f t="shared" si="6"/>
        <v>1260000</v>
      </c>
      <c r="J17" s="290">
        <f t="shared" si="7"/>
        <v>1800000</v>
      </c>
      <c r="K17" s="291">
        <v>8</v>
      </c>
      <c r="L17" s="291">
        <v>8</v>
      </c>
    </row>
    <row r="18" spans="1:12" s="248" customFormat="1" ht="22.5" customHeight="1">
      <c r="A18" s="292" t="s">
        <v>254</v>
      </c>
      <c r="B18" s="293">
        <v>60000</v>
      </c>
      <c r="C18" s="294" t="s">
        <v>86</v>
      </c>
      <c r="D18" s="295">
        <v>400000</v>
      </c>
      <c r="E18" s="296">
        <v>4800000</v>
      </c>
      <c r="F18" s="297">
        <v>180000</v>
      </c>
      <c r="G18" s="298">
        <f t="shared" si="4"/>
        <v>2160000</v>
      </c>
      <c r="H18" s="295">
        <f t="shared" si="5"/>
        <v>720000</v>
      </c>
      <c r="I18" s="299">
        <f t="shared" si="6"/>
        <v>1920000</v>
      </c>
      <c r="J18" s="300">
        <f t="shared" si="7"/>
        <v>2640000</v>
      </c>
      <c r="K18" s="301">
        <v>10</v>
      </c>
      <c r="L18" s="301">
        <v>10</v>
      </c>
    </row>
    <row r="19" spans="1:12" s="248" customFormat="1" ht="22.5" customHeight="1" thickBot="1">
      <c r="A19" s="272" t="s">
        <v>255</v>
      </c>
      <c r="B19" s="273">
        <v>150000</v>
      </c>
      <c r="C19" s="274" t="s">
        <v>86</v>
      </c>
      <c r="D19" s="275">
        <v>400000</v>
      </c>
      <c r="E19" s="276">
        <v>4800000</v>
      </c>
      <c r="F19" s="277">
        <v>180000</v>
      </c>
      <c r="G19" s="278">
        <f t="shared" si="4"/>
        <v>2160000</v>
      </c>
      <c r="H19" s="275">
        <f t="shared" si="5"/>
        <v>720000</v>
      </c>
      <c r="I19" s="279">
        <f t="shared" si="6"/>
        <v>1920000</v>
      </c>
      <c r="J19" s="280">
        <f t="shared" si="7"/>
        <v>2640000</v>
      </c>
      <c r="K19" s="281">
        <v>10</v>
      </c>
      <c r="L19" s="281">
        <v>10</v>
      </c>
    </row>
    <row r="21" spans="1:12" s="303" customFormat="1">
      <c r="A21" s="302" t="s">
        <v>257</v>
      </c>
    </row>
    <row r="22" spans="1:12" s="303" customFormat="1">
      <c r="A22" s="304" t="s">
        <v>258</v>
      </c>
    </row>
    <row r="23" spans="1:12" s="303" customFormat="1">
      <c r="A23" s="304" t="s">
        <v>259</v>
      </c>
    </row>
  </sheetData>
  <mergeCells count="16">
    <mergeCell ref="L12:L13"/>
    <mergeCell ref="K12:K13"/>
    <mergeCell ref="H12:J12"/>
    <mergeCell ref="A2:A3"/>
    <mergeCell ref="H2:J2"/>
    <mergeCell ref="B2:B3"/>
    <mergeCell ref="K2:K3"/>
    <mergeCell ref="D12:E12"/>
    <mergeCell ref="L2:L3"/>
    <mergeCell ref="F2:G2"/>
    <mergeCell ref="F12:G12"/>
    <mergeCell ref="D2:E2"/>
    <mergeCell ref="A12:A13"/>
    <mergeCell ref="B12:B13"/>
    <mergeCell ref="C2:C3"/>
    <mergeCell ref="C12:C13"/>
  </mergeCells>
  <phoneticPr fontId="2" type="noConversion"/>
  <pageMargins left="0.7" right="0.7" top="0.75" bottom="0.75" header="0.3" footer="0.3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showGridLines="0" workbookViewId="0">
      <selection activeCell="G8" sqref="G8"/>
    </sheetView>
  </sheetViews>
  <sheetFormatPr defaultRowHeight="16.5"/>
  <cols>
    <col min="1" max="1" width="8.88671875" style="248" customWidth="1"/>
    <col min="2" max="16384" width="8.88671875" style="248"/>
  </cols>
  <sheetData>
    <row r="1" spans="1:8" s="260" customFormat="1">
      <c r="A1" s="306" t="s">
        <v>260</v>
      </c>
      <c r="B1" s="307"/>
      <c r="C1" s="307"/>
      <c r="D1" s="307"/>
      <c r="E1" s="307"/>
      <c r="F1" s="307"/>
      <c r="G1" s="307"/>
      <c r="H1" s="308"/>
    </row>
    <row r="2" spans="1:8" ht="23.25" customHeight="1">
      <c r="A2" s="309" t="s">
        <v>261</v>
      </c>
      <c r="H2" s="310"/>
    </row>
    <row r="3" spans="1:8" ht="23.25" customHeight="1">
      <c r="A3" s="309" t="s">
        <v>262</v>
      </c>
      <c r="H3" s="310"/>
    </row>
    <row r="4" spans="1:8" ht="23.25" customHeight="1">
      <c r="A4" s="309" t="s">
        <v>263</v>
      </c>
      <c r="H4" s="310"/>
    </row>
    <row r="5" spans="1:8" ht="23.25" customHeight="1">
      <c r="A5" s="309" t="s">
        <v>264</v>
      </c>
      <c r="H5" s="310"/>
    </row>
    <row r="6" spans="1:8" ht="23.25" customHeight="1">
      <c r="A6" s="309" t="s">
        <v>265</v>
      </c>
      <c r="H6" s="310"/>
    </row>
    <row r="7" spans="1:8" ht="23.25" customHeight="1">
      <c r="A7" s="309" t="s">
        <v>266</v>
      </c>
      <c r="H7" s="310"/>
    </row>
    <row r="8" spans="1:8" ht="23.25" customHeight="1">
      <c r="A8" s="309" t="s">
        <v>267</v>
      </c>
      <c r="H8" s="310"/>
    </row>
    <row r="9" spans="1:8" ht="23.25" customHeight="1">
      <c r="A9" s="311" t="s">
        <v>268</v>
      </c>
      <c r="H9" s="310"/>
    </row>
    <row r="10" spans="1:8" ht="17.25" customHeight="1" thickBot="1">
      <c r="A10" s="312"/>
      <c r="B10" s="313"/>
      <c r="C10" s="313"/>
      <c r="D10" s="313"/>
      <c r="E10" s="313"/>
      <c r="F10" s="313"/>
      <c r="G10" s="313"/>
      <c r="H10" s="314"/>
    </row>
    <row r="11" spans="1:8">
      <c r="A11" s="30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6</vt:i4>
      </vt:variant>
    </vt:vector>
  </HeadingPairs>
  <TitlesOfParts>
    <vt:vector size="17" baseType="lpstr">
      <vt:lpstr>표지</vt:lpstr>
      <vt:lpstr>1. 견적서</vt:lpstr>
      <vt:lpstr>2.1 성능점검 산출내역</vt:lpstr>
      <vt:lpstr>2.2 유지점검 산출내역</vt:lpstr>
      <vt:lpstr>2.3 선임 산출내역</vt:lpstr>
      <vt:lpstr>3. 업무처리 절차</vt:lpstr>
      <vt:lpstr>Sheet1</vt:lpstr>
      <vt:lpstr>Sheet2</vt:lpstr>
      <vt:lpstr>Sheet3</vt:lpstr>
      <vt:lpstr>26'1월견적표</vt:lpstr>
      <vt:lpstr>26'1월계약진행</vt:lpstr>
      <vt:lpstr>'1. 견적서'!Print_Area</vt:lpstr>
      <vt:lpstr>'2.1 성능점검 산출내역'!Print_Area</vt:lpstr>
      <vt:lpstr>'2.2 유지점검 산출내역'!Print_Area</vt:lpstr>
      <vt:lpstr>'2.3 선임 산출내역'!Print_Area</vt:lpstr>
      <vt:lpstr>'3. 업무처리 절차'!Print_Area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Master</cp:lastModifiedBy>
  <cp:lastPrinted>2026-03-20T00:27:40Z</cp:lastPrinted>
  <dcterms:created xsi:type="dcterms:W3CDTF">1999-08-28T01:02:59Z</dcterms:created>
  <dcterms:modified xsi:type="dcterms:W3CDTF">2026-03-23T08:33:01Z</dcterms:modified>
</cp:coreProperties>
</file>