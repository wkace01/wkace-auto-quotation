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ster\Documents\Project\견적서 자동화 프로젝트\정보통신사업부\"/>
    </mc:Choice>
  </mc:AlternateContent>
  <xr:revisionPtr revIDLastSave="0" documentId="13_ncr:1_{8066D694-64C5-4F83-B294-5E6360E4F77C}" xr6:coauthVersionLast="47" xr6:coauthVersionMax="47" xr10:uidLastSave="{00000000-0000-0000-0000-000000000000}"/>
  <bookViews>
    <workbookView xWindow="-120" yWindow="-120" windowWidth="29040" windowHeight="15720" tabRatio="854" firstSheet="1" activeTab="1" xr2:uid="{00000000-000D-0000-FFFF-FFFF00000000}"/>
  </bookViews>
  <sheets>
    <sheet name="VXXXXX" sheetId="6" state="veryHidden" r:id="rId1"/>
    <sheet name="표지" sheetId="60" r:id="rId2"/>
    <sheet name="1. 견적서" sheetId="45" r:id="rId3"/>
    <sheet name="2.1 성능점검 산출내역" sheetId="38" r:id="rId4"/>
    <sheet name="2.2 유지점검 산출내역" sheetId="64" r:id="rId5"/>
    <sheet name="2.3 선임 산출내역" sheetId="65" r:id="rId6"/>
    <sheet name="3. 업무처리 절차" sheetId="67" r:id="rId7"/>
    <sheet name="Sheet1" sheetId="70" state="hidden" r:id="rId8"/>
    <sheet name="Sheet2" sheetId="71" state="hidden" r:id="rId9"/>
    <sheet name="Sheet3" sheetId="72" state="hidden" r:id="rId10"/>
    <sheet name="26'1월견적표" sheetId="73" state="hidden" r:id="rId11"/>
    <sheet name="26'1월계약진행" sheetId="74" state="hidden" r:id="rId12"/>
  </sheets>
  <externalReferences>
    <externalReference r:id="rId13"/>
    <externalReference r:id="rId14"/>
    <externalReference r:id="rId15"/>
  </externalReferences>
  <definedNames>
    <definedName name="__123Graph_D" hidden="1">[1]FAB별!#REF!</definedName>
    <definedName name="_xlnm._FilterDatabase" hidden="1">#REF!</definedName>
    <definedName name="a">'[2]단가 및 재료비'!$AA$72</definedName>
    <definedName name="b">'[2]단가 및 재료비'!$S$170</definedName>
    <definedName name="_xlnm.Database">#REF!</definedName>
    <definedName name="KKK" localSheetId="1" hidden="1">{#N/A,#N/A,FALSE,"포장단가"}</definedName>
    <definedName name="KKK" hidden="1">{#N/A,#N/A,FALSE,"포장단가"}</definedName>
    <definedName name="p">#REF!</definedName>
    <definedName name="PA">#REF!</definedName>
    <definedName name="PB">#REF!</definedName>
    <definedName name="PC">#REF!</definedName>
    <definedName name="PD">#REF!</definedName>
    <definedName name="_xlnm.Print_Area" localSheetId="2">'1. 견적서'!$A$1:$AB$36</definedName>
    <definedName name="_xlnm.Print_Area" localSheetId="3">'2.1 성능점검 산출내역'!$A$1:$J$36</definedName>
    <definedName name="_xlnm.Print_Area" localSheetId="4">'2.2 유지점검 산출내역'!$A$1:$J$36</definedName>
    <definedName name="_xlnm.Print_Area" localSheetId="5">'2.3 선임 산출내역'!$A$1:$J$36</definedName>
    <definedName name="_xlnm.Print_Area" localSheetId="6">'3. 업무처리 절차'!$A$1:$Y$40</definedName>
    <definedName name="_xlnm.Print_Area" localSheetId="1">표지!$A$1:$J$28</definedName>
    <definedName name="_xlnm.Recorder">#REF!</definedName>
    <definedName name="wrn.포장단가." localSheetId="1" hidden="1">{#N/A,#N/A,FALSE,"포장단가"}</definedName>
    <definedName name="wrn.포장단가." hidden="1">{#N/A,#N/A,FALSE,"포장단가"}</definedName>
    <definedName name="각재">'[3]단가 및 재료비'!$S$171</definedName>
    <definedName name="견적서">#REF!</definedName>
    <definedName name="계약보증금납부서">#REF!</definedName>
    <definedName name="계약서">#REF!</definedName>
    <definedName name="공사원가">#REF!</definedName>
    <definedName name="공정표">#REF!</definedName>
    <definedName name="규____격">#REF!</definedName>
    <definedName name="내역서표지">#REF!</definedName>
    <definedName name="내역표지">#REF!</definedName>
    <definedName name="단_위">#REF!</definedName>
    <definedName name="대형브레이카0.4경비">[3]중기사용료산출근거!$G$20</definedName>
    <definedName name="대형브레이카0.4노무비">[3]중기사용료산출근거!$G$24</definedName>
    <definedName name="대형브레이카0.4재료비">[3]중기사용료산출근거!$G$28</definedName>
    <definedName name="ㄹ">#REF!</definedName>
    <definedName name="ㄹㅇㄴㅁㄹㅇ" hidden="1">{#N/A,#N/A,FALSE,"포장단가"}</definedName>
    <definedName name="ㄹㅇㄴㅇㄹㅇㄴㄹ" hidden="1">{#N/A,#N/A,FALSE,"포장단가"}</definedName>
    <definedName name="라인마아카10경비">[3]중기사용료산출근거!$G$95</definedName>
    <definedName name="라인마아카10노무비">[3]중기사용료산출근거!$G$99</definedName>
    <definedName name="라인마아카10재료비">[3]중기사용료산출근거!$G$103</definedName>
    <definedName name="ㅁ754">#REF!</definedName>
    <definedName name="못">'[3]단가 및 재료비'!$S$173</definedName>
    <definedName name="물탱크5500경비">[3]중기사용료산출근거!$G$155</definedName>
    <definedName name="물탱크5500노무비">[3]중기사용료산출근거!$G$159</definedName>
    <definedName name="물탱크5500재료비">[3]중기사용료산출근거!$G$163</definedName>
    <definedName name="법원원천사">#REF!</definedName>
    <definedName name="보통인부">'[3]단가 및 재료비'!$AA$91</definedName>
    <definedName name="비_고">#REF!</definedName>
    <definedName name="사용인감">#REF!</definedName>
    <definedName name="사용인감계">#REF!</definedName>
    <definedName name="산__출__근__거">#REF!</definedName>
    <definedName name="설계표지">#REF!</definedName>
    <definedName name="수_량">#REF!</definedName>
    <definedName name="수량산출타이틀">#REF!</definedName>
    <definedName name="수량산출행">#REF!</definedName>
    <definedName name="유리알버드">'[3]단가 및 재료비'!$S$143</definedName>
    <definedName name="유압식백호우0.4경비">[3]중기사용료산출근거!$G$215</definedName>
    <definedName name="유압식백호우0.4노무비">[3]중기사용료산출근거!$G$219</definedName>
    <definedName name="유압식백호우0.4재료비">[3]중기사용료산출근거!$G$223</definedName>
    <definedName name="융착성도료청색">'[3]단가 및 재료비'!$S$215</definedName>
    <definedName name="준공계">#REF!</definedName>
    <definedName name="중유">'[3]단가 및 재료비'!$U$34</definedName>
    <definedName name="진동로울러자주식4.4경비">[3]중기사용료산출근거!#REF!</definedName>
    <definedName name="진동로울러자주식4.4노무비">[3]중기사용료산출근거!#REF!</definedName>
    <definedName name="진동로울러자주식4.4재료비">[3]중기사용료산출근거!#REF!</definedName>
    <definedName name="철선">'[3]단가 및 재료비'!$S$172</definedName>
    <definedName name="치즐">'[3]단가 및 재료비'!$U$39</definedName>
    <definedName name="콘크리트캇타320경비">[3]중기사용료산출근거!$G$245</definedName>
    <definedName name="콘크리트캇타320노무비">[3]중기사용료산출근거!$G$249</definedName>
    <definedName name="콘크리트캇타320재료비">[3]중기사용료산출근거!$G$253</definedName>
    <definedName name="터파기기계0.4경비">#REF!</definedName>
    <definedName name="터파기기계0.4노무비">#REF!</definedName>
    <definedName name="터파기기계0.4재료비">#REF!</definedName>
    <definedName name="특별인부">'[3]단가 및 재료비'!$AA$90</definedName>
    <definedName name="포설공">'[3]단가 및 재료비'!$AA$72</definedName>
    <definedName name="품_____명">#REF!</definedName>
    <definedName name="프라이드">'[3]단가 및 재료비'!$S$144</definedName>
    <definedName name="프로판가스">'[3]단가 및 재료비'!$S$145</definedName>
    <definedName name="하수암거" localSheetId="1" hidden="1">{#N/A,#N/A,FALSE,"포장단가"}</definedName>
    <definedName name="하수암거" hidden="1">{#N/A,#N/A,FALSE,"포장단가"}</definedName>
    <definedName name="합판">'[3]단가 및 재료비'!$S$170</definedName>
    <definedName name="형틀목공">'[3]단가 및 재료비'!$AA$51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65" l="1"/>
  <c r="H6" i="65" s="1"/>
  <c r="H9" i="38"/>
  <c r="H7" i="65"/>
  <c r="H8" i="65"/>
  <c r="H9" i="65"/>
  <c r="H9" i="64"/>
  <c r="H8" i="64"/>
  <c r="H7" i="64"/>
  <c r="H6" i="64"/>
  <c r="H8" i="38"/>
  <c r="H7" i="38"/>
  <c r="H6" i="38"/>
  <c r="F7" i="65"/>
  <c r="F8" i="65"/>
  <c r="F9" i="65"/>
  <c r="A10" i="60" l="1"/>
  <c r="H19" i="73"/>
  <c r="G19" i="73"/>
  <c r="H18" i="73"/>
  <c r="G18" i="73"/>
  <c r="I18" i="73" s="1"/>
  <c r="H17" i="73"/>
  <c r="G17" i="73"/>
  <c r="H16" i="73"/>
  <c r="G16" i="73"/>
  <c r="G15" i="73"/>
  <c r="H14" i="73"/>
  <c r="G14" i="73"/>
  <c r="I19" i="73" l="1"/>
  <c r="I17" i="73"/>
  <c r="J17" i="73" s="1"/>
  <c r="I16" i="73"/>
  <c r="I14" i="73"/>
  <c r="J14" i="73"/>
  <c r="J16" i="73"/>
  <c r="J18" i="73"/>
  <c r="J19" i="73"/>
  <c r="H15" i="73"/>
  <c r="I15" i="73" l="1"/>
  <c r="J15" i="73" s="1"/>
  <c r="H9" i="73" l="1"/>
  <c r="G9" i="73"/>
  <c r="I9" i="73" s="1"/>
  <c r="H8" i="73"/>
  <c r="G8" i="73"/>
  <c r="H7" i="73"/>
  <c r="G7" i="73"/>
  <c r="H6" i="73"/>
  <c r="G6" i="73"/>
  <c r="I6" i="73" s="1"/>
  <c r="J6" i="73" s="1"/>
  <c r="G5" i="73"/>
  <c r="E5" i="73"/>
  <c r="G4" i="73"/>
  <c r="I7" i="73" l="1"/>
  <c r="I8" i="73"/>
  <c r="J8" i="73" s="1"/>
  <c r="J7" i="73"/>
  <c r="J9" i="73"/>
  <c r="H5" i="73"/>
  <c r="I5" i="73" s="1"/>
  <c r="J5" i="73" l="1"/>
  <c r="F8" i="72" l="1"/>
  <c r="F7" i="72" l="1"/>
  <c r="F6" i="72"/>
  <c r="F5" i="72"/>
  <c r="F4" i="72"/>
  <c r="F3" i="72"/>
  <c r="F2" i="72"/>
  <c r="F9" i="72" s="1"/>
  <c r="F20" i="70" l="1"/>
  <c r="E20" i="70"/>
  <c r="D20" i="70"/>
  <c r="F15" i="70" l="1"/>
  <c r="E15" i="70"/>
  <c r="D15" i="70"/>
  <c r="A18" i="60" l="1"/>
  <c r="E8" i="45"/>
  <c r="F10" i="70"/>
  <c r="E10" i="70"/>
  <c r="D10" i="70"/>
  <c r="D4" i="70" l="1"/>
  <c r="E4" i="70"/>
  <c r="F4" i="70"/>
  <c r="V21" i="45" l="1"/>
  <c r="O21" i="45" s="1"/>
  <c r="J14" i="45"/>
  <c r="H4" i="73" l="1"/>
  <c r="I4" i="73" l="1"/>
  <c r="J4" i="73" s="1"/>
</calcChain>
</file>

<file path=xl/sharedStrings.xml><?xml version="1.0" encoding="utf-8"?>
<sst xmlns="http://schemas.openxmlformats.org/spreadsheetml/2006/main" count="478" uniqueCount="285">
  <si>
    <t>직접경비</t>
    <phoneticPr fontId="67" type="noConversion"/>
  </si>
  <si>
    <t>기 술 료</t>
    <phoneticPr fontId="67" type="noConversion"/>
  </si>
  <si>
    <t>노임단가</t>
    <phoneticPr fontId="4" type="noConversion"/>
  </si>
  <si>
    <t>비 고</t>
    <phoneticPr fontId="4" type="noConversion"/>
  </si>
  <si>
    <t>직접인건비</t>
    <phoneticPr fontId="67" type="noConversion"/>
  </si>
  <si>
    <t>NO</t>
    <phoneticPr fontId="4" type="noConversion"/>
  </si>
  <si>
    <t>항 목</t>
    <phoneticPr fontId="67" type="noConversion"/>
  </si>
  <si>
    <t>소  계</t>
    <phoneticPr fontId="67" type="noConversion"/>
  </si>
  <si>
    <t>1)</t>
    <phoneticPr fontId="4" type="noConversion"/>
  </si>
  <si>
    <t>2)</t>
    <phoneticPr fontId="4" type="noConversion"/>
  </si>
  <si>
    <t>3)</t>
    <phoneticPr fontId="4" type="noConversion"/>
  </si>
  <si>
    <t>4)</t>
    <phoneticPr fontId="4" type="noConversion"/>
  </si>
  <si>
    <t>5)</t>
    <phoneticPr fontId="4" type="noConversion"/>
  </si>
  <si>
    <t>6)</t>
    <phoneticPr fontId="4" type="noConversion"/>
  </si>
  <si>
    <t>제 경 비</t>
    <phoneticPr fontId="67" type="noConversion"/>
  </si>
  <si>
    <t>20~40%</t>
    <phoneticPr fontId="4" type="noConversion"/>
  </si>
  <si>
    <t>연면적(㎡)</t>
    <phoneticPr fontId="4" type="noConversion"/>
  </si>
  <si>
    <t>110~120%</t>
    <phoneticPr fontId="4" type="noConversion"/>
  </si>
  <si>
    <t>종  목</t>
    <phoneticPr fontId="95" type="noConversion"/>
  </si>
  <si>
    <t>일금</t>
    <phoneticPr fontId="95" type="noConversion"/>
  </si>
  <si>
    <t>원정</t>
    <phoneticPr fontId="95" type="noConversion"/>
  </si>
  <si>
    <t>(</t>
    <phoneticPr fontId="95" type="noConversion"/>
  </si>
  <si>
    <t>구  분</t>
    <phoneticPr fontId="95" type="noConversion"/>
  </si>
  <si>
    <t>금   액</t>
    <phoneticPr fontId="95" type="noConversion"/>
  </si>
  <si>
    <t>상     호</t>
    <phoneticPr fontId="95" type="noConversion"/>
  </si>
  <si>
    <t>대   표</t>
    <phoneticPr fontId="95" type="noConversion"/>
  </si>
  <si>
    <t>소 재 지</t>
    <phoneticPr fontId="95" type="noConversion"/>
  </si>
  <si>
    <t>업    태</t>
    <phoneticPr fontId="95" type="noConversion"/>
  </si>
  <si>
    <t>서비스업</t>
    <phoneticPr fontId="95" type="noConversion"/>
  </si>
  <si>
    <t>공
급
자</t>
    <phoneticPr fontId="95" type="noConversion"/>
  </si>
  <si>
    <t xml:space="preserve"> </t>
    <phoneticPr fontId="95" type="noConversion"/>
  </si>
  <si>
    <t>)</t>
    <phoneticPr fontId="95" type="noConversion"/>
  </si>
  <si>
    <t>No.</t>
    <phoneticPr fontId="95" type="noConversion"/>
  </si>
  <si>
    <t>단   위</t>
    <phoneticPr fontId="95" type="noConversion"/>
  </si>
  <si>
    <t>수   량</t>
    <phoneticPr fontId="95" type="noConversion"/>
  </si>
  <si>
    <t>합 계</t>
    <phoneticPr fontId="95" type="noConversion"/>
  </si>
  <si>
    <t>수  량</t>
    <phoneticPr fontId="4" type="noConversion"/>
  </si>
  <si>
    <t>직접인건비</t>
    <phoneticPr fontId="4" type="noConversion"/>
  </si>
  <si>
    <t>비 고</t>
    <phoneticPr fontId="95" type="noConversion"/>
  </si>
  <si>
    <t>견      적      서</t>
    <phoneticPr fontId="4" type="noConversion"/>
  </si>
  <si>
    <t>금   액 (원)</t>
    <phoneticPr fontId="4" type="noConversion"/>
  </si>
  <si>
    <t>단  위</t>
    <phoneticPr fontId="4" type="noConversion"/>
  </si>
  <si>
    <t>인</t>
    <phoneticPr fontId="4" type="noConversion"/>
  </si>
  <si>
    <t>인</t>
    <phoneticPr fontId="4" type="noConversion"/>
  </si>
  <si>
    <t>식</t>
    <phoneticPr fontId="4" type="noConversion"/>
  </si>
  <si>
    <t>식</t>
    <phoneticPr fontId="4" type="noConversion"/>
  </si>
  <si>
    <t xml:space="preserve"> 직접인건비의</t>
    <phoneticPr fontId="4" type="noConversion"/>
  </si>
  <si>
    <t>1. 성 능 점 검</t>
    <phoneticPr fontId="4" type="noConversion"/>
  </si>
  <si>
    <t xml:space="preserve">견적유효기간 : </t>
    <phoneticPr fontId="95" type="noConversion"/>
  </si>
  <si>
    <t xml:space="preserve"> </t>
    <phoneticPr fontId="95" type="noConversion"/>
  </si>
  <si>
    <t>담 당 자</t>
    <phoneticPr fontId="95" type="noConversion"/>
  </si>
  <si>
    <t>전화번호</t>
    <phoneticPr fontId="95" type="noConversion"/>
  </si>
  <si>
    <t xml:space="preserve"> 직접인건비의</t>
  </si>
  <si>
    <t>인</t>
  </si>
  <si>
    <t>2. 유 지 점 검</t>
    <phoneticPr fontId="4" type="noConversion"/>
  </si>
  <si>
    <t>연면적</t>
    <phoneticPr fontId="95" type="noConversion"/>
  </si>
  <si>
    <t>㎡</t>
    <phoneticPr fontId="95" type="noConversion"/>
  </si>
  <si>
    <t>5,000이상 ~ 10,000미만</t>
    <phoneticPr fontId="4" type="noConversion"/>
  </si>
  <si>
    <t>10,000이상 ~ 15,000미만</t>
    <phoneticPr fontId="4" type="noConversion"/>
  </si>
  <si>
    <t>여비,차량운행비
현장소요경비 등</t>
    <phoneticPr fontId="4" type="noConversion"/>
  </si>
  <si>
    <t>직접인건비 합계</t>
  </si>
  <si>
    <t>직접인건비 합계</t>
    <phoneticPr fontId="4" type="noConversion"/>
  </si>
  <si>
    <t>합 계 금 액</t>
    <phoneticPr fontId="67" type="noConversion"/>
  </si>
  <si>
    <t xml:space="preserve"> 직접인건비+제경비의</t>
    <phoneticPr fontId="67" type="noConversion"/>
  </si>
  <si>
    <t>소계</t>
    <phoneticPr fontId="4" type="noConversion"/>
  </si>
  <si>
    <t>(1+2+3+4)</t>
    <phoneticPr fontId="4" type="noConversion"/>
  </si>
  <si>
    <t>㈜우경정보통신</t>
    <phoneticPr fontId="95" type="noConversion"/>
  </si>
  <si>
    <t>박진철</t>
    <phoneticPr fontId="95" type="noConversion"/>
  </si>
  <si>
    <t>경기도 용인시 기흥구 죽현로8-22 휴먼타워301호</t>
    <phoneticPr fontId="95" type="noConversion"/>
  </si>
  <si>
    <t>정보통신설비 성능점검 외</t>
    <phoneticPr fontId="95" type="noConversion"/>
  </si>
  <si>
    <t>(정보통신설비성능점검/정보통신설비유지관리자위탁선임/기계설비성능점검업/기계설비 유지관리 점검대행
 소방안전관리 업무대행업/종합정밀, 작동기능점검전문/소방시설공사 외/전기안전관리대행/전기 직무고시/긴급전기사고 복구공사)</t>
    <phoneticPr fontId="95" type="noConversion"/>
  </si>
  <si>
    <t>합계금액 (부가세별도)</t>
    <phoneticPr fontId="95" type="noConversion"/>
  </si>
  <si>
    <t>사업자번호</t>
    <phoneticPr fontId="95" type="noConversion"/>
  </si>
  <si>
    <t>615-87-03488</t>
    <phoneticPr fontId="4" type="noConversion"/>
  </si>
  <si>
    <t xml:space="preserve">일  자 : </t>
    <phoneticPr fontId="4" type="noConversion"/>
  </si>
  <si>
    <t xml:space="preserve">고객명 : </t>
    <phoneticPr fontId="95" type="noConversion"/>
  </si>
  <si>
    <t xml:space="preserve">견적명 : </t>
    <phoneticPr fontId="95" type="noConversion"/>
  </si>
  <si>
    <t>1.  대    상    물</t>
    <phoneticPr fontId="95" type="noConversion"/>
  </si>
  <si>
    <t>2.  주          소</t>
    <phoneticPr fontId="95" type="noConversion"/>
  </si>
  <si>
    <t>조정금액</t>
    <phoneticPr fontId="4" type="noConversion"/>
  </si>
  <si>
    <t>등급</t>
    <phoneticPr fontId="4" type="noConversion"/>
  </si>
  <si>
    <t>6)</t>
  </si>
  <si>
    <t>7)</t>
    <phoneticPr fontId="4" type="noConversion"/>
  </si>
  <si>
    <t>조정금액</t>
  </si>
  <si>
    <t>선임위탁 비용</t>
    <phoneticPr fontId="4" type="noConversion"/>
  </si>
  <si>
    <t>월</t>
    <phoneticPr fontId="4" type="noConversion"/>
  </si>
  <si>
    <t>통합 견적금액</t>
    <phoneticPr fontId="4" type="noConversion"/>
  </si>
  <si>
    <t>년간</t>
    <phoneticPr fontId="4" type="noConversion"/>
  </si>
  <si>
    <t>합계</t>
    <phoneticPr fontId="4" type="noConversion"/>
  </si>
  <si>
    <t>유지, 성능 점검 합계</t>
    <phoneticPr fontId="4" type="noConversion"/>
  </si>
  <si>
    <t>유지관리자 비상주 위탁선임[12개월]</t>
    <phoneticPr fontId="4" type="noConversion"/>
  </si>
  <si>
    <t>식</t>
    <phoneticPr fontId="95" type="noConversion"/>
  </si>
  <si>
    <t>하한값</t>
    <phoneticPr fontId="4" type="noConversion"/>
  </si>
  <si>
    <t>정보통신설비 성능점검[년 1회]</t>
    <phoneticPr fontId="95" type="noConversion"/>
  </si>
  <si>
    <t>정보통신설비 유지점검[년 2회]</t>
    <phoneticPr fontId="95" type="noConversion"/>
  </si>
  <si>
    <t>최종 견적금액 [년]</t>
    <phoneticPr fontId="95" type="noConversion"/>
  </si>
  <si>
    <t>초급</t>
    <phoneticPr fontId="4" type="noConversion"/>
  </si>
  <si>
    <t>중급</t>
    <phoneticPr fontId="4" type="noConversion"/>
  </si>
  <si>
    <t>고급</t>
    <phoneticPr fontId="4" type="noConversion"/>
  </si>
  <si>
    <t>특급</t>
    <phoneticPr fontId="4" type="noConversion"/>
  </si>
  <si>
    <t>고급</t>
  </si>
  <si>
    <t>특급</t>
  </si>
  <si>
    <t>구분</t>
    <phoneticPr fontId="4" type="noConversion"/>
  </si>
  <si>
    <t>공장</t>
    <phoneticPr fontId="4" type="noConversion"/>
  </si>
  <si>
    <t>견   적   서</t>
    <phoneticPr fontId="4" type="noConversion"/>
  </si>
  <si>
    <t>견적명 : 정보통신설비 유지보수관리 업무 위탁</t>
    <phoneticPr fontId="4" type="noConversion"/>
  </si>
  <si>
    <t>주식회사 우경정보통신</t>
    <phoneticPr fontId="4" type="noConversion"/>
  </si>
  <si>
    <t>1회</t>
    <phoneticPr fontId="4" type="noConversion"/>
  </si>
  <si>
    <t>월 견적금액 [12개월 분할 결재 시]</t>
    <phoneticPr fontId="95" type="noConversion"/>
  </si>
  <si>
    <t>60일</t>
    <phoneticPr fontId="4" type="noConversion"/>
  </si>
  <si>
    <t>아래와 같이 견적합니다.</t>
    <phoneticPr fontId="4" type="noConversion"/>
  </si>
  <si>
    <t>중급</t>
  </si>
  <si>
    <t>초급</t>
  </si>
  <si>
    <t>정보통신기술자</t>
  </si>
  <si>
    <t>정보통신기술자</t>
    <phoneticPr fontId="67" type="noConversion"/>
  </si>
  <si>
    <t>3. 유지관리자 선임</t>
    <phoneticPr fontId="4" type="noConversion"/>
  </si>
  <si>
    <t>투입인원</t>
    <phoneticPr fontId="4" type="noConversion"/>
  </si>
  <si>
    <t>성능점검 수수료 산출 내역서</t>
    <phoneticPr fontId="67" type="noConversion"/>
  </si>
  <si>
    <t>관리방식</t>
    <phoneticPr fontId="4" type="noConversion"/>
  </si>
  <si>
    <t>점검주기</t>
    <phoneticPr fontId="4" type="noConversion"/>
  </si>
  <si>
    <t>점검사항</t>
    <phoneticPr fontId="4" type="noConversion"/>
  </si>
  <si>
    <t>보존기간</t>
    <phoneticPr fontId="4" type="noConversion"/>
  </si>
  <si>
    <t>성능점검</t>
    <phoneticPr fontId="4" type="noConversion"/>
  </si>
  <si>
    <t>매년 1회 이상</t>
    <phoneticPr fontId="4" type="noConversion"/>
  </si>
  <si>
    <t>1. 정보통신설비 성능점검표 기록 및 보존</t>
    <phoneticPr fontId="4" type="noConversion"/>
  </si>
  <si>
    <t>2. 정보통신설비 성능점검표 지차체 제출</t>
    <phoneticPr fontId="4" type="noConversion"/>
  </si>
  <si>
    <t>5년</t>
    <phoneticPr fontId="4" type="noConversion"/>
  </si>
  <si>
    <t>[견적 산출 조건]</t>
    <phoneticPr fontId="4" type="noConversion"/>
  </si>
  <si>
    <t>관리주체가 성능점검을 직접 실시하는 경우, 규칙 별표1의 유지보수, 관리자
선임기준을 준용하여 연면적 규모에 적합하게 고용하여 성능점검 실시
※ 공사업자, 용역업자에게 점검대행 가능</t>
    <phoneticPr fontId="4" type="noConversion"/>
  </si>
  <si>
    <t>2. 성능점검 의무사항</t>
    <phoneticPr fontId="4" type="noConversion"/>
  </si>
  <si>
    <t>유지점검 수수료 산출 내역서</t>
    <phoneticPr fontId="67" type="noConversion"/>
  </si>
  <si>
    <t>관리주체는 건축물 규모별 선임기준에 맞춰 관리자 선임
※ 정보통신 공사업자에게 위탁 가능</t>
    <phoneticPr fontId="4" type="noConversion"/>
  </si>
  <si>
    <t>반기별 1회 이상</t>
    <phoneticPr fontId="4" type="noConversion"/>
  </si>
  <si>
    <t>1. 설비의 외관, 기능 및 안전상태를 매년 주기적으로 점검 실시</t>
    <phoneticPr fontId="4" type="noConversion"/>
  </si>
  <si>
    <t>2. 점검결과를 반기별 1회 이상 정보통신설비 유지보수 관리 점검표에 기록</t>
    <phoneticPr fontId="4" type="noConversion"/>
  </si>
  <si>
    <t>해당 없음</t>
    <phoneticPr fontId="4" type="noConversion"/>
  </si>
  <si>
    <t>기간[월]</t>
    <phoneticPr fontId="4" type="noConversion"/>
  </si>
  <si>
    <t>연면적 6만[㎡] 이상 건축물</t>
    <phoneticPr fontId="4" type="noConversion"/>
  </si>
  <si>
    <t>연면적 3만[㎡] 이상 ~ 6만[㎡] 미만 건축물</t>
    <phoneticPr fontId="4" type="noConversion"/>
  </si>
  <si>
    <t>연면적 1만5천[㎡] 이상 ~ 3만[㎡] 미만 건축물</t>
    <phoneticPr fontId="4" type="noConversion"/>
  </si>
  <si>
    <t>선임자격</t>
    <phoneticPr fontId="4" type="noConversion"/>
  </si>
  <si>
    <t>특급기술자</t>
    <phoneticPr fontId="4" type="noConversion"/>
  </si>
  <si>
    <t>고급기술자 이상</t>
    <phoneticPr fontId="4" type="noConversion"/>
  </si>
  <si>
    <t>중급기술자 이상</t>
    <phoneticPr fontId="4" type="noConversion"/>
  </si>
  <si>
    <t>초급기술자 이상</t>
    <phoneticPr fontId="4" type="noConversion"/>
  </si>
  <si>
    <t>선임인원</t>
    <phoneticPr fontId="4" type="noConversion"/>
  </si>
  <si>
    <t>1명</t>
    <phoneticPr fontId="4" type="noConversion"/>
  </si>
  <si>
    <t>연면적 1만[㎡] 이상 ~ 1만5천[㎡] 미만 건축물</t>
    <phoneticPr fontId="4" type="noConversion"/>
  </si>
  <si>
    <t>※ 연면적 5천 제곱 미터 이상의 건축물</t>
    <phoneticPr fontId="4" type="noConversion"/>
  </si>
  <si>
    <t xml:space="preserve">   [공동주택 및 학교시설(초,중,고등학교 및 특수학교) 제외</t>
    <phoneticPr fontId="4" type="noConversion"/>
  </si>
  <si>
    <t>유지관리자 선임(비상주) 위탁 수수료 산출 내역서</t>
    <phoneticPr fontId="67" type="noConversion"/>
  </si>
  <si>
    <t>정보통신설비 유지보수관리</t>
    <phoneticPr fontId="4" type="noConversion"/>
  </si>
  <si>
    <t>관리주체
[정보통신설비 소유자 또는 관리자]</t>
    <phoneticPr fontId="4" type="noConversion"/>
  </si>
  <si>
    <t>유지보수관리 자료 구비</t>
    <phoneticPr fontId="4" type="noConversion"/>
  </si>
  <si>
    <t>자체관리</t>
    <phoneticPr fontId="4" type="noConversion"/>
  </si>
  <si>
    <t>유지보수 관리자
선임</t>
    <phoneticPr fontId="4" type="noConversion"/>
  </si>
  <si>
    <t>관리위탁</t>
    <phoneticPr fontId="4" type="noConversion"/>
  </si>
  <si>
    <t>공사업자</t>
    <phoneticPr fontId="4" type="noConversion"/>
  </si>
  <si>
    <t>지자체에 선,해임 신고</t>
    <phoneticPr fontId="4" type="noConversion"/>
  </si>
  <si>
    <t>유지보수관리 및 성능점검 계획 수립
(최초 점검 실시전)</t>
    <phoneticPr fontId="4" type="noConversion"/>
  </si>
  <si>
    <t>(정보통신설비 유지보수관리기준 제7조)</t>
    <phoneticPr fontId="4" type="noConversion"/>
  </si>
  <si>
    <t>정보통신설비 유지보수관리 실시
반기별 1회 이상 기록</t>
    <phoneticPr fontId="4" type="noConversion"/>
  </si>
  <si>
    <t>(정보통신설비 유지보수관리기준 제8조)</t>
    <phoneticPr fontId="4" type="noConversion"/>
  </si>
  <si>
    <t>(정보통신설비 유지보수관리기준 제6조)</t>
    <phoneticPr fontId="4" type="noConversion"/>
  </si>
  <si>
    <t>성능점검 자료 구비</t>
    <phoneticPr fontId="4" type="noConversion"/>
  </si>
  <si>
    <t>정보통신설비 성능점검</t>
    <phoneticPr fontId="4" type="noConversion"/>
  </si>
  <si>
    <t>자체점검</t>
    <phoneticPr fontId="4" type="noConversion"/>
  </si>
  <si>
    <t>선임기준에
적합하게 고용</t>
    <phoneticPr fontId="4" type="noConversion"/>
  </si>
  <si>
    <t>(정보통신공사업법 시행규칙 별표)</t>
    <phoneticPr fontId="4" type="noConversion"/>
  </si>
  <si>
    <t>점검대행</t>
    <phoneticPr fontId="4" type="noConversion"/>
  </si>
  <si>
    <t>공사업자
또는
용역업자</t>
    <phoneticPr fontId="4" type="noConversion"/>
  </si>
  <si>
    <t>성능점검 계획 수립
(최초 점검 실시전)</t>
    <phoneticPr fontId="4" type="noConversion"/>
  </si>
  <si>
    <t>(정보통신설비 유지보수관리기준 제10조 제4항)</t>
    <phoneticPr fontId="4" type="noConversion"/>
  </si>
  <si>
    <t>정보통신설비 성능점검 실시(매년 1회 이상)</t>
    <phoneticPr fontId="4" type="noConversion"/>
  </si>
  <si>
    <t>정보통신설비 성능점검표 기록 및 보존</t>
    <phoneticPr fontId="4" type="noConversion"/>
  </si>
  <si>
    <t>(정보통신설비 유지보수관리기준 제10조 제1항)</t>
    <phoneticPr fontId="4" type="noConversion"/>
  </si>
  <si>
    <t>성능점검표 제출 요청 시 제출</t>
    <phoneticPr fontId="4" type="noConversion"/>
  </si>
  <si>
    <t>(정보통신설비 유지보수관리기준 제10조 제5항)</t>
    <phoneticPr fontId="4" type="noConversion"/>
  </si>
  <si>
    <t>※ 시·군·구청장 요청시</t>
    <phoneticPr fontId="4" type="noConversion"/>
  </si>
  <si>
    <t>정보통신설비 유지보수·관리 업무처리 절차</t>
    <phoneticPr fontId="67" type="noConversion"/>
  </si>
  <si>
    <t>[본       사] : 경기도 용인시 기흥구 죽현로 8-22, 301호(보정동, 휴먼타워)</t>
    <phoneticPr fontId="4" type="noConversion"/>
  </si>
  <si>
    <t>[북부 지사] : 경기도 의정부시 오목로 225번길 161, 202호 (마운틴프라자)</t>
    <phoneticPr fontId="4" type="noConversion"/>
  </si>
  <si>
    <t>[부천 지사] : 경기도 부천시 길주로 125, 303호 (다승프라자)</t>
    <phoneticPr fontId="4" type="noConversion"/>
  </si>
  <si>
    <t>T. 031-8009-0084</t>
    <phoneticPr fontId="4" type="noConversion"/>
  </si>
  <si>
    <t>FAX. 031-263-1537</t>
    <phoneticPr fontId="4" type="noConversion"/>
  </si>
  <si>
    <t>E-mail. wkict@naver.com</t>
    <phoneticPr fontId="4" type="noConversion"/>
  </si>
  <si>
    <t>선임 유예 기한</t>
    <phoneticPr fontId="4" type="noConversion"/>
  </si>
  <si>
    <t>1. 관련 근거</t>
    <phoneticPr fontId="4" type="noConversion"/>
  </si>
  <si>
    <t>2. 유지보수·관리 의무사항</t>
    <phoneticPr fontId="4" type="noConversion"/>
  </si>
  <si>
    <t>유지보수·관리</t>
    <phoneticPr fontId="4" type="noConversion"/>
  </si>
  <si>
    <r>
      <rPr>
        <sz val="10"/>
        <color theme="3"/>
        <rFont val="Harmony L"/>
        <family val="3"/>
        <charset val="129"/>
      </rPr>
      <t>●</t>
    </r>
    <r>
      <rPr>
        <sz val="10"/>
        <rFont val="Harmony L"/>
        <family val="3"/>
        <charset val="129"/>
      </rPr>
      <t xml:space="preserve"> 「정보통신공사업법」 제37조의 2~4, 제78조</t>
    </r>
    <phoneticPr fontId="4" type="noConversion"/>
  </si>
  <si>
    <r>
      <rPr>
        <sz val="10"/>
        <color theme="3"/>
        <rFont val="Harmony L"/>
        <family val="3"/>
        <charset val="129"/>
      </rPr>
      <t>●</t>
    </r>
    <r>
      <rPr>
        <sz val="10"/>
        <rFont val="Harmony L"/>
        <family val="3"/>
        <charset val="129"/>
      </rPr>
      <t xml:space="preserve"> 「정보통신공사업법 시행령」 제37조의 2~3, 제58조</t>
    </r>
    <phoneticPr fontId="4" type="noConversion"/>
  </si>
  <si>
    <r>
      <rPr>
        <sz val="10"/>
        <color theme="3"/>
        <rFont val="Harmony L"/>
        <family val="3"/>
        <charset val="129"/>
      </rPr>
      <t>●</t>
    </r>
    <r>
      <rPr>
        <sz val="10"/>
        <rFont val="Harmony L"/>
        <family val="3"/>
        <charset val="129"/>
      </rPr>
      <t xml:space="preserve"> 「정보통신공사업법 시행규칙」 제8조 ~ 제11조</t>
    </r>
    <phoneticPr fontId="4" type="noConversion"/>
  </si>
  <si>
    <r>
      <rPr>
        <sz val="10"/>
        <color theme="3"/>
        <rFont val="Harmony L"/>
        <family val="3"/>
        <charset val="129"/>
      </rPr>
      <t>●</t>
    </r>
    <r>
      <rPr>
        <sz val="10"/>
        <rFont val="Harmony L"/>
        <family val="3"/>
        <charset val="129"/>
      </rPr>
      <t xml:space="preserve"> 「정보통신설비 유지보수·관리기준」</t>
    </r>
    <phoneticPr fontId="4" type="noConversion"/>
  </si>
  <si>
    <t>2.유지보수·관리자 선임기준</t>
    <phoneticPr fontId="4" type="noConversion"/>
  </si>
  <si>
    <t>유지보수·관리 및 성능점검 대상</t>
    <phoneticPr fontId="4" type="noConversion"/>
  </si>
  <si>
    <t>[성능점검, 유지보수관리점검, 유지관리자 선임(비상주)]</t>
    <phoneticPr fontId="4" type="noConversion"/>
  </si>
  <si>
    <t>5.  담    당    자</t>
    <phoneticPr fontId="95" type="noConversion"/>
  </si>
  <si>
    <t>4.  건  물  개  요</t>
    <phoneticPr fontId="95" type="noConversion"/>
  </si>
  <si>
    <t>3.  사 용 승 인 일</t>
    <phoneticPr fontId="95" type="noConversion"/>
  </si>
  <si>
    <t>6.  점  검  항  목</t>
    <phoneticPr fontId="95" type="noConversion"/>
  </si>
  <si>
    <t>연락처</t>
    <phoneticPr fontId="95" type="noConversion"/>
  </si>
  <si>
    <t>한경이엔지</t>
    <phoneticPr fontId="4" type="noConversion"/>
  </si>
  <si>
    <t>나인정보기술</t>
    <phoneticPr fontId="4" type="noConversion"/>
  </si>
  <si>
    <t>우경정보통신</t>
    <phoneticPr fontId="4" type="noConversion"/>
  </si>
  <si>
    <t>비고</t>
    <phoneticPr fontId="4" type="noConversion"/>
  </si>
  <si>
    <t>견적금액</t>
    <phoneticPr fontId="4" type="noConversion"/>
  </si>
  <si>
    <t>부가세별도</t>
    <phoneticPr fontId="4" type="noConversion"/>
  </si>
  <si>
    <t>▣ 미사강변오벨리스크 정보통신설비 유지보수관리 견적내역</t>
    <phoneticPr fontId="4" type="noConversion"/>
  </si>
  <si>
    <t>▣ 효성해링턴더퍼스트 정보통신설비 유지보수관리 견적내역</t>
    <phoneticPr fontId="4" type="noConversion"/>
  </si>
  <si>
    <t>결제 방식은
협의 가능</t>
    <phoneticPr fontId="4" type="noConversion"/>
  </si>
  <si>
    <t>▣ 동탄레이크원 정보통신설비 유지보수관리 견적내역</t>
    <phoneticPr fontId="4" type="noConversion"/>
  </si>
  <si>
    <t>정보통신 유지보수관리 업무 위탁</t>
    <phoneticPr fontId="95" type="noConversion"/>
  </si>
  <si>
    <t>▣ 동작 협성휴포레시그니처 정보통신설비 유지보수관리 견적내역</t>
    <phoneticPr fontId="4" type="noConversion"/>
  </si>
  <si>
    <t>SK실트론 정보통신설비 유지보수관리 대상처 및 견적 내역</t>
    <phoneticPr fontId="4" type="noConversion"/>
  </si>
  <si>
    <t>대상처명</t>
    <phoneticPr fontId="4" type="noConversion"/>
  </si>
  <si>
    <t>LS전선 동해공장</t>
    <phoneticPr fontId="4" type="noConversion"/>
  </si>
  <si>
    <t>LS전선 구미공장</t>
    <phoneticPr fontId="4" type="noConversion"/>
  </si>
  <si>
    <t>LS전선 안동공장</t>
    <phoneticPr fontId="4" type="noConversion"/>
  </si>
  <si>
    <t>LS전선 군포연구소</t>
    <phoneticPr fontId="4" type="noConversion"/>
  </si>
  <si>
    <t>SK온 본사</t>
    <phoneticPr fontId="4" type="noConversion"/>
  </si>
  <si>
    <t>SK온 서산공장</t>
    <phoneticPr fontId="4" type="noConversion"/>
  </si>
  <si>
    <t>SK바이오사이언스 안동공장</t>
    <phoneticPr fontId="4" type="noConversion"/>
  </si>
  <si>
    <t>주소</t>
    <phoneticPr fontId="4" type="noConversion"/>
  </si>
  <si>
    <t>강원도 동해시 대동로 215</t>
    <phoneticPr fontId="4" type="noConversion"/>
  </si>
  <si>
    <t>경상북도 구미시 수출대로 228</t>
    <phoneticPr fontId="4" type="noConversion"/>
  </si>
  <si>
    <t>경상북도 구미시 3공단2로 238</t>
    <phoneticPr fontId="4" type="noConversion"/>
  </si>
  <si>
    <t>경기도 군포시 공단로 140번길 27</t>
    <phoneticPr fontId="4" type="noConversion"/>
  </si>
  <si>
    <t>충청남도 서산시 무장산업로 59-122</t>
    <phoneticPr fontId="4" type="noConversion"/>
  </si>
  <si>
    <t>서울특별시 종로구 인사동7길 32</t>
    <phoneticPr fontId="4" type="noConversion"/>
  </si>
  <si>
    <t>경상북도 안동시 풍산읍 산업단지길 150</t>
    <phoneticPr fontId="4" type="noConversion"/>
  </si>
  <si>
    <t>건축물 용도</t>
    <phoneticPr fontId="4" type="noConversion"/>
  </si>
  <si>
    <t>사용승인일</t>
    <phoneticPr fontId="4" type="noConversion"/>
  </si>
  <si>
    <t>연면적[㎡]</t>
    <phoneticPr fontId="4" type="noConversion"/>
  </si>
  <si>
    <t>[  견적 산출 근거 및 참고 사항  ]</t>
    <phoneticPr fontId="95" type="noConversion"/>
  </si>
  <si>
    <t>군산1공장</t>
  </si>
  <si>
    <t>전북 군산시 외항로 82</t>
  </si>
  <si>
    <t>군산2공장</t>
  </si>
  <si>
    <t>전북 군산시 임해로 423</t>
  </si>
  <si>
    <t>포항공장</t>
  </si>
  <si>
    <t>경북 포항시 남구 청림서길 54</t>
  </si>
  <si>
    <t>괴동공장</t>
  </si>
  <si>
    <t>경북 포항시 남구 대송로101번길 66</t>
  </si>
  <si>
    <t>광양공장</t>
  </si>
  <si>
    <t>전남 광양시 산업로 109</t>
  </si>
  <si>
    <t>익산공장</t>
  </si>
  <si>
    <t>전북 익산시 보석로4길 107</t>
  </si>
  <si>
    <t>경기 성남시 중원구 사기막골로62번길 61</t>
  </si>
  <si>
    <t>오씨아이 중앙연구소</t>
    <phoneticPr fontId="4" type="noConversion"/>
  </si>
  <si>
    <t>순분</t>
    <phoneticPr fontId="4" type="noConversion"/>
  </si>
  <si>
    <t>연면적</t>
    <phoneticPr fontId="4" type="noConversion"/>
  </si>
  <si>
    <t>월 분납금액</t>
    <phoneticPr fontId="4" type="noConversion"/>
  </si>
  <si>
    <t>□ 정보통신공사업법 제37조의 2~4</t>
    <phoneticPr fontId="95" type="noConversion"/>
  </si>
  <si>
    <t>□ 정보통신공사업법 시행규칙 제8조~제11조</t>
    <phoneticPr fontId="4" type="noConversion"/>
  </si>
  <si>
    <t>□ 정보통신설비 유지보수·관리기준</t>
    <phoneticPr fontId="4" type="noConversion"/>
  </si>
  <si>
    <t>□ 정보통신공사업법 시행령 제37조의 2~3</t>
    <phoneticPr fontId="95" type="noConversion"/>
  </si>
  <si>
    <t>■ 견적금액 조정에 따른 기술인력 투입인원은 조정 될 수 있습니다.</t>
    <phoneticPr fontId="4" type="noConversion"/>
  </si>
  <si>
    <t>■ 반기 유지관리 점검과 성능점검은 동시에 진행 할 수 있습니다.</t>
    <phoneticPr fontId="4" type="noConversion"/>
  </si>
  <si>
    <t>30,000이상 ~ 60,000미만</t>
    <phoneticPr fontId="4" type="noConversion"/>
  </si>
  <si>
    <t>60,000이상 ~ 150,000미만</t>
    <phoneticPr fontId="4" type="noConversion"/>
  </si>
  <si>
    <t>150,000이상</t>
    <phoneticPr fontId="4" type="noConversion"/>
  </si>
  <si>
    <t>유지점검
인력</t>
    <phoneticPr fontId="4" type="noConversion"/>
  </si>
  <si>
    <t>성능점검
인력</t>
    <phoneticPr fontId="4" type="noConversion"/>
  </si>
  <si>
    <t>15,000이상 ~ 30,000미만</t>
    <phoneticPr fontId="4" type="noConversion"/>
  </si>
  <si>
    <t>식</t>
  </si>
  <si>
    <t>■ 장기계약 및 전기, 기계, 소방 통합 계약 고객 할인 혜택을 적용</t>
    <phoneticPr fontId="4" type="noConversion"/>
  </si>
  <si>
    <t>연면적 5천[㎡] 이상 ~ 1만[㎡] 미만 건축물</t>
    <phoneticPr fontId="4" type="noConversion"/>
  </si>
  <si>
    <t>성능점검 1회, 유지보수관리점검 2회, 유지관리자 위탁 선임(비상주) 1년</t>
    <phoneticPr fontId="4" type="noConversion"/>
  </si>
  <si>
    <t>2회</t>
    <phoneticPr fontId="4" type="noConversion"/>
  </si>
  <si>
    <t>유지비용</t>
    <phoneticPr fontId="4" type="noConversion"/>
  </si>
  <si>
    <t>성능비용</t>
    <phoneticPr fontId="4" type="noConversion"/>
  </si>
  <si>
    <t>▣ 정보통신 견적 조건표_기본견적</t>
    <phoneticPr fontId="4" type="noConversion"/>
  </si>
  <si>
    <t>▣ 정보통신 견적 조건표_최저견적</t>
    <phoneticPr fontId="4" type="noConversion"/>
  </si>
  <si>
    <t>* 영업비 있는 경우 영업비 금액 반영하여 견적 산정 필요</t>
    <phoneticPr fontId="4" type="noConversion"/>
  </si>
  <si>
    <t>* 서울, 수도권 외 지역은 사업부와 금액 확인 필요</t>
    <phoneticPr fontId="4" type="noConversion"/>
  </si>
  <si>
    <t>* 견적 작성 시 연면적 확인 필수</t>
    <phoneticPr fontId="4" type="noConversion"/>
  </si>
  <si>
    <t>1. 사업자등록증 받기_선임용, 세금계산서용 구분</t>
    <phoneticPr fontId="4" type="noConversion"/>
  </si>
  <si>
    <t>★ 중요 ★ 계약 진행 시 확인사항</t>
    <phoneticPr fontId="4" type="noConversion"/>
  </si>
  <si>
    <t>2. 건축물대장과 다를 경우 단지개요 받기</t>
    <phoneticPr fontId="4" type="noConversion"/>
  </si>
  <si>
    <t>3. 세금계산서 발행 정보 받기 _ 향후 계약서 상 명시 예정</t>
    <phoneticPr fontId="4" type="noConversion"/>
  </si>
  <si>
    <t>4. 담당자 이름 / 전화번호 / 이메일주소 함께 전달 =&gt; 점검, 청구 문의 시 사용예정</t>
    <phoneticPr fontId="4" type="noConversion"/>
  </si>
  <si>
    <t>5. 계약서 상 계약일자 기입하기</t>
    <phoneticPr fontId="4" type="noConversion"/>
  </si>
  <si>
    <t xml:space="preserve">  (고객사 계약서 양식 사용 시 따로 받아둘것)</t>
    <phoneticPr fontId="4" type="noConversion"/>
  </si>
  <si>
    <t>6. 선임신고 시 추가 보완서류 요청 가능</t>
    <phoneticPr fontId="4" type="noConversion"/>
  </si>
  <si>
    <t xml:space="preserve">  (신탁명부, 관리단 부재에 대한 공문, 등기부등본 등)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</si>
</sst>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 * #,##0_ ;_ * \-#,##0_ ;_ * &quot;-&quot;_ ;_ @_ "/>
    <numFmt numFmtId="177" formatCode="_ * #,##0.00_ ;_ * \-#,##0.00_ ;_ * &quot;-&quot;??_ ;_ @_ "/>
    <numFmt numFmtId="178" formatCode="#,##0_);[Red]\(#,##0\)"/>
    <numFmt numFmtId="179" formatCode="#,##0.00_);[Red]\(#,##0.00\)"/>
    <numFmt numFmtId="180" formatCode="[DBNum4][$-412]General"/>
    <numFmt numFmtId="181" formatCode="_(* #,##0_);_(* \(#,##0\);_(* &quot;-&quot;_);_(@_)"/>
    <numFmt numFmtId="182" formatCode="0.000"/>
    <numFmt numFmtId="183" formatCode="&quot;₩&quot;\ \ #,##0\ &quot;원정&quot;;\-&quot;₩&quot;#,##0"/>
    <numFmt numFmtId="184" formatCode="0.000000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&quot;$&quot;#,##0.00;\-&quot;$&quot;#,##0.00"/>
    <numFmt numFmtId="188" formatCode="_(&quot;$&quot;* #,##0.00_);_(&quot;$&quot;* &quot;₩&quot;&quot;₩&quot;&quot;₩&quot;&quot;₩&quot;&quot;₩&quot;\(#,##0.00&quot;₩&quot;&quot;₩&quot;&quot;₩&quot;&quot;₩&quot;&quot;₩&quot;\);_(&quot;$&quot;* &quot;-&quot;??_);_(@_)"/>
    <numFmt numFmtId="189" formatCode="\$#.00"/>
    <numFmt numFmtId="190" formatCode="0%;[Red]\ \ &quot;-&quot;0%"/>
    <numFmt numFmtId="191" formatCode="&quot;₩&quot;#,##0.00;&quot;₩&quot;&quot;₩&quot;\-#,##0.00"/>
    <numFmt numFmtId="192" formatCode="m\o\n\th\ d\,\ yyyy"/>
    <numFmt numFmtId="193" formatCode="#,##0.000;[Red]&quot;-&quot;#,##0.000"/>
    <numFmt numFmtId="194" formatCode="_-&quot;?* #,##0.00_-;&quot;\&quot;&quot;₩&quot;&quot;₩&quot;&quot;₩&quot;\-&quot;?* #,##0.00_-;_-&quot;&quot;?&quot;* &quot;-&quot;??_-;_-@_-"/>
    <numFmt numFmtId="195" formatCode="#.00"/>
    <numFmt numFmtId="196" formatCode="#.#"/>
    <numFmt numFmtId="197" formatCode="#."/>
    <numFmt numFmtId="198" formatCode="#.##"/>
    <numFmt numFmtId="199" formatCode="General_)"/>
    <numFmt numFmtId="200" formatCode="#,##0&quot; $&quot;;\-#,##0&quot; $&quot;"/>
    <numFmt numFmtId="201" formatCode="%#.00"/>
    <numFmt numFmtId="202" formatCode="#,##0.0;[Red]&quot;-&quot;#,##0.0"/>
    <numFmt numFmtId="203" formatCode="0.0_)"/>
    <numFmt numFmtId="204" formatCode="\(&quot;₩&quot;#,##0\);[Red]\(\-&quot;₩&quot;#,##0\)"/>
    <numFmt numFmtId="205" formatCode="\(&quot;₩&quot;#,##0\);[Red]\(&quot;△&quot;&quot;₩&quot;#,##0\)"/>
    <numFmt numFmtId="206" formatCode="@\ &quot;주임&quot;"/>
    <numFmt numFmtId="207" formatCode="#,##0&quot;칸&quot;"/>
    <numFmt numFmtId="208" formatCode="#,##0;[Red]&quot;-&quot;#,##0"/>
    <numFmt numFmtId="209" formatCode="#,##0;&quot;-&quot;#,##0"/>
    <numFmt numFmtId="210" formatCode="000.000"/>
    <numFmt numFmtId="211" formatCode="_ * #,##0.0000_ ;_ * \-#,##0.0000_ ;_ * &quot;-&quot;_ ;_ @_ "/>
    <numFmt numFmtId="212" formatCode="0.00_ "/>
    <numFmt numFmtId="213" formatCode="#,##0\ ;[Red]&quot;-&quot;#,##0\ "/>
    <numFmt numFmtId="214" formatCode="* #,##0\ ;[Red]* &quot;-&quot;#,##0\ "/>
    <numFmt numFmtId="215" formatCode="#,##0.####;[Red]&quot;-&quot;#,##0.####"/>
    <numFmt numFmtId="216" formatCode="#,##0.0###\ ;[Red]&quot;-&quot;#,##0.0###\ "/>
    <numFmt numFmtId="217" formatCode="&quot;₩&quot;#,##0.00\ ;\(&quot;₩&quot;#,##0.00\)"/>
    <numFmt numFmtId="218" formatCode="&quot;₩&quot;#,##0;&quot;₩&quot;\-#,##0"/>
    <numFmt numFmtId="219" formatCode="0.0%"/>
    <numFmt numFmtId="220" formatCode="000\-000"/>
    <numFmt numFmtId="221" formatCode="0.00_)"/>
    <numFmt numFmtId="222" formatCode="_ * #,##0_ ;_ * &quot;₩&quot;&quot;₩&quot;&quot;₩&quot;&quot;₩&quot;&quot;₩&quot;&quot;₩&quot;\-#,##0_ ;_ * &quot;-&quot;_ ;_ @_ "/>
    <numFmt numFmtId="223" formatCode="#,##0.00;[Red]&quot;-&quot;#,##0.00"/>
    <numFmt numFmtId="224" formatCode="&quot;₩&quot;#,##0;[Red]&quot;₩&quot;\-#,##0"/>
    <numFmt numFmtId="225" formatCode="&quot;₩&quot;#,##0;[Red]&quot;₩&quot;&quot;₩&quot;\!\-#,##0"/>
    <numFmt numFmtId="226" formatCode="&quot;₩&quot;#,##0;&quot;₩&quot;&quot;₩&quot;&quot;₩&quot;&quot;₩&quot;&quot;₩&quot;&quot;₩&quot;&quot;₩&quot;&quot;₩&quot;\-#,##0"/>
    <numFmt numFmtId="227" formatCode="_ * #,##0.00_ ;_ * &quot;₩&quot;&quot;₩&quot;&quot;₩&quot;&quot;₩&quot;&quot;₩&quot;&quot;₩&quot;&quot;₩&quot;&quot;₩&quot;&quot;₩&quot;&quot;₩&quot;\-#,##0.00_ ;_ * &quot;-&quot;??_ ;_ @_ "/>
    <numFmt numFmtId="228" formatCode="#,###.0"/>
    <numFmt numFmtId="229" formatCode="#,##0_ "/>
    <numFmt numFmtId="230" formatCode="#,###\ &quot;m3&quot;"/>
    <numFmt numFmtId="231" formatCode="yyyy&quot;년&quot;\ m&quot;월&quot;\ d&quot;일&quot;;@"/>
    <numFmt numFmtId="232" formatCode="_-* #,##0.00_-;\-* #,##0.00_-;_-* &quot;-&quot;_-;_-@_-"/>
  </numFmts>
  <fonts count="17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Times New Roman"/>
      <family val="1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b/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굴림체"/>
      <family val="3"/>
      <charset val="129"/>
    </font>
    <font>
      <sz val="12"/>
      <name val="견명조"/>
      <family val="1"/>
      <charset val="129"/>
    </font>
    <font>
      <sz val="12"/>
      <name val="Arial"/>
      <family val="2"/>
    </font>
    <font>
      <sz val="9"/>
      <name val="굴림체"/>
      <family val="3"/>
      <charset val="129"/>
    </font>
    <font>
      <sz val="12"/>
      <name val="¹UAAA¼"/>
      <family val="3"/>
    </font>
    <font>
      <sz val="12"/>
      <name val="¹ÙÅÁÃ¼"/>
      <family val="1"/>
    </font>
    <font>
      <sz val="12"/>
      <name val="Tms Rmn"/>
      <family val="1"/>
    </font>
    <font>
      <sz val="8"/>
      <name val="¹UAAA¼"/>
      <family val="1"/>
    </font>
    <font>
      <sz val="10"/>
      <name val="한양중고딕"/>
      <family val="1"/>
      <charset val="129"/>
    </font>
    <font>
      <sz val="1"/>
      <color indexed="8"/>
      <name val="Courier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u/>
      <sz val="8"/>
      <color indexed="12"/>
      <name val="Times New Roman"/>
      <family val="1"/>
    </font>
    <font>
      <b/>
      <i/>
      <sz val="12"/>
      <name val="Times New Roman"/>
      <family val="1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i/>
      <outline/>
      <shadow/>
      <u/>
      <sz val="1"/>
      <color indexed="24"/>
      <name val="Courier"/>
      <family val="3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0"/>
      <name val="돋움"/>
      <family val="3"/>
      <charset val="129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sz val="11"/>
      <name val="뼻뮝"/>
      <family val="3"/>
      <charset val="129"/>
    </font>
    <font>
      <sz val="11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돋움체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color indexed="17"/>
      <name val="*세고딕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12"/>
      <name val="¹UAAA¼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25"/>
      <color indexed="36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color indexed="8"/>
      <name val="바탕체"/>
      <family val="1"/>
      <charset val="129"/>
    </font>
    <font>
      <sz val="11"/>
      <name val="¾©"/>
      <family val="3"/>
      <charset val="129"/>
    </font>
    <font>
      <sz val="12"/>
      <name val="ⓒoUAAA¨u"/>
      <family val="1"/>
      <charset val="129"/>
    </font>
    <font>
      <sz val="11"/>
      <name val="µ¸¿ò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2"/>
      <name val="System"/>
      <family val="2"/>
      <charset val="129"/>
    </font>
    <font>
      <sz val="12"/>
      <name val="뼻뮝"/>
      <family val="1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Harmony L"/>
      <family val="3"/>
      <charset val="129"/>
    </font>
    <font>
      <b/>
      <sz val="38"/>
      <color indexed="8"/>
      <name val="Harmony L"/>
      <family val="3"/>
      <charset val="129"/>
    </font>
    <font>
      <sz val="11"/>
      <color indexed="8"/>
      <name val="Harmony L"/>
      <family val="3"/>
      <charset val="129"/>
    </font>
    <font>
      <b/>
      <sz val="12"/>
      <color theme="0" tint="-0.499984740745262"/>
      <name val="Harmony L"/>
      <family val="3"/>
      <charset val="129"/>
    </font>
    <font>
      <b/>
      <sz val="18"/>
      <color indexed="8"/>
      <name val="Harmony L"/>
      <family val="3"/>
      <charset val="129"/>
    </font>
    <font>
      <b/>
      <sz val="14"/>
      <color theme="0" tint="-0.499984740745262"/>
      <name val="Harmony L"/>
      <family val="3"/>
      <charset val="129"/>
    </font>
    <font>
      <b/>
      <sz val="15"/>
      <color rgb="FF0000FF"/>
      <name val="Harmony L"/>
      <family val="3"/>
      <charset val="129"/>
    </font>
    <font>
      <b/>
      <sz val="36"/>
      <color indexed="8"/>
      <name val="Harmony L"/>
      <family val="3"/>
      <charset val="129"/>
    </font>
    <font>
      <b/>
      <sz val="26"/>
      <color indexed="8"/>
      <name val="Harmony L"/>
      <family val="3"/>
      <charset val="129"/>
    </font>
    <font>
      <b/>
      <sz val="11"/>
      <color indexed="8"/>
      <name val="Harmony L"/>
      <family val="3"/>
      <charset val="129"/>
    </font>
    <font>
      <sz val="15"/>
      <color indexed="8"/>
      <name val="Harmony L"/>
      <family val="3"/>
      <charset val="129"/>
    </font>
    <font>
      <b/>
      <sz val="15"/>
      <color indexed="8"/>
      <name val="Harmony L"/>
      <family val="3"/>
      <charset val="129"/>
    </font>
    <font>
      <b/>
      <sz val="13"/>
      <color indexed="8"/>
      <name val="Harmony L"/>
      <family val="3"/>
      <charset val="129"/>
    </font>
    <font>
      <sz val="13"/>
      <color indexed="8"/>
      <name val="Harmony L"/>
      <family val="3"/>
      <charset val="129"/>
    </font>
    <font>
      <b/>
      <i/>
      <u/>
      <sz val="16"/>
      <color theme="1"/>
      <name val="Harmony L"/>
      <family val="3"/>
      <charset val="129"/>
    </font>
    <font>
      <b/>
      <i/>
      <sz val="15"/>
      <color theme="1"/>
      <name val="Harmony L"/>
      <family val="3"/>
      <charset val="129"/>
    </font>
    <font>
      <b/>
      <sz val="12"/>
      <color indexed="8"/>
      <name val="Harmony L"/>
      <family val="3"/>
      <charset val="129"/>
    </font>
    <font>
      <b/>
      <sz val="16"/>
      <color indexed="8"/>
      <name val="Harmony L"/>
      <family val="3"/>
      <charset val="129"/>
    </font>
    <font>
      <sz val="14"/>
      <color indexed="8"/>
      <name val="Harmony L"/>
      <family val="3"/>
      <charset val="129"/>
    </font>
    <font>
      <b/>
      <sz val="15"/>
      <color theme="1"/>
      <name val="Harmony L"/>
      <family val="3"/>
      <charset val="129"/>
    </font>
    <font>
      <b/>
      <sz val="15"/>
      <color theme="0"/>
      <name val="Harmony L"/>
      <family val="3"/>
      <charset val="129"/>
    </font>
    <font>
      <sz val="12"/>
      <color indexed="8"/>
      <name val="Harmony L"/>
      <family val="3"/>
      <charset val="129"/>
    </font>
    <font>
      <sz val="12"/>
      <name val="Harmony L"/>
      <family val="3"/>
      <charset val="129"/>
    </font>
    <font>
      <b/>
      <sz val="14"/>
      <color theme="1"/>
      <name val="Harmony L"/>
      <family val="3"/>
      <charset val="129"/>
    </font>
    <font>
      <b/>
      <sz val="14"/>
      <color indexed="8"/>
      <name val="Harmony L"/>
      <family val="3"/>
      <charset val="129"/>
    </font>
    <font>
      <b/>
      <sz val="10"/>
      <name val="Harmony L"/>
      <family val="3"/>
      <charset val="129"/>
    </font>
    <font>
      <sz val="10"/>
      <name val="Harmony L"/>
      <family val="3"/>
      <charset val="129"/>
    </font>
    <font>
      <b/>
      <sz val="22"/>
      <color theme="1"/>
      <name val="Harmony L"/>
      <family val="3"/>
      <charset val="129"/>
    </font>
    <font>
      <b/>
      <sz val="10"/>
      <color theme="1"/>
      <name val="Harmony L"/>
      <family val="3"/>
      <charset val="129"/>
    </font>
    <font>
      <sz val="10"/>
      <color theme="1"/>
      <name val="Harmony L"/>
      <family val="3"/>
      <charset val="129"/>
    </font>
    <font>
      <sz val="10"/>
      <color theme="0"/>
      <name val="Harmony L"/>
      <family val="3"/>
      <charset val="129"/>
    </font>
    <font>
      <b/>
      <sz val="14"/>
      <color theme="3"/>
      <name val="Harmony L"/>
      <family val="3"/>
      <charset val="129"/>
    </font>
    <font>
      <b/>
      <sz val="16"/>
      <color rgb="FFFF0000"/>
      <name val="휴먼엑스포"/>
      <family val="1"/>
      <charset val="129"/>
    </font>
    <font>
      <b/>
      <sz val="16"/>
      <color theme="0" tint="-4.9989318521683403E-2"/>
      <name val="휴먼엑스포"/>
      <family val="1"/>
      <charset val="129"/>
    </font>
    <font>
      <b/>
      <sz val="36"/>
      <name val="휴먼엑스포"/>
      <family val="1"/>
      <charset val="129"/>
    </font>
    <font>
      <sz val="16"/>
      <color theme="1" tint="0.34998626667073579"/>
      <name val="휴먼엑스포"/>
      <family val="1"/>
      <charset val="129"/>
    </font>
    <font>
      <sz val="14"/>
      <color theme="1" tint="4.9989318521683403E-2"/>
      <name val="휴먼엑스포"/>
      <family val="1"/>
      <charset val="129"/>
    </font>
    <font>
      <b/>
      <sz val="18"/>
      <color theme="1" tint="4.9989318521683403E-2"/>
      <name val="휴먼엑스포"/>
      <family val="1"/>
      <charset val="129"/>
    </font>
    <font>
      <b/>
      <sz val="8.5"/>
      <color theme="0"/>
      <name val="함초롬바탕 확장B"/>
      <family val="1"/>
      <charset val="129"/>
    </font>
    <font>
      <b/>
      <sz val="12"/>
      <color theme="1"/>
      <name val="Harmony L"/>
      <family val="3"/>
      <charset val="129"/>
    </font>
    <font>
      <b/>
      <sz val="12"/>
      <name val="Harmony L"/>
      <family val="3"/>
      <charset val="129"/>
    </font>
    <font>
      <sz val="9"/>
      <name val="Harmony L"/>
      <family val="3"/>
      <charset val="129"/>
    </font>
    <font>
      <b/>
      <sz val="10"/>
      <color theme="0"/>
      <name val="Harmony L"/>
      <family val="3"/>
      <charset val="129"/>
    </font>
    <font>
      <b/>
      <sz val="10"/>
      <name val="굴림체"/>
      <family val="3"/>
      <charset val="129"/>
    </font>
    <font>
      <b/>
      <sz val="11"/>
      <color theme="1"/>
      <name val="Harmony L"/>
      <family val="3"/>
      <charset val="129"/>
    </font>
    <font>
      <b/>
      <sz val="10"/>
      <color theme="0" tint="-0.499984740745262"/>
      <name val="Harmony L"/>
      <family val="3"/>
      <charset val="129"/>
    </font>
    <font>
      <b/>
      <sz val="9"/>
      <color theme="0" tint="-0.499984740745262"/>
      <name val="Harmony L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0"/>
      <name val="함초롬바탕 확장B"/>
      <family val="1"/>
      <charset val="129"/>
    </font>
    <font>
      <b/>
      <sz val="10"/>
      <color theme="0"/>
      <name val="굴림"/>
      <family val="3"/>
      <charset val="129"/>
    </font>
    <font>
      <sz val="10"/>
      <color theme="3"/>
      <name val="Harmony L"/>
      <family val="3"/>
      <charset val="129"/>
    </font>
    <font>
      <b/>
      <sz val="9"/>
      <name val="Harmony L"/>
      <family val="3"/>
      <charset val="129"/>
    </font>
    <font>
      <sz val="11"/>
      <color theme="1"/>
      <name val="맑은 고딕"/>
      <family val="2"/>
      <charset val="129"/>
    </font>
    <font>
      <b/>
      <sz val="16"/>
      <color theme="1" tint="4.9989318521683403E-2"/>
      <name val="휴먼엑스포"/>
      <family val="1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4"/>
      <color rgb="FFFF0000"/>
      <name val="Harmony L"/>
      <family val="1"/>
      <charset val="129"/>
    </font>
    <font>
      <b/>
      <sz val="13"/>
      <name val="Harmony L"/>
      <family val="3"/>
      <charset val="129"/>
    </font>
    <font>
      <sz val="9"/>
      <color rgb="FF000000"/>
      <name val="나눔스퀘어 네오 Regular"/>
      <family val="3"/>
      <charset val="129"/>
    </font>
    <font>
      <sz val="9"/>
      <name val="나눔스퀘어 네오 Regular"/>
      <family val="3"/>
      <charset val="129"/>
    </font>
    <font>
      <b/>
      <sz val="14"/>
      <color theme="3" tint="-0.499984740745262"/>
      <name val="Harmony L"/>
      <family val="3"/>
      <charset val="129"/>
    </font>
    <font>
      <sz val="14"/>
      <color theme="3" tint="-0.499984740745262"/>
      <name val="Harmony L"/>
      <family val="3"/>
      <charset val="129"/>
    </font>
    <font>
      <sz val="12"/>
      <color theme="3" tint="-0.499984740745262"/>
      <name val="Harmony L"/>
      <family val="3"/>
      <charset val="129"/>
    </font>
    <font>
      <b/>
      <sz val="14"/>
      <color theme="5" tint="-0.499984740745262"/>
      <name val="Harmony L"/>
      <family val="3"/>
      <charset val="129"/>
    </font>
    <font>
      <b/>
      <sz val="16"/>
      <color theme="5" tint="-0.499984740745262"/>
      <name val="HY목각파임B"/>
      <family val="1"/>
      <charset val="129"/>
    </font>
    <font>
      <b/>
      <sz val="16"/>
      <color theme="3" tint="-0.499984740745262"/>
      <name val="HY목각파임B"/>
      <family val="1"/>
      <charset val="129"/>
    </font>
    <font>
      <sz val="16"/>
      <color theme="3" tint="-0.499984740745262"/>
      <name val="HY목각파임B"/>
      <family val="1"/>
      <charset val="129"/>
    </font>
    <font>
      <b/>
      <sz val="10.5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/>
        <bgColor indexed="64"/>
      </patternFill>
    </fill>
  </fills>
  <borders count="1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/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theme="0" tint="-0.499984740745262"/>
      </left>
      <right/>
      <top/>
      <bottom style="hair">
        <color theme="0" tint="-0.499984740745262"/>
      </bottom>
      <diagonal/>
    </border>
    <border>
      <left style="thick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/>
      <top style="thin">
        <color theme="0" tint="-0.499984740745262"/>
      </top>
      <bottom/>
      <diagonal/>
    </border>
    <border>
      <left style="thick">
        <color theme="0" tint="-0.499984740745262"/>
      </left>
      <right/>
      <top/>
      <bottom/>
      <diagonal/>
    </border>
    <border>
      <left style="thick">
        <color theme="0" tint="-0.499984740745262"/>
      </left>
      <right/>
      <top style="hair">
        <color theme="0" tint="-0.499984740745262"/>
      </top>
      <bottom/>
      <diagonal/>
    </border>
    <border>
      <left style="thick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theme="0" tint="-0.249977111117893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249977111117893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249977111117893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249977111117893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249977111117893"/>
      </left>
      <right/>
      <top style="thin">
        <color theme="0" tint="-0.499984740745262"/>
      </top>
      <bottom style="medium">
        <color theme="0" tint="-0.499984740745262"/>
      </bottom>
      <diagonal/>
    </border>
  </borders>
  <cellStyleXfs count="2468">
    <xf numFmtId="0" fontId="0" fillId="0" borderId="0"/>
    <xf numFmtId="0" fontId="16" fillId="0" borderId="0"/>
    <xf numFmtId="222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17" fillId="0" borderId="1">
      <alignment horizontal="center"/>
    </xf>
    <xf numFmtId="3" fontId="9" fillId="0" borderId="2"/>
    <xf numFmtId="24" fontId="17" fillId="0" borderId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8" fillId="0" borderId="0"/>
    <xf numFmtId="0" fontId="8" fillId="0" borderId="0"/>
    <xf numFmtId="0" fontId="11" fillId="0" borderId="0"/>
    <xf numFmtId="0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" fillId="0" borderId="0" applyFont="0" applyFill="0" applyBorder="0" applyAlignment="0" applyProtection="0"/>
    <xf numFmtId="176" fontId="87" fillId="0" borderId="0" applyFont="0" applyFill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7" fillId="0" borderId="0" applyFont="0" applyFill="0" applyAlignment="0" applyProtection="0"/>
    <xf numFmtId="176" fontId="8" fillId="0" borderId="0" applyFont="0" applyFill="0" applyBorder="0" applyAlignment="0" applyProtection="0"/>
    <xf numFmtId="176" fontId="8" fillId="0" borderId="0" applyFont="0" applyFill="0" applyBorder="0" applyAlignment="0" applyProtection="0"/>
    <xf numFmtId="176" fontId="87" fillId="0" borderId="0" applyFont="0" applyFill="0" applyAlignment="0" applyProtection="0"/>
    <xf numFmtId="176" fontId="8" fillId="0" borderId="0" applyFont="0" applyFill="0" applyBorder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176" fontId="87" fillId="0" borderId="0" applyFont="0" applyFill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7" fillId="0" borderId="0" applyFont="0" applyFill="0" applyAlignment="0" applyProtection="0"/>
    <xf numFmtId="0" fontId="87" fillId="0" borderId="0" applyFont="0" applyFill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7" fillId="0" borderId="0" applyFont="0" applyFill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7" fillId="0" borderId="0" applyFont="0" applyFill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7" fillId="0" borderId="0" applyFont="0" applyFill="0" applyAlignment="0" applyProtection="0"/>
    <xf numFmtId="0" fontId="87" fillId="0" borderId="0" applyFont="0" applyFill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7" fillId="0" borderId="0" applyFont="0" applyFill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7" fillId="0" borderId="0" applyFont="0" applyFill="0" applyAlignment="0" applyProtection="0"/>
    <xf numFmtId="0" fontId="11" fillId="0" borderId="0"/>
    <xf numFmtId="176" fontId="87" fillId="0" borderId="0" applyFont="0" applyFill="0" applyAlignment="0" applyProtection="0"/>
    <xf numFmtId="176" fontId="8" fillId="0" borderId="0" applyFont="0" applyFill="0" applyBorder="0" applyAlignment="0" applyProtection="0"/>
    <xf numFmtId="0" fontId="18" fillId="0" borderId="0"/>
    <xf numFmtId="176" fontId="8" fillId="0" borderId="0" applyFont="0" applyFill="0" applyBorder="0" applyAlignment="0" applyProtection="0"/>
    <xf numFmtId="176" fontId="87" fillId="0" borderId="0" applyFont="0" applyFill="0" applyAlignment="0" applyProtection="0"/>
    <xf numFmtId="0" fontId="11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1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8" fillId="0" borderId="0"/>
    <xf numFmtId="0" fontId="11" fillId="0" borderId="0"/>
    <xf numFmtId="0" fontId="1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76" fontId="8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8" fillId="0" borderId="0"/>
    <xf numFmtId="0" fontId="18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9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6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8" fillId="0" borderId="0"/>
    <xf numFmtId="3" fontId="9" fillId="0" borderId="2"/>
    <xf numFmtId="3" fontId="9" fillId="0" borderId="2"/>
    <xf numFmtId="3" fontId="20" fillId="0" borderId="3">
      <alignment horizontal="right" vertical="center"/>
    </xf>
    <xf numFmtId="3" fontId="20" fillId="0" borderId="3">
      <alignment horizontal="right" vertical="center"/>
    </xf>
    <xf numFmtId="3" fontId="20" fillId="0" borderId="3">
      <alignment horizontal="right" vertical="center"/>
    </xf>
    <xf numFmtId="0" fontId="21" fillId="0" borderId="0">
      <alignment horizontal="center" vertical="center"/>
    </xf>
    <xf numFmtId="0" fontId="21" fillId="0" borderId="0">
      <alignment horizontal="center" vertical="center"/>
    </xf>
    <xf numFmtId="3" fontId="20" fillId="0" borderId="3">
      <alignment horizontal="right" vertical="center"/>
    </xf>
    <xf numFmtId="3" fontId="20" fillId="0" borderId="3">
      <alignment horizontal="right" vertical="center"/>
    </xf>
    <xf numFmtId="3" fontId="20" fillId="0" borderId="3">
      <alignment horizontal="right" vertical="center"/>
    </xf>
    <xf numFmtId="0" fontId="21" fillId="0" borderId="0">
      <alignment horizontal="center" vertical="center"/>
    </xf>
    <xf numFmtId="0" fontId="21" fillId="0" borderId="0">
      <alignment horizontal="center" vertical="center"/>
    </xf>
    <xf numFmtId="0" fontId="22" fillId="0" borderId="0"/>
    <xf numFmtId="0" fontId="21" fillId="0" borderId="0">
      <alignment horizontal="center" vertical="center"/>
    </xf>
    <xf numFmtId="0" fontId="21" fillId="0" borderId="0">
      <alignment horizontal="center" vertical="center"/>
    </xf>
    <xf numFmtId="41" fontId="8" fillId="0" borderId="0">
      <alignment horizontal="center" vertical="center"/>
    </xf>
    <xf numFmtId="181" fontId="8" fillId="0" borderId="0">
      <alignment horizontal="center" vertical="center"/>
    </xf>
    <xf numFmtId="41" fontId="8" fillId="0" borderId="0">
      <alignment horizontal="center" vertical="center"/>
    </xf>
    <xf numFmtId="41" fontId="8" fillId="0" borderId="0">
      <alignment horizontal="center" vertical="center"/>
    </xf>
    <xf numFmtId="182" fontId="23" fillId="0" borderId="0">
      <alignment horizontal="center" vertical="center"/>
    </xf>
    <xf numFmtId="181" fontId="8" fillId="0" borderId="0">
      <alignment horizontal="center" vertical="center"/>
    </xf>
    <xf numFmtId="41" fontId="8" fillId="0" borderId="0">
      <alignment horizontal="center" vertical="center"/>
    </xf>
    <xf numFmtId="0" fontId="22" fillId="0" borderId="0"/>
    <xf numFmtId="0" fontId="22" fillId="0" borderId="0"/>
    <xf numFmtId="0" fontId="21" fillId="0" borderId="0">
      <alignment horizontal="center" vertical="center"/>
    </xf>
    <xf numFmtId="0" fontId="21" fillId="0" borderId="0">
      <alignment horizontal="center" vertical="center"/>
    </xf>
    <xf numFmtId="3" fontId="20" fillId="0" borderId="3">
      <alignment horizontal="right" vertical="center"/>
    </xf>
    <xf numFmtId="0" fontId="22" fillId="0" borderId="0"/>
    <xf numFmtId="0" fontId="11" fillId="0" borderId="0" applyNumberFormat="0" applyFill="0" applyBorder="0" applyAlignment="0" applyProtection="0"/>
    <xf numFmtId="183" fontId="6" fillId="0" borderId="0">
      <protection locked="0"/>
    </xf>
    <xf numFmtId="2" fontId="20" fillId="0" borderId="3">
      <alignment horizontal="right" vertical="center"/>
    </xf>
    <xf numFmtId="2" fontId="20" fillId="0" borderId="3">
      <alignment horizontal="right" vertical="center"/>
    </xf>
    <xf numFmtId="0" fontId="69" fillId="2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8" borderId="0" applyNumberFormat="0" applyBorder="0" applyAlignment="0" applyProtection="0">
      <alignment vertical="center"/>
    </xf>
    <xf numFmtId="0" fontId="69" fillId="3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9" fontId="8" fillId="0" borderId="0">
      <protection locked="0"/>
    </xf>
    <xf numFmtId="0" fontId="70" fillId="16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183" fontId="6" fillId="0" borderId="0">
      <protection locked="0"/>
    </xf>
    <xf numFmtId="0" fontId="24" fillId="0" borderId="0"/>
    <xf numFmtId="179" fontId="8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183" fontId="6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208" fontId="17" fillId="0" borderId="0" applyFont="0" applyFill="0" applyBorder="0" applyAlignment="0" applyProtection="0"/>
    <xf numFmtId="43" fontId="89" fillId="0" borderId="0" applyFont="0" applyFill="0" applyBorder="0" applyAlignment="0" applyProtection="0"/>
    <xf numFmtId="223" fontId="17" fillId="0" borderId="0" applyFont="0" applyFill="0" applyBorder="0" applyAlignment="0" applyProtection="0"/>
    <xf numFmtId="0" fontId="89" fillId="0" borderId="0" applyFont="0" applyFill="0" applyBorder="0" applyAlignment="0" applyProtection="0"/>
    <xf numFmtId="183" fontId="6" fillId="0" borderId="0">
      <protection locked="0"/>
    </xf>
    <xf numFmtId="183" fontId="6" fillId="0" borderId="0">
      <protection locked="0"/>
    </xf>
    <xf numFmtId="0" fontId="6" fillId="0" borderId="0">
      <protection locked="0"/>
    </xf>
    <xf numFmtId="185" fontId="26" fillId="0" borderId="0" applyFont="0" applyFill="0" applyBorder="0" applyAlignment="0" applyProtection="0"/>
    <xf numFmtId="185" fontId="27" fillId="0" borderId="0" applyFont="0" applyFill="0" applyBorder="0" applyAlignment="0" applyProtection="0"/>
    <xf numFmtId="185" fontId="6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6" fillId="0" borderId="0" applyFont="0" applyFill="0" applyBorder="0" applyAlignment="0" applyProtection="0"/>
    <xf numFmtId="179" fontId="8" fillId="0" borderId="0">
      <protection locked="0"/>
    </xf>
    <xf numFmtId="186" fontId="26" fillId="0" borderId="0" applyFont="0" applyFill="0" applyBorder="0" applyAlignment="0" applyProtection="0"/>
    <xf numFmtId="186" fontId="27" fillId="0" borderId="0" applyFont="0" applyFill="0" applyBorder="0" applyAlignment="0" applyProtection="0"/>
    <xf numFmtId="186" fontId="6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6" fillId="0" borderId="0" applyFont="0" applyFill="0" applyBorder="0" applyAlignment="0" applyProtection="0"/>
    <xf numFmtId="183" fontId="6" fillId="0" borderId="0">
      <protection locked="0"/>
    </xf>
    <xf numFmtId="224" fontId="17" fillId="0" borderId="0" applyFont="0" applyFill="0" applyBorder="0" applyAlignment="0" applyProtection="0"/>
    <xf numFmtId="224" fontId="17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89" fillId="0" borderId="0" applyFont="0" applyFill="0" applyBorder="0" applyAlignment="0" applyProtection="0"/>
    <xf numFmtId="0" fontId="17" fillId="0" borderId="0"/>
    <xf numFmtId="183" fontId="6" fillId="0" borderId="0">
      <protection locked="0"/>
    </xf>
    <xf numFmtId="176" fontId="26" fillId="0" borderId="0" applyFont="0" applyFill="0" applyBorder="0" applyAlignment="0" applyProtection="0"/>
    <xf numFmtId="176" fontId="27" fillId="0" borderId="0" applyFont="0" applyFill="0" applyBorder="0" applyAlignment="0" applyProtection="0"/>
    <xf numFmtId="176" fontId="6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6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27" fillId="0" borderId="0" applyFont="0" applyFill="0" applyBorder="0" applyAlignment="0" applyProtection="0"/>
    <xf numFmtId="37" fontId="26" fillId="0" borderId="0" applyFont="0" applyFill="0" applyBorder="0" applyAlignment="0" applyProtection="0"/>
    <xf numFmtId="58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83" fontId="6" fillId="0" borderId="0">
      <protection locked="0"/>
    </xf>
    <xf numFmtId="0" fontId="11" fillId="0" borderId="0" applyFont="0" applyFill="0" applyBorder="0" applyAlignment="0" applyProtection="0"/>
    <xf numFmtId="179" fontId="8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183" fontId="6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0" fontId="17" fillId="0" borderId="0"/>
    <xf numFmtId="0" fontId="93" fillId="0" borderId="0"/>
    <xf numFmtId="0" fontId="29" fillId="0" borderId="0"/>
    <xf numFmtId="0" fontId="27" fillId="0" borderId="0"/>
    <xf numFmtId="0" fontId="26" fillId="0" borderId="0"/>
    <xf numFmtId="0" fontId="27" fillId="0" borderId="0"/>
    <xf numFmtId="0" fontId="93" fillId="0" borderId="0" applyNumberFormat="0"/>
    <xf numFmtId="0" fontId="92" fillId="0" borderId="0"/>
    <xf numFmtId="0" fontId="91" fillId="0" borderId="0"/>
    <xf numFmtId="0" fontId="92" fillId="0" borderId="0"/>
    <xf numFmtId="0" fontId="11" fillId="0" borderId="0"/>
    <xf numFmtId="187" fontId="6" fillId="0" borderId="0" applyFill="0" applyBorder="0" applyAlignment="0"/>
    <xf numFmtId="0" fontId="10" fillId="0" borderId="0"/>
    <xf numFmtId="183" fontId="6" fillId="0" borderId="0">
      <protection locked="0"/>
    </xf>
    <xf numFmtId="3" fontId="30" fillId="0" borderId="0">
      <alignment horizontal="center"/>
    </xf>
    <xf numFmtId="4" fontId="31" fillId="0" borderId="0">
      <protection locked="0"/>
    </xf>
    <xf numFmtId="181" fontId="24" fillId="0" borderId="0" applyFont="0" applyFill="0" applyBorder="0" applyAlignment="0" applyProtection="0"/>
    <xf numFmtId="40" fontId="17" fillId="0" borderId="0" applyFont="0" applyFill="0" applyBorder="0" applyAlignment="0" applyProtection="0"/>
    <xf numFmtId="188" fontId="8" fillId="0" borderId="0"/>
    <xf numFmtId="177" fontId="11" fillId="0" borderId="0" applyFont="0" applyFill="0" applyBorder="0" applyAlignment="0" applyProtection="0"/>
    <xf numFmtId="221" fontId="6" fillId="0" borderId="0">
      <protection locked="0"/>
    </xf>
    <xf numFmtId="40" fontId="17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18" fillId="0" borderId="0" applyFont="0" applyFill="0" applyBorder="0" applyAlignment="0" applyProtection="0"/>
    <xf numFmtId="189" fontId="31" fillId="0" borderId="0">
      <protection locked="0"/>
    </xf>
    <xf numFmtId="0" fontId="24" fillId="0" borderId="0" applyFont="0" applyFill="0" applyBorder="0" applyAlignment="0" applyProtection="0"/>
    <xf numFmtId="190" fontId="8" fillId="0" borderId="0">
      <protection locked="0"/>
    </xf>
    <xf numFmtId="190" fontId="8" fillId="0" borderId="0">
      <protection locked="0"/>
    </xf>
    <xf numFmtId="190" fontId="8" fillId="0" borderId="0">
      <protection locked="0"/>
    </xf>
    <xf numFmtId="190" fontId="8" fillId="0" borderId="0">
      <protection locked="0"/>
    </xf>
    <xf numFmtId="177" fontId="18" fillId="0" borderId="0">
      <protection locked="0"/>
    </xf>
    <xf numFmtId="191" fontId="6" fillId="0" borderId="0" applyFont="0" applyFill="0" applyBorder="0" applyAlignment="0" applyProtection="0"/>
    <xf numFmtId="221" fontId="6" fillId="0" borderId="0">
      <protection locked="0"/>
    </xf>
    <xf numFmtId="0" fontId="5" fillId="0" borderId="0"/>
    <xf numFmtId="192" fontId="31" fillId="0" borderId="0">
      <protection locked="0"/>
    </xf>
    <xf numFmtId="193" fontId="8" fillId="0" borderId="0">
      <protection locked="0"/>
    </xf>
    <xf numFmtId="221" fontId="6" fillId="0" borderId="0">
      <protection locked="0"/>
    </xf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94" fontId="8" fillId="0" borderId="0"/>
    <xf numFmtId="0" fontId="33" fillId="0" borderId="0" applyNumberFormat="0" applyAlignment="0">
      <alignment horizontal="left"/>
    </xf>
    <xf numFmtId="0" fontId="31" fillId="0" borderId="0">
      <protection locked="0"/>
    </xf>
    <xf numFmtId="0" fontId="31" fillId="0" borderId="0">
      <protection locked="0"/>
    </xf>
    <xf numFmtId="0" fontId="34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1" fillId="0" borderId="0">
      <protection locked="0"/>
    </xf>
    <xf numFmtId="0" fontId="34" fillId="0" borderId="0">
      <protection locked="0"/>
    </xf>
    <xf numFmtId="195" fontId="31" fillId="0" borderId="0">
      <protection locked="0"/>
    </xf>
    <xf numFmtId="196" fontId="8" fillId="0" borderId="0">
      <protection locked="0"/>
    </xf>
    <xf numFmtId="221" fontId="6" fillId="0" borderId="0">
      <protection locked="0"/>
    </xf>
    <xf numFmtId="0" fontId="35" fillId="0" borderId="0" applyNumberFormat="0" applyFill="0" applyBorder="0" applyAlignment="0" applyProtection="0"/>
    <xf numFmtId="38" fontId="12" fillId="19" borderId="0" applyNumberFormat="0" applyBorder="0" applyAlignment="0" applyProtection="0"/>
    <xf numFmtId="38" fontId="12" fillId="20" borderId="0" applyNumberFormat="0" applyBorder="0" applyAlignment="0" applyProtection="0"/>
    <xf numFmtId="3" fontId="16" fillId="0" borderId="4">
      <alignment horizontal="right" vertical="center"/>
    </xf>
    <xf numFmtId="4" fontId="16" fillId="0" borderId="4">
      <alignment horizontal="right" vertical="center"/>
    </xf>
    <xf numFmtId="0" fontId="13" fillId="0" borderId="0">
      <alignment horizontal="left"/>
    </xf>
    <xf numFmtId="0" fontId="14" fillId="0" borderId="5" applyNumberFormat="0" applyAlignment="0" applyProtection="0">
      <alignment horizontal="left" vertical="center"/>
    </xf>
    <xf numFmtId="0" fontId="14" fillId="0" borderId="6">
      <alignment horizontal="left" vertical="center"/>
    </xf>
    <xf numFmtId="221" fontId="6" fillId="0" borderId="0">
      <protection locked="0"/>
    </xf>
    <xf numFmtId="221" fontId="6" fillId="0" borderId="0">
      <protection locked="0"/>
    </xf>
    <xf numFmtId="197" fontId="36" fillId="0" borderId="0">
      <protection locked="0"/>
    </xf>
    <xf numFmtId="198" fontId="8" fillId="0" borderId="0">
      <protection locked="0"/>
    </xf>
    <xf numFmtId="0" fontId="36" fillId="0" borderId="0">
      <protection locked="0"/>
    </xf>
    <xf numFmtId="197" fontId="36" fillId="0" borderId="0">
      <protection locked="0"/>
    </xf>
    <xf numFmtId="198" fontId="8" fillId="0" borderId="0">
      <protection locked="0"/>
    </xf>
    <xf numFmtId="0" fontId="36" fillId="0" borderId="0">
      <protection locked="0"/>
    </xf>
    <xf numFmtId="0" fontId="11" fillId="0" borderId="0">
      <protection locked="0"/>
    </xf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10" fontId="12" fillId="19" borderId="2" applyNumberFormat="0" applyBorder="0" applyAlignment="0" applyProtection="0"/>
    <xf numFmtId="10" fontId="12" fillId="21" borderId="2" applyNumberFormat="0" applyBorder="0" applyAlignment="0" applyProtection="0"/>
    <xf numFmtId="199" fontId="39" fillId="0" borderId="0">
      <alignment horizontal="left"/>
    </xf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0" fontId="15" fillId="0" borderId="7"/>
    <xf numFmtId="0" fontId="51" fillId="0" borderId="0" applyFont="0" applyFill="0" applyBorder="0" applyAlignment="0" applyProtection="0"/>
    <xf numFmtId="225" fontId="51" fillId="0" borderId="0" applyFont="0" applyFill="0" applyBorder="0" applyAlignment="0" applyProtection="0"/>
    <xf numFmtId="0" fontId="11" fillId="0" borderId="0"/>
    <xf numFmtId="37" fontId="40" fillId="0" borderId="0"/>
    <xf numFmtId="0" fontId="8" fillId="0" borderId="0"/>
    <xf numFmtId="200" fontId="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" fillId="0" borderId="0"/>
    <xf numFmtId="0" fontId="17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/>
    <xf numFmtId="201" fontId="31" fillId="0" borderId="0">
      <protection locked="0"/>
    </xf>
    <xf numFmtId="10" fontId="11" fillId="0" borderId="0" applyFont="0" applyFill="0" applyBorder="0" applyAlignment="0" applyProtection="0"/>
    <xf numFmtId="202" fontId="8" fillId="0" borderId="0">
      <protection locked="0"/>
    </xf>
    <xf numFmtId="202" fontId="8" fillId="0" borderId="0">
      <protection locked="0"/>
    </xf>
    <xf numFmtId="202" fontId="8" fillId="0" borderId="0">
      <protection locked="0"/>
    </xf>
    <xf numFmtId="202" fontId="8" fillId="0" borderId="0">
      <protection locked="0"/>
    </xf>
    <xf numFmtId="228" fontId="18" fillId="0" borderId="0">
      <protection locked="0"/>
    </xf>
    <xf numFmtId="9" fontId="11" fillId="0" borderId="0" applyFont="0" applyFill="0" applyProtection="0"/>
    <xf numFmtId="30" fontId="42" fillId="0" borderId="0" applyNumberFormat="0" applyFill="0" applyBorder="0" applyAlignment="0" applyProtection="0">
      <alignment horizontal="left"/>
    </xf>
    <xf numFmtId="225" fontId="51" fillId="0" borderId="0">
      <alignment horizontal="center"/>
    </xf>
    <xf numFmtId="0" fontId="15" fillId="0" borderId="0"/>
    <xf numFmtId="40" fontId="43" fillId="0" borderId="0" applyBorder="0">
      <alignment horizontal="right"/>
    </xf>
    <xf numFmtId="203" fontId="44" fillId="0" borderId="0">
      <alignment horizontal="center"/>
    </xf>
    <xf numFmtId="0" fontId="45" fillId="0" borderId="0" applyFill="0" applyBorder="0" applyProtection="0">
      <alignment horizontal="centerContinuous" vertical="center"/>
    </xf>
    <xf numFmtId="0" fontId="22" fillId="19" borderId="0" applyFill="0" applyBorder="0" applyProtection="0">
      <alignment horizontal="center" vertical="center"/>
    </xf>
    <xf numFmtId="197" fontId="31" fillId="0" borderId="8">
      <protection locked="0"/>
    </xf>
    <xf numFmtId="198" fontId="8" fillId="0" borderId="8">
      <protection locked="0"/>
    </xf>
    <xf numFmtId="221" fontId="6" fillId="0" borderId="9">
      <protection locked="0"/>
    </xf>
    <xf numFmtId="0" fontId="46" fillId="0" borderId="10">
      <alignment horizontal="left"/>
    </xf>
    <xf numFmtId="37" fontId="12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47" fillId="0" borderId="0">
      <protection locked="0"/>
    </xf>
    <xf numFmtId="0" fontId="70" fillId="22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9" borderId="11" applyNumberFormat="0" applyAlignment="0" applyProtection="0">
      <alignment vertical="center"/>
    </xf>
    <xf numFmtId="2" fontId="48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Border="0" applyAlignment="0"/>
    <xf numFmtId="0" fontId="51" fillId="0" borderId="12" applyBorder="0" applyAlignment="0">
      <alignment horizontal="center"/>
    </xf>
    <xf numFmtId="0" fontId="51" fillId="0" borderId="13"/>
    <xf numFmtId="0" fontId="52" fillId="0" borderId="0"/>
    <xf numFmtId="176" fontId="8" fillId="0" borderId="0" applyFont="0" applyFill="0" applyBorder="0" applyAlignment="0" applyProtection="0"/>
    <xf numFmtId="41" fontId="53" fillId="0" borderId="14">
      <alignment horizontal="center" vertical="center"/>
    </xf>
    <xf numFmtId="0" fontId="6" fillId="0" borderId="0">
      <protection locked="0"/>
    </xf>
    <xf numFmtId="0" fontId="73" fillId="4" borderId="0" applyNumberFormat="0" applyBorder="0" applyAlignment="0" applyProtection="0">
      <alignment vertical="center"/>
    </xf>
    <xf numFmtId="0" fontId="48" fillId="0" borderId="0" applyFont="0" applyFill="0" applyBorder="0" applyAlignment="0" applyProtection="0"/>
    <xf numFmtId="3" fontId="17" fillId="0" borderId="15">
      <alignment horizontal="center"/>
    </xf>
    <xf numFmtId="0" fontId="30" fillId="0" borderId="0" applyFont="0" applyAlignment="0">
      <alignment horizontal="left"/>
    </xf>
    <xf numFmtId="0" fontId="48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7" fillId="5" borderId="16" applyNumberFormat="0" applyFont="0" applyAlignment="0" applyProtection="0">
      <alignment vertical="center"/>
    </xf>
    <xf numFmtId="0" fontId="6" fillId="5" borderId="16" applyNumberFormat="0" applyFont="0" applyAlignment="0" applyProtection="0">
      <alignment vertical="center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1" fontId="54" fillId="0" borderId="2" applyNumberFormat="0" applyFont="0" applyFill="0" applyBorder="0" applyProtection="0">
      <alignment horizontal="distributed" vertical="center"/>
    </xf>
    <xf numFmtId="183" fontId="6" fillId="0" borderId="0">
      <protection locked="0"/>
    </xf>
    <xf numFmtId="0" fontId="55" fillId="0" borderId="0">
      <protection locked="0"/>
    </xf>
    <xf numFmtId="197" fontId="55" fillId="0" borderId="0">
      <protection locked="0"/>
    </xf>
    <xf numFmtId="0" fontId="55" fillId="0" borderId="0">
      <protection locked="0"/>
    </xf>
    <xf numFmtId="179" fontId="8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197" fontId="55" fillId="0" borderId="0">
      <protection locked="0"/>
    </xf>
    <xf numFmtId="183" fontId="6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9" fontId="21" fillId="19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Alignment="0" applyProtection="0"/>
    <xf numFmtId="0" fontId="56" fillId="0" borderId="0"/>
    <xf numFmtId="0" fontId="74" fillId="12" borderId="0" applyNumberFormat="0" applyBorder="0" applyAlignment="0" applyProtection="0">
      <alignment vertical="center"/>
    </xf>
    <xf numFmtId="0" fontId="94" fillId="0" borderId="0"/>
    <xf numFmtId="206" fontId="6" fillId="0" borderId="17" applyBorder="0"/>
    <xf numFmtId="204" fontId="6" fillId="0" borderId="0" applyNumberFormat="0" applyFont="0" applyFill="0" applyBorder="0" applyProtection="0">
      <alignment horizontal="centerContinuous" vertical="center"/>
    </xf>
    <xf numFmtId="38" fontId="57" fillId="0" borderId="0">
      <alignment vertical="center" wrapText="1"/>
    </xf>
    <xf numFmtId="0" fontId="75" fillId="0" borderId="0" applyNumberFormat="0" applyFill="0" applyBorder="0" applyAlignment="0" applyProtection="0">
      <alignment vertical="center"/>
    </xf>
    <xf numFmtId="0" fontId="76" fillId="26" borderId="18" applyNumberFormat="0" applyAlignment="0" applyProtection="0">
      <alignment vertical="center"/>
    </xf>
    <xf numFmtId="0" fontId="52" fillId="0" borderId="19"/>
    <xf numFmtId="4" fontId="52" fillId="0" borderId="17"/>
    <xf numFmtId="207" fontId="6" fillId="0" borderId="17"/>
    <xf numFmtId="0" fontId="6" fillId="0" borderId="17"/>
    <xf numFmtId="3" fontId="58" fillId="0" borderId="0">
      <alignment vertical="center" wrapText="1"/>
    </xf>
    <xf numFmtId="3" fontId="59" fillId="0" borderId="0">
      <alignment vertical="center" wrapText="1"/>
    </xf>
    <xf numFmtId="0" fontId="60" fillId="0" borderId="0">
      <alignment vertical="center"/>
    </xf>
    <xf numFmtId="208" fontId="61" fillId="0" borderId="0">
      <alignment vertical="center"/>
    </xf>
    <xf numFmtId="41" fontId="3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181" fontId="8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7" fillId="0" borderId="0" applyFont="0" applyFill="0" applyAlignment="0" applyProtection="0">
      <alignment vertical="center"/>
    </xf>
    <xf numFmtId="41" fontId="6" fillId="0" borderId="0" applyFont="0" applyFill="0" applyBorder="0" applyAlignment="0" applyProtection="0"/>
    <xf numFmtId="41" fontId="7" fillId="0" borderId="0" applyFont="0" applyFill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/>
    <xf numFmtId="0" fontId="11" fillId="0" borderId="0"/>
    <xf numFmtId="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1" fillId="0" borderId="0" applyFont="0" applyFill="0" applyBorder="0" applyAlignment="0" applyProtection="0"/>
    <xf numFmtId="226" fontId="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227" fontId="22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222" fontId="11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62" fillId="0" borderId="20"/>
    <xf numFmtId="0" fontId="77" fillId="0" borderId="21" applyNumberFormat="0" applyFill="0" applyAlignment="0" applyProtection="0">
      <alignment vertical="center"/>
    </xf>
    <xf numFmtId="0" fontId="78" fillId="0" borderId="22" applyNumberFormat="0" applyFill="0" applyAlignment="0" applyProtection="0">
      <alignment vertical="center"/>
    </xf>
    <xf numFmtId="209" fontId="63" fillId="0" borderId="0" applyFont="0" applyFill="0" applyBorder="0" applyAlignment="0" applyProtection="0"/>
    <xf numFmtId="210" fontId="6" fillId="0" borderId="0" applyFont="0" applyFill="0" applyBorder="0" applyAlignment="0" applyProtection="0"/>
    <xf numFmtId="209" fontId="63" fillId="0" borderId="0" applyFont="0" applyFill="0" applyBorder="0" applyAlignment="0" applyProtection="0"/>
    <xf numFmtId="209" fontId="63" fillId="0" borderId="0" applyFont="0" applyFill="0" applyBorder="0" applyAlignment="0" applyProtection="0"/>
    <xf numFmtId="0" fontId="64" fillId="0" borderId="0">
      <alignment vertical="center"/>
    </xf>
    <xf numFmtId="0" fontId="65" fillId="0" borderId="0" applyNumberFormat="0">
      <alignment horizontal="left" vertical="center"/>
    </xf>
    <xf numFmtId="0" fontId="57" fillId="0" borderId="0" applyNumberFormat="0" applyBorder="0" applyAlignment="0">
      <alignment horizontal="centerContinuous" vertical="center"/>
    </xf>
    <xf numFmtId="0" fontId="79" fillId="3" borderId="11" applyNumberFormat="0" applyAlignment="0" applyProtection="0">
      <alignment vertical="center"/>
    </xf>
    <xf numFmtId="4" fontId="48" fillId="0" borderId="0" applyFont="0" applyFill="0" applyBorder="0" applyAlignment="0" applyProtection="0"/>
    <xf numFmtId="0" fontId="52" fillId="0" borderId="0"/>
    <xf numFmtId="4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84" fillId="0" borderId="23" applyNumberFormat="0" applyFill="0" applyAlignment="0" applyProtection="0">
      <alignment vertical="center"/>
    </xf>
    <xf numFmtId="0" fontId="85" fillId="0" borderId="24" applyNumberFormat="0" applyFill="0" applyAlignment="0" applyProtection="0">
      <alignment vertical="center"/>
    </xf>
    <xf numFmtId="0" fontId="86" fillId="0" borderId="25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" fillId="0" borderId="0"/>
    <xf numFmtId="0" fontId="81" fillId="9" borderId="26" applyNumberFormat="0" applyAlignment="0" applyProtection="0">
      <alignment vertical="center"/>
    </xf>
    <xf numFmtId="183" fontId="6" fillId="0" borderId="0">
      <protection locked="0"/>
    </xf>
    <xf numFmtId="0" fontId="55" fillId="0" borderId="0">
      <protection locked="0"/>
    </xf>
    <xf numFmtId="197" fontId="55" fillId="0" borderId="0">
      <protection locked="0"/>
    </xf>
    <xf numFmtId="0" fontId="55" fillId="0" borderId="0">
      <protection locked="0"/>
    </xf>
    <xf numFmtId="179" fontId="8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197" fontId="55" fillId="0" borderId="0">
      <protection locked="0"/>
    </xf>
    <xf numFmtId="183" fontId="6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208" fontId="66" fillId="0" borderId="0" applyFont="0" applyFill="0" applyBorder="0" applyAlignment="0" applyProtection="0">
      <alignment vertical="center"/>
    </xf>
    <xf numFmtId="183" fontId="6" fillId="0" borderId="0">
      <protection locked="0"/>
    </xf>
    <xf numFmtId="211" fontId="6" fillId="0" borderId="0" applyFont="0" applyFill="0" applyBorder="0" applyProtection="0">
      <alignment vertical="center"/>
    </xf>
    <xf numFmtId="38" fontId="54" fillId="0" borderId="0" applyFont="0" applyFill="0" applyBorder="0" applyProtection="0">
      <alignment vertical="center"/>
    </xf>
    <xf numFmtId="179" fontId="8" fillId="0" borderId="0">
      <protection locked="0"/>
    </xf>
    <xf numFmtId="41" fontId="6" fillId="0" borderId="0" applyFont="0" applyFill="0" applyBorder="0" applyAlignment="0" applyProtection="0"/>
    <xf numFmtId="186" fontId="8" fillId="19" borderId="0" applyFill="0" applyBorder="0" applyProtection="0">
      <alignment horizontal="right"/>
    </xf>
    <xf numFmtId="220" fontId="8" fillId="19" borderId="0" applyFill="0" applyBorder="0" applyProtection="0">
      <alignment horizontal="right"/>
    </xf>
    <xf numFmtId="38" fontId="54" fillId="0" borderId="0" applyFont="0" applyFill="0" applyBorder="0" applyAlignment="0" applyProtection="0">
      <alignment vertical="center"/>
    </xf>
    <xf numFmtId="212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213" fontId="18" fillId="0" borderId="0" applyFont="0" applyFill="0" applyBorder="0" applyAlignment="0" applyProtection="0">
      <alignment textRotation="255"/>
    </xf>
    <xf numFmtId="214" fontId="18" fillId="0" borderId="0" applyFont="0" applyFill="0" applyBorder="0" applyAlignment="0" applyProtection="0">
      <alignment textRotation="255"/>
    </xf>
    <xf numFmtId="215" fontId="18" fillId="0" borderId="0" applyFont="0" applyFill="0" applyBorder="0" applyAlignment="0" applyProtection="0">
      <alignment textRotation="255"/>
    </xf>
    <xf numFmtId="216" fontId="18" fillId="0" borderId="0" applyFont="0" applyFill="0" applyBorder="0" applyAlignment="0" applyProtection="0">
      <alignment textRotation="255"/>
    </xf>
    <xf numFmtId="43" fontId="9" fillId="0" borderId="0" applyFont="0" applyFill="0" applyBorder="0" applyAlignment="0" applyProtection="0"/>
    <xf numFmtId="183" fontId="6" fillId="0" borderId="0">
      <protection locked="0"/>
    </xf>
    <xf numFmtId="0" fontId="55" fillId="0" borderId="0">
      <protection locked="0"/>
    </xf>
    <xf numFmtId="197" fontId="55" fillId="0" borderId="0">
      <protection locked="0"/>
    </xf>
    <xf numFmtId="0" fontId="55" fillId="0" borderId="0">
      <protection locked="0"/>
    </xf>
    <xf numFmtId="179" fontId="8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197" fontId="55" fillId="0" borderId="0">
      <protection locked="0"/>
    </xf>
    <xf numFmtId="183" fontId="6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183" fontId="6" fillId="0" borderId="0">
      <protection locked="0"/>
    </xf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10" fontId="48" fillId="0" borderId="0" applyFont="0" applyFill="0" applyBorder="0" applyAlignment="0" applyProtection="0"/>
    <xf numFmtId="183" fontId="6" fillId="0" borderId="0">
      <protection locked="0"/>
    </xf>
    <xf numFmtId="0" fontId="55" fillId="0" borderId="0">
      <protection locked="0"/>
    </xf>
    <xf numFmtId="197" fontId="55" fillId="0" borderId="0">
      <protection locked="0"/>
    </xf>
    <xf numFmtId="0" fontId="55" fillId="0" borderId="0">
      <protection locked="0"/>
    </xf>
    <xf numFmtId="179" fontId="8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197" fontId="55" fillId="0" borderId="0">
      <protection locked="0"/>
    </xf>
    <xf numFmtId="183" fontId="6" fillId="0" borderId="0">
      <protection locked="0"/>
    </xf>
    <xf numFmtId="184" fontId="2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25" fillId="0" borderId="0">
      <protection locked="0"/>
    </xf>
    <xf numFmtId="0" fontId="6" fillId="0" borderId="0">
      <protection locked="0"/>
    </xf>
    <xf numFmtId="0" fontId="6" fillId="0" borderId="0">
      <alignment vertical="center"/>
    </xf>
    <xf numFmtId="0" fontId="6" fillId="0" borderId="0">
      <alignment vertical="center"/>
    </xf>
    <xf numFmtId="0" fontId="9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 applyFill="0" applyAlignment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7" fillId="0" borderId="0" applyFill="0" applyAlignment="0">
      <alignment vertical="center"/>
    </xf>
    <xf numFmtId="0" fontId="7" fillId="0" borderId="0" applyFill="0" applyAlignment="0">
      <alignment vertical="center"/>
    </xf>
    <xf numFmtId="0" fontId="7" fillId="0" borderId="0" applyFill="0" applyAlignment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7" fillId="0" borderId="0" applyFill="0" applyAlignment="0">
      <alignment vertical="center"/>
    </xf>
    <xf numFmtId="0" fontId="96" fillId="0" borderId="0">
      <alignment vertical="center"/>
    </xf>
    <xf numFmtId="0" fontId="69" fillId="0" borderId="0">
      <alignment vertical="center"/>
    </xf>
    <xf numFmtId="0" fontId="6" fillId="0" borderId="0">
      <alignment vertical="center"/>
    </xf>
    <xf numFmtId="0" fontId="6" fillId="0" borderId="0"/>
    <xf numFmtId="0" fontId="96" fillId="0" borderId="0">
      <alignment vertical="center"/>
    </xf>
    <xf numFmtId="0" fontId="69" fillId="0" borderId="0">
      <alignment vertical="center"/>
    </xf>
    <xf numFmtId="0" fontId="6" fillId="0" borderId="0">
      <alignment vertical="center"/>
    </xf>
    <xf numFmtId="0" fontId="6" fillId="0" borderId="0"/>
    <xf numFmtId="0" fontId="9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96" fillId="0" borderId="0">
      <alignment vertical="center"/>
    </xf>
    <xf numFmtId="0" fontId="6" fillId="0" borderId="0"/>
    <xf numFmtId="0" fontId="48" fillId="0" borderId="9" applyNumberFormat="0" applyFont="0" applyFill="0" applyAlignment="0" applyProtection="0"/>
    <xf numFmtId="217" fontId="48" fillId="0" borderId="0" applyFont="0" applyFill="0" applyBorder="0" applyAlignment="0" applyProtection="0"/>
    <xf numFmtId="218" fontId="48" fillId="0" borderId="0" applyFont="0" applyFill="0" applyBorder="0" applyAlignment="0" applyProtection="0"/>
    <xf numFmtId="176" fontId="8" fillId="0" borderId="27"/>
    <xf numFmtId="0" fontId="149" fillId="0" borderId="0">
      <alignment vertical="center"/>
    </xf>
    <xf numFmtId="41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8" fillId="0" borderId="0">
      <alignment horizontal="center" vertical="center"/>
    </xf>
    <xf numFmtId="41" fontId="8" fillId="0" borderId="0">
      <alignment horizontal="center" vertical="center"/>
    </xf>
    <xf numFmtId="41" fontId="8" fillId="0" borderId="0">
      <alignment horizontal="center" vertical="center"/>
    </xf>
    <xf numFmtId="41" fontId="8" fillId="0" borderId="0">
      <alignment horizontal="center" vertical="center"/>
    </xf>
    <xf numFmtId="41" fontId="8" fillId="0" borderId="0">
      <alignment horizontal="center" vertical="center"/>
    </xf>
    <xf numFmtId="41" fontId="8" fillId="0" borderId="0">
      <alignment horizontal="center" vertical="center"/>
    </xf>
    <xf numFmtId="183" fontId="3" fillId="0" borderId="0">
      <protection locked="0"/>
    </xf>
    <xf numFmtId="183" fontId="3" fillId="0" borderId="0">
      <protection locked="0"/>
    </xf>
    <xf numFmtId="4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183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183" fontId="3" fillId="0" borderId="0">
      <protection locked="0"/>
    </xf>
    <xf numFmtId="58" fontId="3" fillId="0" borderId="0" applyFont="0" applyFill="0" applyBorder="0" applyAlignment="0" applyProtection="0"/>
    <xf numFmtId="183" fontId="3" fillId="0" borderId="0">
      <protection locked="0"/>
    </xf>
    <xf numFmtId="4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7" fontId="3" fillId="0" borderId="0" applyFill="0" applyBorder="0" applyAlignment="0"/>
    <xf numFmtId="183" fontId="3" fillId="0" borderId="0">
      <protection locked="0"/>
    </xf>
    <xf numFmtId="41" fontId="24" fillId="0" borderId="0" applyFont="0" applyFill="0" applyBorder="0" applyAlignment="0" applyProtection="0"/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0">
      <protection locked="0"/>
    </xf>
    <xf numFmtId="221" fontId="3" fillId="0" borderId="9">
      <protection locked="0"/>
    </xf>
    <xf numFmtId="41" fontId="53" fillId="0" borderId="14">
      <alignment horizontal="center" vertical="center"/>
    </xf>
    <xf numFmtId="0" fontId="3" fillId="0" borderId="0">
      <protection locked="0"/>
    </xf>
    <xf numFmtId="0" fontId="3" fillId="5" borderId="16" applyNumberFormat="0" applyFont="0" applyAlignment="0" applyProtection="0">
      <alignment vertical="center"/>
    </xf>
    <xf numFmtId="41" fontId="54" fillId="0" borderId="2" applyNumberFormat="0" applyFont="0" applyFill="0" applyBorder="0" applyProtection="0">
      <alignment horizontal="distributed" vertical="center"/>
    </xf>
    <xf numFmtId="183" fontId="3" fillId="0" borderId="0">
      <protection locked="0"/>
    </xf>
    <xf numFmtId="4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04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6" fontId="3" fillId="0" borderId="17" applyBorder="0"/>
    <xf numFmtId="204" fontId="3" fillId="0" borderId="0" applyNumberFormat="0" applyFont="0" applyFill="0" applyBorder="0" applyProtection="0">
      <alignment horizontal="centerContinuous" vertical="center"/>
    </xf>
    <xf numFmtId="207" fontId="3" fillId="0" borderId="17"/>
    <xf numFmtId="0" fontId="3" fillId="0" borderId="17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7" fillId="0" borderId="0" applyFont="0" applyFill="0" applyAlignment="0" applyProtection="0">
      <alignment vertical="center"/>
    </xf>
    <xf numFmtId="41" fontId="3" fillId="0" borderId="0" applyFont="0" applyFill="0" applyBorder="0" applyAlignment="0" applyProtection="0"/>
    <xf numFmtId="41" fontId="7" fillId="0" borderId="0" applyFont="0" applyFill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210" fontId="3" fillId="0" borderId="0" applyFont="0" applyFill="0" applyBorder="0" applyAlignment="0" applyProtection="0"/>
    <xf numFmtId="183" fontId="3" fillId="0" borderId="0">
      <protection locked="0"/>
    </xf>
    <xf numFmtId="4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211" fontId="3" fillId="0" borderId="0" applyFont="0" applyFill="0" applyBorder="0" applyProtection="0">
      <alignment vertical="center"/>
    </xf>
    <xf numFmtId="41" fontId="3" fillId="0" borderId="0" applyFont="0" applyFill="0" applyBorder="0" applyAlignment="0" applyProtection="0"/>
    <xf numFmtId="212" fontId="3" fillId="0" borderId="0" applyFont="0" applyFill="0" applyBorder="0" applyAlignment="0" applyProtection="0">
      <alignment vertical="center"/>
    </xf>
    <xf numFmtId="40" fontId="3" fillId="0" borderId="0" applyFont="0" applyFill="0" applyBorder="0" applyAlignment="0" applyProtection="0">
      <alignment vertical="center"/>
    </xf>
    <xf numFmtId="183" fontId="3" fillId="0" borderId="0">
      <protection locked="0"/>
    </xf>
    <xf numFmtId="4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42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183" fontId="3" fillId="0" borderId="0">
      <protection locked="0"/>
    </xf>
    <xf numFmtId="4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83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14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55">
    <xf numFmtId="0" fontId="0" fillId="0" borderId="0" xfId="0"/>
    <xf numFmtId="0" fontId="97" fillId="0" borderId="58" xfId="0" applyFont="1" applyBorder="1" applyAlignment="1">
      <alignment vertical="center"/>
    </xf>
    <xf numFmtId="0" fontId="97" fillId="0" borderId="59" xfId="0" applyFont="1" applyBorder="1" applyAlignment="1">
      <alignment vertical="center"/>
    </xf>
    <xf numFmtId="0" fontId="97" fillId="0" borderId="60" xfId="0" applyFont="1" applyBorder="1" applyAlignment="1">
      <alignment vertical="center"/>
    </xf>
    <xf numFmtId="0" fontId="97" fillId="0" borderId="0" xfId="0" applyFont="1" applyAlignment="1">
      <alignment vertical="center"/>
    </xf>
    <xf numFmtId="0" fontId="99" fillId="0" borderId="62" xfId="0" applyFont="1" applyBorder="1" applyAlignment="1">
      <alignment vertical="center"/>
    </xf>
    <xf numFmtId="0" fontId="99" fillId="0" borderId="0" xfId="0" applyFont="1" applyAlignment="1">
      <alignment vertical="center"/>
    </xf>
    <xf numFmtId="0" fontId="101" fillId="0" borderId="61" xfId="0" applyFont="1" applyBorder="1" applyAlignment="1">
      <alignment horizontal="center" vertical="top"/>
    </xf>
    <xf numFmtId="0" fontId="101" fillId="0" borderId="0" xfId="0" applyFont="1" applyAlignment="1">
      <alignment horizontal="center" vertical="top"/>
    </xf>
    <xf numFmtId="0" fontId="103" fillId="0" borderId="62" xfId="0" applyFont="1" applyBorder="1" applyAlignment="1">
      <alignment vertical="center"/>
    </xf>
    <xf numFmtId="0" fontId="99" fillId="0" borderId="61" xfId="0" applyFont="1" applyBorder="1" applyAlignment="1">
      <alignment vertical="center"/>
    </xf>
    <xf numFmtId="0" fontId="107" fillId="0" borderId="61" xfId="0" applyFont="1" applyBorder="1" applyAlignment="1">
      <alignment vertical="center"/>
    </xf>
    <xf numFmtId="0" fontId="109" fillId="0" borderId="29" xfId="0" applyFont="1" applyBorder="1" applyAlignment="1">
      <alignment vertical="center" wrapText="1"/>
    </xf>
    <xf numFmtId="0" fontId="108" fillId="32" borderId="45" xfId="0" applyFont="1" applyFill="1" applyBorder="1" applyAlignment="1">
      <alignment vertical="center" wrapText="1"/>
    </xf>
    <xf numFmtId="0" fontId="108" fillId="0" borderId="31" xfId="0" applyFont="1" applyBorder="1" applyAlignment="1">
      <alignment vertical="center" wrapText="1"/>
    </xf>
    <xf numFmtId="0" fontId="113" fillId="0" borderId="62" xfId="0" applyFont="1" applyBorder="1" applyAlignment="1">
      <alignment vertical="center" wrapText="1"/>
    </xf>
    <xf numFmtId="0" fontId="106" fillId="0" borderId="61" xfId="0" applyFont="1" applyBorder="1" applyAlignment="1">
      <alignment vertical="center"/>
    </xf>
    <xf numFmtId="0" fontId="106" fillId="0" borderId="0" xfId="0" applyFont="1" applyAlignment="1">
      <alignment vertical="center"/>
    </xf>
    <xf numFmtId="0" fontId="108" fillId="32" borderId="54" xfId="0" applyFont="1" applyFill="1" applyBorder="1" applyAlignment="1">
      <alignment vertical="center" wrapText="1"/>
    </xf>
    <xf numFmtId="0" fontId="108" fillId="0" borderId="55" xfId="0" applyFont="1" applyBorder="1" applyAlignment="1">
      <alignment vertical="center" wrapText="1"/>
    </xf>
    <xf numFmtId="0" fontId="114" fillId="0" borderId="61" xfId="0" applyFont="1" applyBorder="1" applyAlignment="1">
      <alignment vertical="center"/>
    </xf>
    <xf numFmtId="0" fontId="114" fillId="33" borderId="46" xfId="0" applyFont="1" applyFill="1" applyBorder="1" applyAlignment="1">
      <alignment vertical="center"/>
    </xf>
    <xf numFmtId="0" fontId="114" fillId="0" borderId="62" xfId="0" applyFont="1" applyBorder="1" applyAlignment="1">
      <alignment vertical="center"/>
    </xf>
    <xf numFmtId="0" fontId="114" fillId="0" borderId="0" xfId="0" applyFont="1" applyAlignment="1">
      <alignment vertical="center"/>
    </xf>
    <xf numFmtId="0" fontId="99" fillId="33" borderId="46" xfId="0" applyFont="1" applyFill="1" applyBorder="1" applyAlignment="1">
      <alignment vertical="center"/>
    </xf>
    <xf numFmtId="0" fontId="115" fillId="0" borderId="61" xfId="0" applyFont="1" applyBorder="1" applyAlignment="1">
      <alignment vertical="center"/>
    </xf>
    <xf numFmtId="0" fontId="115" fillId="33" borderId="46" xfId="0" applyFont="1" applyFill="1" applyBorder="1" applyAlignment="1">
      <alignment vertical="center"/>
    </xf>
    <xf numFmtId="0" fontId="115" fillId="0" borderId="62" xfId="0" applyFont="1" applyBorder="1" applyAlignment="1">
      <alignment vertical="center"/>
    </xf>
    <xf numFmtId="0" fontId="115" fillId="0" borderId="0" xfId="0" applyFont="1" applyAlignment="1">
      <alignment vertical="center"/>
    </xf>
    <xf numFmtId="0" fontId="119" fillId="0" borderId="61" xfId="0" applyFont="1" applyBorder="1" applyAlignment="1">
      <alignment vertical="center"/>
    </xf>
    <xf numFmtId="0" fontId="119" fillId="0" borderId="62" xfId="0" applyFont="1" applyBorder="1" applyAlignment="1">
      <alignment vertical="center"/>
    </xf>
    <xf numFmtId="0" fontId="119" fillId="0" borderId="0" xfId="0" applyFont="1" applyAlignment="1">
      <alignment vertical="center"/>
    </xf>
    <xf numFmtId="0" fontId="119" fillId="0" borderId="63" xfId="0" applyFont="1" applyBorder="1" applyAlignment="1">
      <alignment vertical="center"/>
    </xf>
    <xf numFmtId="0" fontId="119" fillId="0" borderId="64" xfId="0" applyFont="1" applyBorder="1" applyAlignment="1">
      <alignment vertical="center"/>
    </xf>
    <xf numFmtId="0" fontId="119" fillId="0" borderId="65" xfId="0" applyFont="1" applyBorder="1" applyAlignment="1">
      <alignment vertical="center"/>
    </xf>
    <xf numFmtId="0" fontId="97" fillId="0" borderId="0" xfId="0" applyFont="1"/>
    <xf numFmtId="0" fontId="123" fillId="0" borderId="0" xfId="0" applyFont="1"/>
    <xf numFmtId="0" fontId="120" fillId="0" borderId="0" xfId="0" applyFont="1" applyAlignment="1">
      <alignment horizontal="center" vertical="center"/>
    </xf>
    <xf numFmtId="0" fontId="125" fillId="0" borderId="0" xfId="0" applyFont="1" applyAlignment="1">
      <alignment vertical="center"/>
    </xf>
    <xf numFmtId="0" fontId="125" fillId="28" borderId="35" xfId="0" applyFont="1" applyFill="1" applyBorder="1" applyAlignment="1">
      <alignment horizontal="center" vertical="center"/>
    </xf>
    <xf numFmtId="0" fontId="125" fillId="28" borderId="34" xfId="0" applyFont="1" applyFill="1" applyBorder="1" applyAlignment="1">
      <alignment horizontal="center" vertical="center" wrapText="1"/>
    </xf>
    <xf numFmtId="0" fontId="125" fillId="28" borderId="36" xfId="0" applyFont="1" applyFill="1" applyBorder="1" applyAlignment="1">
      <alignment horizontal="center" vertical="center" wrapText="1"/>
    </xf>
    <xf numFmtId="0" fontId="125" fillId="28" borderId="37" xfId="0" applyFont="1" applyFill="1" applyBorder="1" applyAlignment="1">
      <alignment horizontal="center" vertical="center"/>
    </xf>
    <xf numFmtId="0" fontId="125" fillId="28" borderId="36" xfId="0" applyFont="1" applyFill="1" applyBorder="1" applyAlignment="1">
      <alignment horizontal="center" vertical="center"/>
    </xf>
    <xf numFmtId="0" fontId="125" fillId="28" borderId="35" xfId="0" applyFont="1" applyFill="1" applyBorder="1" applyAlignment="1">
      <alignment horizontal="right" vertical="center"/>
    </xf>
    <xf numFmtId="0" fontId="123" fillId="28" borderId="32" xfId="0" applyFont="1" applyFill="1" applyBorder="1" applyAlignment="1">
      <alignment horizontal="center" vertical="center"/>
    </xf>
    <xf numFmtId="41" fontId="126" fillId="0" borderId="34" xfId="1267" applyFont="1" applyBorder="1" applyAlignment="1">
      <alignment vertical="center"/>
    </xf>
    <xf numFmtId="41" fontId="126" fillId="0" borderId="32" xfId="1267" applyFont="1" applyBorder="1" applyAlignment="1">
      <alignment vertical="center"/>
    </xf>
    <xf numFmtId="0" fontId="126" fillId="28" borderId="34" xfId="0" applyFont="1" applyFill="1" applyBorder="1" applyAlignment="1">
      <alignment horizontal="center" vertical="center"/>
    </xf>
    <xf numFmtId="219" fontId="126" fillId="0" borderId="34" xfId="1235" applyNumberFormat="1" applyFont="1" applyFill="1" applyBorder="1" applyAlignment="1">
      <alignment horizontal="center" vertical="center"/>
    </xf>
    <xf numFmtId="178" fontId="126" fillId="0" borderId="32" xfId="0" applyNumberFormat="1" applyFont="1" applyBorder="1" applyAlignment="1">
      <alignment horizontal="right" vertical="center"/>
    </xf>
    <xf numFmtId="178" fontId="122" fillId="29" borderId="32" xfId="0" applyNumberFormat="1" applyFont="1" applyFill="1" applyBorder="1" applyAlignment="1">
      <alignment vertical="center"/>
    </xf>
    <xf numFmtId="0" fontId="125" fillId="0" borderId="35" xfId="0" applyFont="1" applyBorder="1" applyAlignment="1">
      <alignment vertical="center"/>
    </xf>
    <xf numFmtId="0" fontId="125" fillId="0" borderId="35" xfId="0" applyFont="1" applyBorder="1" applyAlignment="1">
      <alignment horizontal="center" vertical="center"/>
    </xf>
    <xf numFmtId="0" fontId="125" fillId="28" borderId="42" xfId="0" applyFont="1" applyFill="1" applyBorder="1" applyAlignment="1">
      <alignment horizontal="right" vertical="center"/>
    </xf>
    <xf numFmtId="0" fontId="127" fillId="28" borderId="39" xfId="0" applyFont="1" applyFill="1" applyBorder="1" applyAlignment="1">
      <alignment vertical="center"/>
    </xf>
    <xf numFmtId="178" fontId="125" fillId="28" borderId="40" xfId="0" applyNumberFormat="1" applyFont="1" applyFill="1" applyBorder="1" applyAlignment="1">
      <alignment vertical="center"/>
    </xf>
    <xf numFmtId="41" fontId="126" fillId="0" borderId="32" xfId="1270" applyFont="1" applyBorder="1" applyAlignment="1">
      <alignment vertical="center"/>
    </xf>
    <xf numFmtId="0" fontId="123" fillId="28" borderId="34" xfId="0" applyFont="1" applyFill="1" applyBorder="1" applyAlignment="1">
      <alignment horizontal="center" vertical="center"/>
    </xf>
    <xf numFmtId="41" fontId="126" fillId="0" borderId="34" xfId="1270" applyFont="1" applyBorder="1" applyAlignment="1">
      <alignment vertical="center"/>
    </xf>
    <xf numFmtId="0" fontId="122" fillId="0" borderId="35" xfId="0" applyFont="1" applyBorder="1" applyAlignment="1">
      <alignment horizontal="right" vertical="center"/>
    </xf>
    <xf numFmtId="0" fontId="122" fillId="0" borderId="35" xfId="0" applyFont="1" applyBorder="1" applyAlignment="1">
      <alignment horizontal="left" vertical="center"/>
    </xf>
    <xf numFmtId="0" fontId="127" fillId="0" borderId="35" xfId="0" applyFont="1" applyBorder="1" applyAlignment="1">
      <alignment vertical="center"/>
    </xf>
    <xf numFmtId="0" fontId="102" fillId="0" borderId="0" xfId="0" applyFont="1" applyAlignment="1">
      <alignment horizontal="right"/>
    </xf>
    <xf numFmtId="0" fontId="108" fillId="0" borderId="49" xfId="0" applyFont="1" applyBorder="1" applyAlignment="1">
      <alignment horizontal="center" vertical="center"/>
    </xf>
    <xf numFmtId="0" fontId="108" fillId="0" borderId="35" xfId="0" applyFont="1" applyBorder="1" applyAlignment="1">
      <alignment horizontal="center" vertical="center"/>
    </xf>
    <xf numFmtId="0" fontId="125" fillId="28" borderId="34" xfId="0" applyFont="1" applyFill="1" applyBorder="1" applyAlignment="1">
      <alignment vertical="center"/>
    </xf>
    <xf numFmtId="0" fontId="108" fillId="0" borderId="43" xfId="0" applyFont="1" applyBorder="1" applyAlignment="1">
      <alignment vertical="center" wrapText="1"/>
    </xf>
    <xf numFmtId="31" fontId="108" fillId="0" borderId="31" xfId="0" applyNumberFormat="1" applyFont="1" applyBorder="1" applyAlignment="1">
      <alignment vertical="center"/>
    </xf>
    <xf numFmtId="0" fontId="108" fillId="0" borderId="31" xfId="0" applyFont="1" applyBorder="1" applyAlignment="1">
      <alignment vertical="center"/>
    </xf>
    <xf numFmtId="0" fontId="108" fillId="0" borderId="43" xfId="0" applyFont="1" applyBorder="1" applyAlignment="1">
      <alignment vertical="center"/>
    </xf>
    <xf numFmtId="178" fontId="125" fillId="0" borderId="32" xfId="0" applyNumberFormat="1" applyFont="1" applyBorder="1" applyAlignment="1">
      <alignment horizontal="right" vertical="center"/>
    </xf>
    <xf numFmtId="180" fontId="130" fillId="31" borderId="35" xfId="0" applyNumberFormat="1" applyFont="1" applyFill="1" applyBorder="1" applyAlignment="1">
      <alignment horizontal="right" vertical="center" shrinkToFit="1"/>
    </xf>
    <xf numFmtId="178" fontId="130" fillId="31" borderId="34" xfId="0" applyNumberFormat="1" applyFont="1" applyFill="1" applyBorder="1" applyAlignment="1">
      <alignment vertical="center"/>
    </xf>
    <xf numFmtId="0" fontId="123" fillId="0" borderId="0" xfId="0" applyFont="1" applyAlignment="1">
      <alignment horizontal="center" vertical="center"/>
    </xf>
    <xf numFmtId="219" fontId="126" fillId="0" borderId="34" xfId="1235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231" fontId="18" fillId="0" borderId="0" xfId="0" applyNumberFormat="1" applyFont="1" applyAlignment="1">
      <alignment horizontal="center" vertical="center"/>
    </xf>
    <xf numFmtId="41" fontId="18" fillId="0" borderId="0" xfId="1267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35" fillId="36" borderId="0" xfId="0" applyFont="1" applyFill="1" applyAlignment="1">
      <alignment horizontal="left" vertical="center" indent="1"/>
    </xf>
    <xf numFmtId="0" fontId="123" fillId="28" borderId="34" xfId="0" applyFont="1" applyFill="1" applyBorder="1" applyAlignment="1">
      <alignment horizontal="left" vertical="center"/>
    </xf>
    <xf numFmtId="0" fontId="125" fillId="28" borderId="42" xfId="0" applyFont="1" applyFill="1" applyBorder="1" applyAlignment="1">
      <alignment horizontal="left" vertical="center"/>
    </xf>
    <xf numFmtId="0" fontId="125" fillId="28" borderId="42" xfId="0" applyFont="1" applyFill="1" applyBorder="1" applyAlignment="1">
      <alignment horizontal="center" vertical="center"/>
    </xf>
    <xf numFmtId="0" fontId="127" fillId="28" borderId="42" xfId="0" applyFont="1" applyFill="1" applyBorder="1" applyAlignment="1">
      <alignment vertical="center"/>
    </xf>
    <xf numFmtId="0" fontId="125" fillId="37" borderId="35" xfId="0" applyFont="1" applyFill="1" applyBorder="1" applyAlignment="1">
      <alignment horizontal="center" vertical="center"/>
    </xf>
    <xf numFmtId="0" fontId="125" fillId="37" borderId="34" xfId="0" applyFont="1" applyFill="1" applyBorder="1" applyAlignment="1">
      <alignment horizontal="center" vertical="center" wrapText="1"/>
    </xf>
    <xf numFmtId="0" fontId="125" fillId="37" borderId="36" xfId="0" applyFont="1" applyFill="1" applyBorder="1" applyAlignment="1">
      <alignment horizontal="center" vertical="center" wrapText="1"/>
    </xf>
    <xf numFmtId="0" fontId="125" fillId="37" borderId="36" xfId="0" applyFont="1" applyFill="1" applyBorder="1" applyAlignment="1">
      <alignment horizontal="center" vertical="center"/>
    </xf>
    <xf numFmtId="0" fontId="125" fillId="37" borderId="35" xfId="0" applyFont="1" applyFill="1" applyBorder="1" applyAlignment="1">
      <alignment horizontal="right" vertical="center"/>
    </xf>
    <xf numFmtId="0" fontId="125" fillId="37" borderId="34" xfId="0" applyFont="1" applyFill="1" applyBorder="1" applyAlignment="1">
      <alignment vertical="center"/>
    </xf>
    <xf numFmtId="0" fontId="127" fillId="37" borderId="32" xfId="0" applyFont="1" applyFill="1" applyBorder="1" applyAlignment="1">
      <alignment vertical="center"/>
    </xf>
    <xf numFmtId="0" fontId="126" fillId="37" borderId="35" xfId="0" applyFont="1" applyFill="1" applyBorder="1" applyAlignment="1">
      <alignment vertical="center"/>
    </xf>
    <xf numFmtId="0" fontId="126" fillId="37" borderId="34" xfId="0" applyFont="1" applyFill="1" applyBorder="1" applyAlignment="1">
      <alignment vertical="center"/>
    </xf>
    <xf numFmtId="0" fontId="126" fillId="37" borderId="32" xfId="0" applyFont="1" applyFill="1" applyBorder="1" applyAlignment="1">
      <alignment horizontal="center" vertical="center"/>
    </xf>
    <xf numFmtId="0" fontId="123" fillId="37" borderId="35" xfId="0" applyFont="1" applyFill="1" applyBorder="1" applyAlignment="1">
      <alignment vertical="center"/>
    </xf>
    <xf numFmtId="0" fontId="123" fillId="37" borderId="34" xfId="0" applyFont="1" applyFill="1" applyBorder="1" applyAlignment="1">
      <alignment vertical="center"/>
    </xf>
    <xf numFmtId="0" fontId="122" fillId="37" borderId="35" xfId="0" applyFont="1" applyFill="1" applyBorder="1" applyAlignment="1">
      <alignment horizontal="right" vertical="center"/>
    </xf>
    <xf numFmtId="0" fontId="122" fillId="37" borderId="34" xfId="0" applyFont="1" applyFill="1" applyBorder="1" applyAlignment="1">
      <alignment horizontal="left" vertical="center"/>
    </xf>
    <xf numFmtId="0" fontId="122" fillId="37" borderId="35" xfId="0" applyFont="1" applyFill="1" applyBorder="1" applyAlignment="1">
      <alignment horizontal="left" vertical="center"/>
    </xf>
    <xf numFmtId="0" fontId="125" fillId="37" borderId="42" xfId="0" applyFont="1" applyFill="1" applyBorder="1" applyAlignment="1">
      <alignment horizontal="right" vertical="center"/>
    </xf>
    <xf numFmtId="0" fontId="125" fillId="37" borderId="42" xfId="0" applyFont="1" applyFill="1" applyBorder="1" applyAlignment="1">
      <alignment horizontal="left" vertical="center"/>
    </xf>
    <xf numFmtId="0" fontId="127" fillId="37" borderId="42" xfId="0" applyFont="1" applyFill="1" applyBorder="1" applyAlignment="1">
      <alignment vertical="center"/>
    </xf>
    <xf numFmtId="0" fontId="127" fillId="37" borderId="39" xfId="0" applyFont="1" applyFill="1" applyBorder="1" applyAlignment="1">
      <alignment vertical="center"/>
    </xf>
    <xf numFmtId="178" fontId="125" fillId="37" borderId="40" xfId="0" applyNumberFormat="1" applyFont="1" applyFill="1" applyBorder="1" applyAlignment="1">
      <alignment vertical="center"/>
    </xf>
    <xf numFmtId="0" fontId="122" fillId="0" borderId="0" xfId="0" applyFont="1" applyAlignment="1">
      <alignment vertical="center"/>
    </xf>
    <xf numFmtId="0" fontId="123" fillId="0" borderId="0" xfId="0" applyFont="1" applyAlignment="1">
      <alignment vertical="center"/>
    </xf>
    <xf numFmtId="0" fontId="122" fillId="0" borderId="61" xfId="0" applyFont="1" applyBorder="1" applyAlignment="1">
      <alignment horizontal="left" vertical="center"/>
    </xf>
    <xf numFmtId="0" fontId="122" fillId="0" borderId="0" xfId="0" applyFont="1" applyAlignment="1">
      <alignment horizontal="left" vertical="center"/>
    </xf>
    <xf numFmtId="0" fontId="123" fillId="0" borderId="62" xfId="0" applyFont="1" applyBorder="1" applyAlignment="1">
      <alignment horizontal="center" vertical="center"/>
    </xf>
    <xf numFmtId="0" fontId="123" fillId="0" borderId="61" xfId="0" applyFont="1" applyBorder="1" applyAlignment="1">
      <alignment horizontal="left" vertical="center" indent="1"/>
    </xf>
    <xf numFmtId="0" fontId="123" fillId="0" borderId="0" xfId="0" applyFont="1" applyAlignment="1">
      <alignment horizontal="left" vertical="center" indent="1"/>
    </xf>
    <xf numFmtId="0" fontId="123" fillId="0" borderId="61" xfId="0" applyFont="1" applyBorder="1" applyAlignment="1">
      <alignment horizontal="left"/>
    </xf>
    <xf numFmtId="0" fontId="123" fillId="0" borderId="0" xfId="0" applyFont="1" applyAlignment="1">
      <alignment horizontal="left" vertical="center"/>
    </xf>
    <xf numFmtId="0" fontId="122" fillId="0" borderId="61" xfId="0" applyFont="1" applyBorder="1" applyAlignment="1">
      <alignment vertical="center"/>
    </xf>
    <xf numFmtId="0" fontId="122" fillId="0" borderId="62" xfId="0" applyFont="1" applyBorder="1" applyAlignment="1">
      <alignment vertical="center"/>
    </xf>
    <xf numFmtId="0" fontId="123" fillId="0" borderId="61" xfId="0" applyFont="1" applyBorder="1" applyAlignment="1">
      <alignment vertical="center"/>
    </xf>
    <xf numFmtId="0" fontId="123" fillId="0" borderId="62" xfId="0" applyFont="1" applyBorder="1" applyAlignment="1">
      <alignment vertical="center" wrapText="1"/>
    </xf>
    <xf numFmtId="0" fontId="123" fillId="0" borderId="62" xfId="0" applyFont="1" applyBorder="1" applyAlignment="1">
      <alignment vertical="center"/>
    </xf>
    <xf numFmtId="0" fontId="97" fillId="0" borderId="63" xfId="0" applyFont="1" applyBorder="1"/>
    <xf numFmtId="0" fontId="97" fillId="0" borderId="64" xfId="0" applyFont="1" applyBorder="1"/>
    <xf numFmtId="0" fontId="97" fillId="0" borderId="65" xfId="0" applyFont="1" applyBorder="1"/>
    <xf numFmtId="0" fontId="122" fillId="0" borderId="0" xfId="0" applyFont="1" applyAlignment="1">
      <alignment horizontal="center" vertical="center"/>
    </xf>
    <xf numFmtId="229" fontId="123" fillId="0" borderId="32" xfId="1267" applyNumberFormat="1" applyFont="1" applyBorder="1" applyAlignment="1">
      <alignment horizontal="center" vertical="center"/>
    </xf>
    <xf numFmtId="0" fontId="125" fillId="34" borderId="34" xfId="0" applyFont="1" applyFill="1" applyBorder="1" applyAlignment="1">
      <alignment horizontal="center" vertical="center" wrapText="1"/>
    </xf>
    <xf numFmtId="0" fontId="125" fillId="34" borderId="36" xfId="0" applyFont="1" applyFill="1" applyBorder="1" applyAlignment="1">
      <alignment horizontal="center" vertical="center" wrapText="1"/>
    </xf>
    <xf numFmtId="0" fontId="125" fillId="34" borderId="36" xfId="0" applyFont="1" applyFill="1" applyBorder="1" applyAlignment="1">
      <alignment horizontal="center" vertical="center"/>
    </xf>
    <xf numFmtId="0" fontId="125" fillId="34" borderId="35" xfId="0" applyFont="1" applyFill="1" applyBorder="1" applyAlignment="1">
      <alignment horizontal="right" vertical="center"/>
    </xf>
    <xf numFmtId="0" fontId="125" fillId="34" borderId="34" xfId="0" applyFont="1" applyFill="1" applyBorder="1" applyAlignment="1">
      <alignment vertical="center"/>
    </xf>
    <xf numFmtId="0" fontId="127" fillId="34" borderId="32" xfId="0" applyFont="1" applyFill="1" applyBorder="1" applyAlignment="1">
      <alignment vertical="center"/>
    </xf>
    <xf numFmtId="0" fontId="126" fillId="34" borderId="35" xfId="0" applyFont="1" applyFill="1" applyBorder="1" applyAlignment="1">
      <alignment vertical="center"/>
    </xf>
    <xf numFmtId="0" fontId="126" fillId="34" borderId="34" xfId="0" applyFont="1" applyFill="1" applyBorder="1" applyAlignment="1">
      <alignment vertical="center"/>
    </xf>
    <xf numFmtId="0" fontId="126" fillId="34" borderId="32" xfId="0" applyFont="1" applyFill="1" applyBorder="1" applyAlignment="1">
      <alignment horizontal="center" vertical="center"/>
    </xf>
    <xf numFmtId="0" fontId="123" fillId="34" borderId="35" xfId="0" applyFont="1" applyFill="1" applyBorder="1" applyAlignment="1">
      <alignment vertical="center"/>
    </xf>
    <xf numFmtId="0" fontId="123" fillId="34" borderId="34" xfId="0" applyFont="1" applyFill="1" applyBorder="1" applyAlignment="1">
      <alignment vertical="center"/>
    </xf>
    <xf numFmtId="0" fontId="122" fillId="34" borderId="35" xfId="0" applyFont="1" applyFill="1" applyBorder="1" applyAlignment="1">
      <alignment horizontal="right" vertical="center"/>
    </xf>
    <xf numFmtId="0" fontId="122" fillId="34" borderId="34" xfId="0" applyFont="1" applyFill="1" applyBorder="1" applyAlignment="1">
      <alignment horizontal="left" vertical="center"/>
    </xf>
    <xf numFmtId="0" fontId="122" fillId="34" borderId="35" xfId="0" applyFont="1" applyFill="1" applyBorder="1" applyAlignment="1">
      <alignment horizontal="left" vertical="center"/>
    </xf>
    <xf numFmtId="0" fontId="125" fillId="34" borderId="42" xfId="0" applyFont="1" applyFill="1" applyBorder="1" applyAlignment="1">
      <alignment horizontal="right" vertical="center"/>
    </xf>
    <xf numFmtId="0" fontId="125" fillId="34" borderId="42" xfId="0" applyFont="1" applyFill="1" applyBorder="1" applyAlignment="1">
      <alignment horizontal="left" vertical="center"/>
    </xf>
    <xf numFmtId="0" fontId="127" fillId="34" borderId="42" xfId="0" applyFont="1" applyFill="1" applyBorder="1" applyAlignment="1">
      <alignment vertical="center"/>
    </xf>
    <xf numFmtId="0" fontId="127" fillId="34" borderId="39" xfId="0" applyFont="1" applyFill="1" applyBorder="1" applyAlignment="1">
      <alignment vertical="center"/>
    </xf>
    <xf numFmtId="178" fontId="125" fillId="34" borderId="40" xfId="0" applyNumberFormat="1" applyFont="1" applyFill="1" applyBorder="1" applyAlignment="1">
      <alignment vertical="center"/>
    </xf>
    <xf numFmtId="0" fontId="125" fillId="34" borderId="35" xfId="0" applyFont="1" applyFill="1" applyBorder="1" applyAlignment="1">
      <alignment horizontal="center" vertical="center"/>
    </xf>
    <xf numFmtId="0" fontId="138" fillId="0" borderId="114" xfId="0" applyFont="1" applyBorder="1" applyAlignment="1">
      <alignment horizontal="center" vertical="center" wrapText="1"/>
    </xf>
    <xf numFmtId="0" fontId="138" fillId="0" borderId="113" xfId="0" applyFont="1" applyBorder="1" applyAlignment="1">
      <alignment horizontal="center" vertical="center" wrapText="1"/>
    </xf>
    <xf numFmtId="0" fontId="138" fillId="0" borderId="0" xfId="0" applyFont="1" applyAlignment="1">
      <alignment vertical="center"/>
    </xf>
    <xf numFmtId="0" fontId="108" fillId="0" borderId="30" xfId="0" applyFont="1" applyBorder="1" applyAlignment="1">
      <alignment vertical="center"/>
    </xf>
    <xf numFmtId="0" fontId="125" fillId="0" borderId="0" xfId="0" applyFont="1" applyAlignment="1">
      <alignment horizontal="center" vertical="center"/>
    </xf>
    <xf numFmtId="178" fontId="122" fillId="0" borderId="0" xfId="0" applyNumberFormat="1" applyFont="1" applyAlignment="1">
      <alignment vertical="center"/>
    </xf>
    <xf numFmtId="178" fontId="125" fillId="0" borderId="0" xfId="0" applyNumberFormat="1" applyFont="1" applyAlignment="1">
      <alignment vertical="center"/>
    </xf>
    <xf numFmtId="0" fontId="139" fillId="0" borderId="0" xfId="0" applyFont="1" applyAlignment="1">
      <alignment vertical="center"/>
    </xf>
    <xf numFmtId="229" fontId="122" fillId="0" borderId="0" xfId="1267" applyNumberFormat="1" applyFont="1" applyFill="1" applyBorder="1" applyAlignment="1">
      <alignment horizontal="center" vertical="center"/>
    </xf>
    <xf numFmtId="41" fontId="125" fillId="0" borderId="0" xfId="1267" applyFont="1" applyFill="1" applyBorder="1" applyAlignment="1">
      <alignment vertical="center"/>
    </xf>
    <xf numFmtId="229" fontId="125" fillId="0" borderId="0" xfId="0" applyNumberFormat="1" applyFont="1" applyAlignment="1">
      <alignment vertical="center"/>
    </xf>
    <xf numFmtId="41" fontId="125" fillId="0" borderId="0" xfId="1270" applyFont="1" applyFill="1" applyBorder="1" applyAlignment="1">
      <alignment vertical="center"/>
    </xf>
    <xf numFmtId="0" fontId="122" fillId="0" borderId="0" xfId="0" applyFont="1"/>
    <xf numFmtId="0" fontId="140" fillId="0" borderId="0" xfId="0" applyFont="1"/>
    <xf numFmtId="0" fontId="122" fillId="0" borderId="0" xfId="0" applyFont="1" applyAlignment="1">
      <alignment vertical="center" wrapText="1"/>
    </xf>
    <xf numFmtId="231" fontId="122" fillId="0" borderId="0" xfId="0" applyNumberFormat="1" applyFont="1" applyAlignment="1">
      <alignment horizontal="center" vertical="center" wrapText="1"/>
    </xf>
    <xf numFmtId="0" fontId="122" fillId="0" borderId="92" xfId="0" applyFont="1" applyBorder="1" applyAlignment="1">
      <alignment horizontal="center" vertical="center"/>
    </xf>
    <xf numFmtId="0" fontId="122" fillId="0" borderId="92" xfId="0" applyFont="1" applyBorder="1" applyAlignment="1">
      <alignment horizontal="center" vertical="center" wrapText="1"/>
    </xf>
    <xf numFmtId="41" fontId="125" fillId="0" borderId="30" xfId="1267" applyFont="1" applyFill="1" applyBorder="1" applyAlignment="1">
      <alignment vertical="center"/>
    </xf>
    <xf numFmtId="41" fontId="125" fillId="0" borderId="84" xfId="1270" applyFont="1" applyFill="1" applyBorder="1" applyAlignment="1">
      <alignment vertical="center"/>
    </xf>
    <xf numFmtId="0" fontId="140" fillId="0" borderId="84" xfId="0" applyFont="1" applyBorder="1"/>
    <xf numFmtId="0" fontId="125" fillId="0" borderId="90" xfId="0" applyFont="1" applyBorder="1" applyAlignment="1">
      <alignment vertical="center"/>
    </xf>
    <xf numFmtId="0" fontId="125" fillId="0" borderId="29" xfId="0" applyFont="1" applyBorder="1" applyAlignment="1">
      <alignment vertical="center"/>
    </xf>
    <xf numFmtId="219" fontId="125" fillId="0" borderId="29" xfId="1235" applyNumberFormat="1" applyFont="1" applyFill="1" applyBorder="1" applyAlignment="1">
      <alignment horizontal="center" vertical="center"/>
    </xf>
    <xf numFmtId="178" fontId="125" fillId="0" borderId="29" xfId="0" applyNumberFormat="1" applyFont="1" applyBorder="1" applyAlignment="1">
      <alignment horizontal="right" vertical="center"/>
    </xf>
    <xf numFmtId="178" fontId="125" fillId="0" borderId="29" xfId="0" applyNumberFormat="1" applyFont="1" applyBorder="1" applyAlignment="1">
      <alignment vertical="center"/>
    </xf>
    <xf numFmtId="178" fontId="125" fillId="0" borderId="91" xfId="0" applyNumberFormat="1" applyFont="1" applyBorder="1" applyAlignment="1">
      <alignment vertical="center"/>
    </xf>
    <xf numFmtId="178" fontId="125" fillId="0" borderId="89" xfId="0" applyNumberFormat="1" applyFont="1" applyBorder="1" applyAlignment="1">
      <alignment horizontal="right" vertical="center"/>
    </xf>
    <xf numFmtId="0" fontId="125" fillId="0" borderId="89" xfId="0" applyFont="1" applyBorder="1" applyAlignment="1">
      <alignment horizontal="center" vertical="center"/>
    </xf>
    <xf numFmtId="0" fontId="122" fillId="0" borderId="89" xfId="0" applyFont="1" applyBorder="1"/>
    <xf numFmtId="0" fontId="122" fillId="0" borderId="90" xfId="0" applyFont="1" applyBorder="1" applyAlignment="1">
      <alignment horizontal="center" vertical="center"/>
    </xf>
    <xf numFmtId="0" fontId="122" fillId="0" borderId="90" xfId="0" applyFont="1" applyBorder="1"/>
    <xf numFmtId="0" fontId="122" fillId="0" borderId="93" xfId="0" applyFont="1" applyBorder="1"/>
    <xf numFmtId="0" fontId="122" fillId="0" borderId="92" xfId="0" applyFont="1" applyBorder="1"/>
    <xf numFmtId="0" fontId="123" fillId="0" borderId="92" xfId="0" applyFont="1" applyBorder="1"/>
    <xf numFmtId="0" fontId="125" fillId="0" borderId="61" xfId="0" applyFont="1" applyBorder="1" applyAlignment="1">
      <alignment horizontal="center" vertical="center"/>
    </xf>
    <xf numFmtId="0" fontId="122" fillId="0" borderId="62" xfId="0" applyFont="1" applyBorder="1"/>
    <xf numFmtId="0" fontId="125" fillId="0" borderId="61" xfId="0" applyFont="1" applyBorder="1" applyAlignment="1">
      <alignment vertical="center"/>
    </xf>
    <xf numFmtId="0" fontId="125" fillId="0" borderId="61" xfId="0" applyFont="1" applyBorder="1" applyAlignment="1">
      <alignment horizontal="right" vertical="center"/>
    </xf>
    <xf numFmtId="0" fontId="140" fillId="0" borderId="62" xfId="0" applyFont="1" applyBorder="1"/>
    <xf numFmtId="0" fontId="122" fillId="0" borderId="61" xfId="0" applyFont="1" applyBorder="1" applyAlignment="1">
      <alignment horizontal="right" vertical="center"/>
    </xf>
    <xf numFmtId="0" fontId="122" fillId="0" borderId="61" xfId="0" applyFont="1" applyBorder="1" applyAlignment="1">
      <alignment horizontal="left" vertical="center" indent="1"/>
    </xf>
    <xf numFmtId="0" fontId="122" fillId="0" borderId="61" xfId="0" applyFont="1" applyBorder="1" applyAlignment="1">
      <alignment horizontal="left"/>
    </xf>
    <xf numFmtId="0" fontId="122" fillId="0" borderId="61" xfId="0" applyFont="1" applyBorder="1"/>
    <xf numFmtId="0" fontId="123" fillId="0" borderId="61" xfId="0" applyFont="1" applyBorder="1"/>
    <xf numFmtId="0" fontId="123" fillId="0" borderId="62" xfId="0" applyFont="1" applyBorder="1"/>
    <xf numFmtId="0" fontId="143" fillId="0" borderId="64" xfId="0" applyFont="1" applyBorder="1" applyAlignment="1">
      <alignment vertical="center"/>
    </xf>
    <xf numFmtId="0" fontId="142" fillId="0" borderId="0" xfId="0" applyFont="1" applyAlignment="1">
      <alignment horizontal="center" vertical="center"/>
    </xf>
    <xf numFmtId="0" fontId="143" fillId="0" borderId="0" xfId="0" applyFont="1" applyAlignment="1">
      <alignment vertical="center"/>
    </xf>
    <xf numFmtId="0" fontId="142" fillId="0" borderId="29" xfId="0" applyFont="1" applyBorder="1" applyAlignment="1">
      <alignment vertical="center"/>
    </xf>
    <xf numFmtId="0" fontId="145" fillId="36" borderId="0" xfId="0" applyFont="1" applyFill="1" applyAlignment="1">
      <alignment horizontal="left" vertical="center" indent="1"/>
    </xf>
    <xf numFmtId="0" fontId="144" fillId="36" borderId="0" xfId="0" applyFont="1" applyFill="1" applyAlignment="1">
      <alignment horizontal="right" vertical="center" indent="2"/>
    </xf>
    <xf numFmtId="0" fontId="146" fillId="36" borderId="0" xfId="0" applyFont="1" applyFill="1" applyAlignment="1">
      <alignment horizontal="left" vertical="center" indent="1"/>
    </xf>
    <xf numFmtId="41" fontId="141" fillId="0" borderId="0" xfId="1267" applyFont="1" applyFill="1" applyBorder="1" applyAlignment="1">
      <alignment vertical="center"/>
    </xf>
    <xf numFmtId="0" fontId="140" fillId="0" borderId="91" xfId="0" applyFont="1" applyBorder="1"/>
    <xf numFmtId="231" fontId="138" fillId="0" borderId="114" xfId="0" applyNumberFormat="1" applyFont="1" applyBorder="1" applyAlignment="1">
      <alignment horizontal="center" vertical="center" wrapText="1"/>
    </xf>
    <xf numFmtId="231" fontId="138" fillId="0" borderId="113" xfId="0" applyNumberFormat="1" applyFont="1" applyBorder="1" applyAlignment="1">
      <alignment horizontal="center" vertical="center" wrapText="1"/>
    </xf>
    <xf numFmtId="0" fontId="148" fillId="32" borderId="32" xfId="0" applyFont="1" applyFill="1" applyBorder="1" applyAlignment="1">
      <alignment horizontal="center" vertical="center"/>
    </xf>
    <xf numFmtId="0" fontId="138" fillId="0" borderId="135" xfId="0" applyFont="1" applyBorder="1" applyAlignment="1">
      <alignment horizontal="center" vertical="center" wrapText="1"/>
    </xf>
    <xf numFmtId="231" fontId="138" fillId="0" borderId="135" xfId="0" applyNumberFormat="1" applyFont="1" applyBorder="1" applyAlignment="1">
      <alignment horizontal="center" vertical="center" wrapText="1"/>
    </xf>
    <xf numFmtId="0" fontId="151" fillId="0" borderId="0" xfId="0" applyFont="1" applyAlignment="1">
      <alignment horizontal="center" vertical="center"/>
    </xf>
    <xf numFmtId="0" fontId="152" fillId="0" borderId="0" xfId="0" applyFont="1" applyAlignment="1">
      <alignment vertical="center"/>
    </xf>
    <xf numFmtId="0" fontId="152" fillId="35" borderId="2" xfId="0" applyFont="1" applyFill="1" applyBorder="1" applyAlignment="1">
      <alignment horizontal="center" vertical="center"/>
    </xf>
    <xf numFmtId="229" fontId="151" fillId="0" borderId="2" xfId="0" applyNumberFormat="1" applyFont="1" applyBorder="1" applyAlignment="1">
      <alignment horizontal="center" vertical="center"/>
    </xf>
    <xf numFmtId="0" fontId="151" fillId="0" borderId="0" xfId="0" applyFont="1" applyAlignment="1">
      <alignment vertical="center"/>
    </xf>
    <xf numFmtId="229" fontId="152" fillId="0" borderId="2" xfId="0" applyNumberFormat="1" applyFont="1" applyBorder="1" applyAlignment="1">
      <alignment horizontal="center" vertical="center"/>
    </xf>
    <xf numFmtId="0" fontId="152" fillId="35" borderId="143" xfId="0" applyFont="1" applyFill="1" applyBorder="1" applyAlignment="1">
      <alignment horizontal="center" vertical="center"/>
    </xf>
    <xf numFmtId="229" fontId="151" fillId="0" borderId="143" xfId="0" applyNumberFormat="1" applyFont="1" applyBorder="1" applyAlignment="1">
      <alignment horizontal="center" vertical="center"/>
    </xf>
    <xf numFmtId="229" fontId="152" fillId="0" borderId="143" xfId="0" applyNumberFormat="1" applyFont="1" applyBorder="1" applyAlignment="1">
      <alignment horizontal="center" vertical="center"/>
    </xf>
    <xf numFmtId="0" fontId="152" fillId="35" borderId="138" xfId="0" applyFont="1" applyFill="1" applyBorder="1" applyAlignment="1">
      <alignment horizontal="center" vertical="center"/>
    </xf>
    <xf numFmtId="0" fontId="152" fillId="27" borderId="136" xfId="0" applyFont="1" applyFill="1" applyBorder="1" applyAlignment="1">
      <alignment horizontal="center" vertical="center"/>
    </xf>
    <xf numFmtId="229" fontId="152" fillId="27" borderId="137" xfId="0" applyNumberFormat="1" applyFont="1" applyFill="1" applyBorder="1" applyAlignment="1">
      <alignment horizontal="center" vertical="center"/>
    </xf>
    <xf numFmtId="229" fontId="152" fillId="27" borderId="145" xfId="0" applyNumberFormat="1" applyFont="1" applyFill="1" applyBorder="1" applyAlignment="1">
      <alignment horizontal="center" vertical="center"/>
    </xf>
    <xf numFmtId="232" fontId="18" fillId="0" borderId="0" xfId="1267" applyNumberFormat="1" applyFont="1" applyAlignment="1">
      <alignment horizontal="center" vertical="center"/>
    </xf>
    <xf numFmtId="0" fontId="108" fillId="0" borderId="0" xfId="0" applyFont="1" applyAlignment="1">
      <alignment vertical="center"/>
    </xf>
    <xf numFmtId="0" fontId="107" fillId="0" borderId="0" xfId="0" applyFont="1" applyAlignment="1">
      <alignment vertical="center"/>
    </xf>
    <xf numFmtId="0" fontId="112" fillId="0" borderId="0" xfId="0" applyFont="1" applyAlignment="1">
      <alignment vertical="center"/>
    </xf>
    <xf numFmtId="0" fontId="108" fillId="0" borderId="0" xfId="0" applyFont="1" applyAlignment="1">
      <alignment horizontal="center" vertical="center"/>
    </xf>
    <xf numFmtId="0" fontId="111" fillId="0" borderId="0" xfId="0" applyFont="1" applyAlignment="1">
      <alignment vertical="center"/>
    </xf>
    <xf numFmtId="31" fontId="108" fillId="0" borderId="0" xfId="0" applyNumberFormat="1" applyFont="1" applyAlignment="1">
      <alignment vertical="center"/>
    </xf>
    <xf numFmtId="0" fontId="99" fillId="33" borderId="0" xfId="0" applyFont="1" applyFill="1" applyAlignment="1">
      <alignment vertical="center"/>
    </xf>
    <xf numFmtId="0" fontId="106" fillId="33" borderId="0" xfId="0" applyFont="1" applyFill="1" applyAlignment="1">
      <alignment vertical="center"/>
    </xf>
    <xf numFmtId="0" fontId="113" fillId="0" borderId="0" xfId="0" applyFont="1" applyAlignment="1">
      <alignment vertical="center" wrapText="1"/>
    </xf>
    <xf numFmtId="0" fontId="119" fillId="33" borderId="0" xfId="0" applyFont="1" applyFill="1" applyAlignment="1">
      <alignment vertical="center"/>
    </xf>
    <xf numFmtId="0" fontId="155" fillId="0" borderId="64" xfId="1442" applyFont="1" applyBorder="1" applyAlignment="1">
      <alignment vertical="center"/>
    </xf>
    <xf numFmtId="0" fontId="137" fillId="0" borderId="64" xfId="1442" applyFont="1" applyBorder="1" applyAlignment="1">
      <alignment vertical="center"/>
    </xf>
    <xf numFmtId="0" fontId="154" fillId="0" borderId="64" xfId="1442" applyFont="1" applyBorder="1" applyAlignment="1">
      <alignment vertical="center"/>
    </xf>
    <xf numFmtId="0" fontId="104" fillId="0" borderId="0" xfId="0" applyFont="1" applyAlignment="1">
      <alignment vertical="center"/>
    </xf>
    <xf numFmtId="0" fontId="105" fillId="0" borderId="0" xfId="0" applyFont="1" applyAlignment="1">
      <alignment vertical="center"/>
    </xf>
    <xf numFmtId="0" fontId="157" fillId="0" borderId="0" xfId="0" applyFont="1" applyAlignment="1">
      <alignment horizontal="center" vertical="center" wrapText="1"/>
    </xf>
    <xf numFmtId="41" fontId="157" fillId="0" borderId="0" xfId="1267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56" fillId="0" borderId="0" xfId="0" applyFont="1" applyAlignment="1">
      <alignment horizontal="center" vertical="center"/>
    </xf>
    <xf numFmtId="41" fontId="157" fillId="0" borderId="0" xfId="1267" applyFont="1" applyFill="1" applyBorder="1" applyAlignment="1">
      <alignment horizontal="center" vertical="center"/>
    </xf>
    <xf numFmtId="0" fontId="158" fillId="0" borderId="68" xfId="1442" applyFont="1" applyBorder="1" applyAlignment="1">
      <alignment horizontal="left" vertical="center" indent="1"/>
    </xf>
    <xf numFmtId="0" fontId="160" fillId="0" borderId="67" xfId="0" applyFont="1" applyBorder="1" applyAlignment="1">
      <alignment vertical="center"/>
    </xf>
    <xf numFmtId="0" fontId="161" fillId="0" borderId="68" xfId="1442" applyFont="1" applyBorder="1" applyAlignment="1">
      <alignment horizontal="left" vertical="center" indent="1"/>
    </xf>
    <xf numFmtId="0" fontId="158" fillId="0" borderId="0" xfId="1442" applyFont="1" applyAlignment="1">
      <alignment vertical="center"/>
    </xf>
    <xf numFmtId="0" fontId="159" fillId="0" borderId="0" xfId="0" applyFont="1" applyAlignment="1">
      <alignment vertical="center"/>
    </xf>
    <xf numFmtId="0" fontId="158" fillId="0" borderId="0" xfId="0" applyFont="1" applyAlignment="1">
      <alignment vertical="center"/>
    </xf>
    <xf numFmtId="0" fontId="162" fillId="27" borderId="146" xfId="1442" applyFont="1" applyFill="1" applyBorder="1" applyAlignment="1">
      <alignment horizontal="left" vertical="center" indent="1"/>
    </xf>
    <xf numFmtId="0" fontId="163" fillId="27" borderId="147" xfId="1442" applyFont="1" applyFill="1" applyBorder="1" applyAlignment="1">
      <alignment vertical="center"/>
    </xf>
    <xf numFmtId="0" fontId="164" fillId="27" borderId="147" xfId="0" applyFont="1" applyFill="1" applyBorder="1" applyAlignment="1">
      <alignment vertical="center"/>
    </xf>
    <xf numFmtId="0" fontId="164" fillId="27" borderId="148" xfId="0" applyFont="1" applyFill="1" applyBorder="1" applyAlignment="1">
      <alignment vertical="center"/>
    </xf>
    <xf numFmtId="0" fontId="123" fillId="28" borderId="35" xfId="0" applyFont="1" applyFill="1" applyBorder="1" applyAlignment="1">
      <alignment horizontal="left" vertical="center"/>
    </xf>
    <xf numFmtId="0" fontId="123" fillId="37" borderId="32" xfId="0" applyFont="1" applyFill="1" applyBorder="1" applyAlignment="1">
      <alignment horizontal="center" vertical="center"/>
    </xf>
    <xf numFmtId="230" fontId="116" fillId="29" borderId="31" xfId="0" applyNumberFormat="1" applyFont="1" applyFill="1" applyBorder="1" applyAlignment="1">
      <alignment horizontal="center" vertical="center" wrapText="1"/>
    </xf>
    <xf numFmtId="230" fontId="116" fillId="0" borderId="43" xfId="0" applyNumberFormat="1" applyFont="1" applyBorder="1" applyAlignment="1">
      <alignment vertical="center" wrapText="1"/>
    </xf>
    <xf numFmtId="0" fontId="167" fillId="0" borderId="0" xfId="0" applyFont="1"/>
    <xf numFmtId="0" fontId="166" fillId="35" borderId="94" xfId="0" applyFont="1" applyFill="1" applyBorder="1" applyAlignment="1">
      <alignment horizontal="center" vertical="center"/>
    </xf>
    <xf numFmtId="0" fontId="166" fillId="35" borderId="95" xfId="0" applyFont="1" applyFill="1" applyBorder="1" applyAlignment="1">
      <alignment horizontal="center" vertical="center"/>
    </xf>
    <xf numFmtId="0" fontId="166" fillId="35" borderId="96" xfId="0" applyFont="1" applyFill="1" applyBorder="1" applyAlignment="1">
      <alignment horizontal="center" vertical="center"/>
    </xf>
    <xf numFmtId="0" fontId="166" fillId="35" borderId="97" xfId="0" applyFont="1" applyFill="1" applyBorder="1" applyAlignment="1">
      <alignment horizontal="center" vertical="center"/>
    </xf>
    <xf numFmtId="0" fontId="166" fillId="35" borderId="94" xfId="1267" applyNumberFormat="1" applyFont="1" applyFill="1" applyBorder="1" applyAlignment="1">
      <alignment horizontal="center" vertical="center"/>
    </xf>
    <xf numFmtId="0" fontId="166" fillId="35" borderId="98" xfId="1267" applyNumberFormat="1" applyFont="1" applyFill="1" applyBorder="1" applyAlignment="1">
      <alignment horizontal="center" vertical="center"/>
    </xf>
    <xf numFmtId="0" fontId="166" fillId="35" borderId="151" xfId="1267" applyNumberFormat="1" applyFont="1" applyFill="1" applyBorder="1" applyAlignment="1">
      <alignment horizontal="center" vertical="center"/>
    </xf>
    <xf numFmtId="41" fontId="167" fillId="0" borderId="0" xfId="0" applyNumberFormat="1" applyFont="1"/>
    <xf numFmtId="0" fontId="165" fillId="0" borderId="0" xfId="0" applyFont="1" applyAlignment="1">
      <alignment horizontal="left" vertical="center"/>
    </xf>
    <xf numFmtId="41" fontId="165" fillId="0" borderId="0" xfId="1267" applyFont="1" applyAlignment="1">
      <alignment horizontal="center"/>
    </xf>
    <xf numFmtId="0" fontId="165" fillId="0" borderId="0" xfId="0" applyFont="1" applyAlignment="1">
      <alignment horizontal="center"/>
    </xf>
    <xf numFmtId="0" fontId="168" fillId="0" borderId="0" xfId="0" applyFont="1"/>
    <xf numFmtId="41" fontId="168" fillId="0" borderId="0" xfId="0" applyNumberFormat="1" applyFont="1"/>
    <xf numFmtId="0" fontId="169" fillId="0" borderId="106" xfId="0" applyFont="1" applyBorder="1" applyAlignment="1">
      <alignment horizontal="center" vertical="center"/>
    </xf>
    <xf numFmtId="41" fontId="169" fillId="0" borderId="70" xfId="1267" applyFont="1" applyFill="1" applyBorder="1" applyAlignment="1">
      <alignment horizontal="center" vertical="center"/>
    </xf>
    <xf numFmtId="2" fontId="169" fillId="0" borderId="107" xfId="0" applyNumberFormat="1" applyFont="1" applyBorder="1" applyAlignment="1">
      <alignment horizontal="center" vertical="center"/>
    </xf>
    <xf numFmtId="41" fontId="169" fillId="0" borderId="106" xfId="1267" applyFont="1" applyFill="1" applyBorder="1" applyAlignment="1">
      <alignment horizontal="center" vertical="center"/>
    </xf>
    <xf numFmtId="41" fontId="169" fillId="30" borderId="108" xfId="1267" applyFont="1" applyFill="1" applyBorder="1" applyAlignment="1">
      <alignment horizontal="center" vertical="center"/>
    </xf>
    <xf numFmtId="41" fontId="169" fillId="0" borderId="109" xfId="1267" applyFont="1" applyFill="1" applyBorder="1" applyAlignment="1">
      <alignment horizontal="center" vertical="center"/>
    </xf>
    <xf numFmtId="41" fontId="169" fillId="29" borderId="107" xfId="1267" applyFont="1" applyFill="1" applyBorder="1" applyAlignment="1">
      <alignment horizontal="center" vertical="center"/>
    </xf>
    <xf numFmtId="41" fontId="169" fillId="0" borderId="110" xfId="1267" applyFont="1" applyFill="1" applyBorder="1" applyAlignment="1">
      <alignment horizontal="center" vertical="center"/>
    </xf>
    <xf numFmtId="41" fontId="169" fillId="0" borderId="107" xfId="1267" applyFont="1" applyFill="1" applyBorder="1" applyAlignment="1">
      <alignment horizontal="center" vertical="center"/>
    </xf>
    <xf numFmtId="41" fontId="169" fillId="0" borderId="111" xfId="1267" applyFont="1" applyFill="1" applyBorder="1" applyAlignment="1">
      <alignment horizontal="center" vertical="center"/>
    </xf>
    <xf numFmtId="0" fontId="169" fillId="0" borderId="74" xfId="0" applyFont="1" applyBorder="1" applyAlignment="1">
      <alignment horizontal="center" vertical="center"/>
    </xf>
    <xf numFmtId="41" fontId="169" fillId="0" borderId="82" xfId="1267" applyFont="1" applyFill="1" applyBorder="1" applyAlignment="1">
      <alignment horizontal="center" vertical="center"/>
    </xf>
    <xf numFmtId="2" fontId="169" fillId="0" borderId="79" xfId="0" applyNumberFormat="1" applyFont="1" applyBorder="1" applyAlignment="1">
      <alignment horizontal="center" vertical="center"/>
    </xf>
    <xf numFmtId="41" fontId="169" fillId="0" borderId="74" xfId="1267" applyFont="1" applyFill="1" applyBorder="1" applyAlignment="1">
      <alignment horizontal="center" vertical="center"/>
    </xf>
    <xf numFmtId="41" fontId="169" fillId="30" borderId="75" xfId="1267" applyFont="1" applyFill="1" applyBorder="1" applyAlignment="1">
      <alignment horizontal="center" vertical="center"/>
    </xf>
    <xf numFmtId="41" fontId="169" fillId="0" borderId="80" xfId="1267" applyFont="1" applyFill="1" applyBorder="1" applyAlignment="1">
      <alignment horizontal="center" vertical="center"/>
    </xf>
    <xf numFmtId="41" fontId="169" fillId="29" borderId="79" xfId="1267" applyFont="1" applyFill="1" applyBorder="1" applyAlignment="1">
      <alignment horizontal="center" vertical="center"/>
    </xf>
    <xf numFmtId="41" fontId="169" fillId="0" borderId="81" xfId="1267" applyFont="1" applyFill="1" applyBorder="1" applyAlignment="1">
      <alignment horizontal="center" vertical="center"/>
    </xf>
    <xf numFmtId="41" fontId="169" fillId="0" borderId="79" xfId="1267" applyFont="1" applyFill="1" applyBorder="1" applyAlignment="1">
      <alignment horizontal="center" vertical="center"/>
    </xf>
    <xf numFmtId="41" fontId="169" fillId="0" borderId="86" xfId="1267" applyFont="1" applyFill="1" applyBorder="1" applyAlignment="1">
      <alignment horizontal="center" vertical="center"/>
    </xf>
    <xf numFmtId="0" fontId="169" fillId="0" borderId="139" xfId="0" applyFont="1" applyBorder="1" applyAlignment="1">
      <alignment horizontal="center" vertical="center"/>
    </xf>
    <xf numFmtId="41" fontId="169" fillId="0" borderId="5" xfId="1267" applyFont="1" applyFill="1" applyBorder="1" applyAlignment="1">
      <alignment horizontal="center" vertical="center"/>
    </xf>
    <xf numFmtId="2" fontId="169" fillId="0" borderId="149" xfId="0" applyNumberFormat="1" applyFont="1" applyBorder="1" applyAlignment="1">
      <alignment horizontal="center" vertical="center"/>
    </xf>
    <xf numFmtId="41" fontId="169" fillId="0" borderId="139" xfId="1267" applyFont="1" applyFill="1" applyBorder="1" applyAlignment="1">
      <alignment horizontal="center" vertical="center"/>
    </xf>
    <xf numFmtId="41" fontId="169" fillId="30" borderId="141" xfId="1267" applyFont="1" applyFill="1" applyBorder="1" applyAlignment="1">
      <alignment horizontal="center" vertical="center"/>
    </xf>
    <xf numFmtId="41" fontId="169" fillId="0" borderId="150" xfId="1267" applyFont="1" applyFill="1" applyBorder="1" applyAlignment="1">
      <alignment horizontal="center" vertical="center"/>
    </xf>
    <xf numFmtId="41" fontId="169" fillId="29" borderId="149" xfId="1267" applyFont="1" applyFill="1" applyBorder="1" applyAlignment="1">
      <alignment horizontal="center" vertical="center"/>
    </xf>
    <xf numFmtId="41" fontId="169" fillId="0" borderId="140" xfId="1267" applyFont="1" applyFill="1" applyBorder="1" applyAlignment="1">
      <alignment horizontal="center" vertical="center"/>
    </xf>
    <xf numFmtId="41" fontId="169" fillId="0" borderId="149" xfId="1267" applyFont="1" applyFill="1" applyBorder="1" applyAlignment="1">
      <alignment horizontal="center" vertical="center"/>
    </xf>
    <xf numFmtId="41" fontId="169" fillId="0" borderId="142" xfId="1267" applyFont="1" applyFill="1" applyBorder="1" applyAlignment="1">
      <alignment horizontal="center" vertical="center"/>
    </xf>
    <xf numFmtId="0" fontId="169" fillId="0" borderId="100" xfId="0" applyFont="1" applyBorder="1" applyAlignment="1">
      <alignment horizontal="center" vertical="center"/>
    </xf>
    <xf numFmtId="41" fontId="169" fillId="0" borderId="20" xfId="1267" applyFont="1" applyFill="1" applyBorder="1" applyAlignment="1">
      <alignment horizontal="center" vertical="center"/>
    </xf>
    <xf numFmtId="2" fontId="169" fillId="0" borderId="101" xfId="0" applyNumberFormat="1" applyFont="1" applyBorder="1" applyAlignment="1">
      <alignment horizontal="center" vertical="center"/>
    </xf>
    <xf numFmtId="41" fontId="169" fillId="0" borderId="100" xfId="1267" applyFont="1" applyFill="1" applyBorder="1" applyAlignment="1">
      <alignment horizontal="center" vertical="center"/>
    </xf>
    <xf numFmtId="41" fontId="169" fillId="30" borderId="102" xfId="1267" applyFont="1" applyFill="1" applyBorder="1" applyAlignment="1">
      <alignment horizontal="center" vertical="center"/>
    </xf>
    <xf numFmtId="41" fontId="169" fillId="0" borderId="103" xfId="1267" applyFont="1" applyFill="1" applyBorder="1" applyAlignment="1">
      <alignment horizontal="center" vertical="center"/>
    </xf>
    <xf numFmtId="41" fontId="169" fillId="29" borderId="101" xfId="1267" applyFont="1" applyFill="1" applyBorder="1" applyAlignment="1">
      <alignment horizontal="center" vertical="center"/>
    </xf>
    <xf numFmtId="41" fontId="169" fillId="0" borderId="104" xfId="1267" applyFont="1" applyFill="1" applyBorder="1" applyAlignment="1">
      <alignment horizontal="center" vertical="center"/>
    </xf>
    <xf numFmtId="41" fontId="169" fillId="0" borderId="101" xfId="1267" applyFont="1" applyFill="1" applyBorder="1" applyAlignment="1">
      <alignment horizontal="center" vertical="center"/>
    </xf>
    <xf numFmtId="41" fontId="169" fillId="0" borderId="105" xfId="1267" applyFont="1" applyFill="1" applyBorder="1" applyAlignment="1">
      <alignment horizontal="center" vertical="center"/>
    </xf>
    <xf numFmtId="0" fontId="169" fillId="0" borderId="0" xfId="0" applyFont="1"/>
    <xf numFmtId="0" fontId="51" fillId="0" borderId="0" xfId="0" applyFont="1"/>
    <xf numFmtId="0" fontId="169" fillId="0" borderId="0" xfId="0" applyFont="1" applyAlignment="1">
      <alignment horizontal="left" vertical="center"/>
    </xf>
    <xf numFmtId="0" fontId="167" fillId="0" borderId="0" xfId="0" applyFont="1" applyAlignment="1">
      <alignment horizontal="left"/>
    </xf>
    <xf numFmtId="0" fontId="171" fillId="0" borderId="90" xfId="0" applyFont="1" applyBorder="1"/>
    <xf numFmtId="0" fontId="168" fillId="0" borderId="29" xfId="0" applyFont="1" applyBorder="1"/>
    <xf numFmtId="0" fontId="168" fillId="0" borderId="91" xfId="0" applyFont="1" applyBorder="1"/>
    <xf numFmtId="0" fontId="167" fillId="0" borderId="93" xfId="0" applyFont="1" applyBorder="1" applyAlignment="1">
      <alignment horizontal="left"/>
    </xf>
    <xf numFmtId="0" fontId="167" fillId="0" borderId="30" xfId="0" applyFont="1" applyBorder="1"/>
    <xf numFmtId="0" fontId="170" fillId="0" borderId="93" xfId="0" applyFont="1" applyBorder="1"/>
    <xf numFmtId="0" fontId="167" fillId="0" borderId="92" xfId="0" applyFont="1" applyBorder="1" applyAlignment="1">
      <alignment horizontal="left"/>
    </xf>
    <xf numFmtId="0" fontId="167" fillId="0" borderId="7" xfId="0" applyFont="1" applyBorder="1"/>
    <xf numFmtId="0" fontId="167" fillId="0" borderId="84" xfId="0" applyFont="1" applyBorder="1"/>
    <xf numFmtId="0" fontId="125" fillId="28" borderId="167" xfId="0" applyFont="1" applyFill="1" applyBorder="1" applyAlignment="1">
      <alignment horizontal="center" vertical="center"/>
    </xf>
    <xf numFmtId="0" fontId="125" fillId="28" borderId="167" xfId="0" applyFont="1" applyFill="1" applyBorder="1" applyAlignment="1">
      <alignment horizontal="right" vertical="center"/>
    </xf>
    <xf numFmtId="0" fontId="123" fillId="28" borderId="167" xfId="0" applyFont="1" applyFill="1" applyBorder="1" applyAlignment="1">
      <alignment vertical="center"/>
    </xf>
    <xf numFmtId="0" fontId="125" fillId="0" borderId="169" xfId="0" applyFont="1" applyBorder="1" applyAlignment="1">
      <alignment vertical="center"/>
    </xf>
    <xf numFmtId="0" fontId="125" fillId="0" borderId="167" xfId="0" applyFont="1" applyBorder="1" applyAlignment="1">
      <alignment vertical="center"/>
    </xf>
    <xf numFmtId="0" fontId="125" fillId="28" borderId="171" xfId="0" applyFont="1" applyFill="1" applyBorder="1" applyAlignment="1">
      <alignment horizontal="right" vertical="center"/>
    </xf>
    <xf numFmtId="0" fontId="125" fillId="37" borderId="167" xfId="0" applyFont="1" applyFill="1" applyBorder="1" applyAlignment="1">
      <alignment horizontal="center" vertical="center"/>
    </xf>
    <xf numFmtId="0" fontId="125" fillId="37" borderId="167" xfId="0" applyFont="1" applyFill="1" applyBorder="1" applyAlignment="1">
      <alignment horizontal="right" vertical="center"/>
    </xf>
    <xf numFmtId="0" fontId="126" fillId="37" borderId="167" xfId="0" applyFont="1" applyFill="1" applyBorder="1" applyAlignment="1">
      <alignment vertical="center"/>
    </xf>
    <xf numFmtId="0" fontId="123" fillId="37" borderId="167" xfId="0" applyFont="1" applyFill="1" applyBorder="1" applyAlignment="1">
      <alignment vertical="center"/>
    </xf>
    <xf numFmtId="0" fontId="122" fillId="37" borderId="167" xfId="0" applyFont="1" applyFill="1" applyBorder="1" applyAlignment="1">
      <alignment horizontal="right" vertical="center"/>
    </xf>
    <xf numFmtId="0" fontId="122" fillId="0" borderId="167" xfId="0" applyFont="1" applyBorder="1" applyAlignment="1">
      <alignment horizontal="right" vertical="center"/>
    </xf>
    <xf numFmtId="0" fontId="125" fillId="37" borderId="171" xfId="0" applyFont="1" applyFill="1" applyBorder="1" applyAlignment="1">
      <alignment horizontal="right" vertical="center"/>
    </xf>
    <xf numFmtId="0" fontId="125" fillId="34" borderId="167" xfId="0" applyFont="1" applyFill="1" applyBorder="1" applyAlignment="1">
      <alignment horizontal="center" vertical="center"/>
    </xf>
    <xf numFmtId="0" fontId="125" fillId="34" borderId="167" xfId="0" applyFont="1" applyFill="1" applyBorder="1" applyAlignment="1">
      <alignment horizontal="right" vertical="center"/>
    </xf>
    <xf numFmtId="0" fontId="126" fillId="34" borderId="167" xfId="0" applyFont="1" applyFill="1" applyBorder="1" applyAlignment="1">
      <alignment vertical="center"/>
    </xf>
    <xf numFmtId="0" fontId="123" fillId="34" borderId="167" xfId="0" applyFont="1" applyFill="1" applyBorder="1" applyAlignment="1">
      <alignment vertical="center"/>
    </xf>
    <xf numFmtId="0" fontId="122" fillId="34" borderId="167" xfId="0" applyFont="1" applyFill="1" applyBorder="1" applyAlignment="1">
      <alignment horizontal="right" vertical="center"/>
    </xf>
    <xf numFmtId="0" fontId="125" fillId="34" borderId="171" xfId="0" applyFont="1" applyFill="1" applyBorder="1" applyAlignment="1">
      <alignment horizontal="right" vertical="center"/>
    </xf>
    <xf numFmtId="0" fontId="144" fillId="36" borderId="0" xfId="0" applyFont="1" applyFill="1" applyAlignment="1">
      <alignment horizontal="left" vertical="center" indent="1"/>
    </xf>
    <xf numFmtId="0" fontId="131" fillId="0" borderId="0" xfId="0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/>
    </xf>
    <xf numFmtId="231" fontId="133" fillId="0" borderId="0" xfId="0" applyNumberFormat="1" applyFont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108" fillId="32" borderId="52" xfId="0" applyFont="1" applyFill="1" applyBorder="1" applyAlignment="1">
      <alignment horizontal="left" vertical="center" wrapText="1"/>
    </xf>
    <xf numFmtId="0" fontId="108" fillId="32" borderId="53" xfId="0" applyFont="1" applyFill="1" applyBorder="1" applyAlignment="1">
      <alignment horizontal="left" vertical="center" wrapText="1"/>
    </xf>
    <xf numFmtId="0" fontId="129" fillId="31" borderId="33" xfId="0" applyFont="1" applyFill="1" applyBorder="1" applyAlignment="1">
      <alignment horizontal="center" vertical="center" wrapText="1"/>
    </xf>
    <xf numFmtId="0" fontId="129" fillId="31" borderId="35" xfId="0" applyFont="1" applyFill="1" applyBorder="1" applyAlignment="1">
      <alignment horizontal="center" vertical="center" wrapText="1"/>
    </xf>
    <xf numFmtId="0" fontId="129" fillId="31" borderId="34" xfId="0" applyFont="1" applyFill="1" applyBorder="1" applyAlignment="1">
      <alignment horizontal="center" vertical="center" wrapText="1"/>
    </xf>
    <xf numFmtId="0" fontId="130" fillId="31" borderId="33" xfId="0" applyFont="1" applyFill="1" applyBorder="1" applyAlignment="1">
      <alignment horizontal="center" vertical="center"/>
    </xf>
    <xf numFmtId="0" fontId="130" fillId="31" borderId="35" xfId="0" applyFont="1" applyFill="1" applyBorder="1" applyAlignment="1">
      <alignment horizontal="center" vertical="center"/>
    </xf>
    <xf numFmtId="180" fontId="130" fillId="31" borderId="35" xfId="0" applyNumberFormat="1" applyFont="1" applyFill="1" applyBorder="1" applyAlignment="1">
      <alignment horizontal="center" vertical="center" shrinkToFit="1"/>
    </xf>
    <xf numFmtId="0" fontId="108" fillId="32" borderId="43" xfId="0" applyFont="1" applyFill="1" applyBorder="1" applyAlignment="1">
      <alignment horizontal="left" vertical="center" wrapText="1"/>
    </xf>
    <xf numFmtId="0" fontId="108" fillId="32" borderId="44" xfId="0" applyFont="1" applyFill="1" applyBorder="1" applyAlignment="1">
      <alignment horizontal="left" vertical="center" wrapText="1"/>
    </xf>
    <xf numFmtId="0" fontId="121" fillId="0" borderId="31" xfId="0" applyFont="1" applyBorder="1" applyAlignment="1">
      <alignment horizontal="left" vertical="center" shrinkToFit="1"/>
    </xf>
    <xf numFmtId="0" fontId="121" fillId="0" borderId="43" xfId="0" applyFont="1" applyBorder="1" applyAlignment="1">
      <alignment horizontal="left" vertical="center" shrinkToFit="1"/>
    </xf>
    <xf numFmtId="0" fontId="108" fillId="0" borderId="31" xfId="0" applyFont="1" applyBorder="1" applyAlignment="1">
      <alignment vertical="center" shrinkToFit="1"/>
    </xf>
    <xf numFmtId="0" fontId="108" fillId="0" borderId="43" xfId="0" applyFont="1" applyBorder="1" applyAlignment="1">
      <alignment vertical="center" shrinkToFit="1"/>
    </xf>
    <xf numFmtId="0" fontId="108" fillId="0" borderId="45" xfId="0" applyFont="1" applyBorder="1" applyAlignment="1">
      <alignment horizontal="center" vertical="center"/>
    </xf>
    <xf numFmtId="0" fontId="108" fillId="0" borderId="31" xfId="0" applyFont="1" applyBorder="1" applyAlignment="1">
      <alignment horizontal="center" vertical="center"/>
    </xf>
    <xf numFmtId="0" fontId="108" fillId="0" borderId="43" xfId="0" applyFont="1" applyBorder="1" applyAlignment="1">
      <alignment horizontal="center" vertical="center"/>
    </xf>
    <xf numFmtId="0" fontId="117" fillId="31" borderId="33" xfId="0" applyFont="1" applyFill="1" applyBorder="1" applyAlignment="1">
      <alignment horizontal="center" vertical="center"/>
    </xf>
    <xf numFmtId="0" fontId="117" fillId="31" borderId="35" xfId="0" applyFont="1" applyFill="1" applyBorder="1" applyAlignment="1">
      <alignment horizontal="center" vertical="center"/>
    </xf>
    <xf numFmtId="0" fontId="117" fillId="31" borderId="34" xfId="0" applyFont="1" applyFill="1" applyBorder="1" applyAlignment="1">
      <alignment horizontal="center" vertical="center"/>
    </xf>
    <xf numFmtId="178" fontId="128" fillId="0" borderId="48" xfId="0" applyNumberFormat="1" applyFont="1" applyBorder="1" applyAlignment="1">
      <alignment horizontal="center" vertical="center" wrapText="1" shrinkToFit="1"/>
    </xf>
    <xf numFmtId="178" fontId="128" fillId="0" borderId="49" xfId="0" applyNumberFormat="1" applyFont="1" applyBorder="1" applyAlignment="1">
      <alignment horizontal="center" vertical="center" wrapText="1" shrinkToFit="1"/>
    </xf>
    <xf numFmtId="178" fontId="128" fillId="0" borderId="50" xfId="0" applyNumberFormat="1" applyFont="1" applyBorder="1" applyAlignment="1">
      <alignment horizontal="center" vertical="center" wrapText="1" shrinkToFit="1"/>
    </xf>
    <xf numFmtId="178" fontId="128" fillId="0" borderId="56" xfId="0" applyNumberFormat="1" applyFont="1" applyBorder="1" applyAlignment="1">
      <alignment horizontal="center" vertical="center" wrapText="1" shrinkToFit="1"/>
    </xf>
    <xf numFmtId="178" fontId="128" fillId="0" borderId="66" xfId="0" applyNumberFormat="1" applyFont="1" applyBorder="1" applyAlignment="1">
      <alignment horizontal="center" vertical="center" wrapText="1" shrinkToFit="1"/>
    </xf>
    <xf numFmtId="178" fontId="128" fillId="0" borderId="57" xfId="0" applyNumberFormat="1" applyFont="1" applyBorder="1" applyAlignment="1">
      <alignment horizontal="center" vertical="center" wrapText="1" shrinkToFit="1"/>
    </xf>
    <xf numFmtId="178" fontId="128" fillId="0" borderId="33" xfId="1267" applyNumberFormat="1" applyFont="1" applyBorder="1" applyAlignment="1">
      <alignment horizontal="center" vertical="center" shrinkToFit="1"/>
    </xf>
    <xf numFmtId="178" fontId="128" fillId="0" borderId="35" xfId="1267" applyNumberFormat="1" applyFont="1" applyBorder="1" applyAlignment="1">
      <alignment horizontal="center" vertical="center" shrinkToFit="1"/>
    </xf>
    <xf numFmtId="178" fontId="128" fillId="0" borderId="34" xfId="1267" applyNumberFormat="1" applyFont="1" applyBorder="1" applyAlignment="1">
      <alignment horizontal="center" vertical="center" shrinkToFit="1"/>
    </xf>
    <xf numFmtId="0" fontId="108" fillId="0" borderId="33" xfId="0" applyFont="1" applyBorder="1" applyAlignment="1">
      <alignment horizontal="center" vertical="center"/>
    </xf>
    <xf numFmtId="0" fontId="108" fillId="0" borderId="35" xfId="0" applyFont="1" applyBorder="1" applyAlignment="1">
      <alignment horizontal="center" vertical="center"/>
    </xf>
    <xf numFmtId="0" fontId="108" fillId="0" borderId="34" xfId="0" applyFont="1" applyBorder="1" applyAlignment="1">
      <alignment horizontal="center" vertical="center"/>
    </xf>
    <xf numFmtId="178" fontId="108" fillId="0" borderId="33" xfId="0" applyNumberFormat="1" applyFont="1" applyBorder="1" applyAlignment="1">
      <alignment horizontal="center" vertical="center"/>
    </xf>
    <xf numFmtId="178" fontId="108" fillId="0" borderId="35" xfId="0" applyNumberFormat="1" applyFont="1" applyBorder="1" applyAlignment="1">
      <alignment horizontal="center" vertical="center"/>
    </xf>
    <xf numFmtId="178" fontId="108" fillId="0" borderId="34" xfId="0" applyNumberFormat="1" applyFont="1" applyBorder="1" applyAlignment="1">
      <alignment horizontal="center" vertical="center"/>
    </xf>
    <xf numFmtId="178" fontId="117" fillId="31" borderId="33" xfId="0" applyNumberFormat="1" applyFont="1" applyFill="1" applyBorder="1" applyAlignment="1">
      <alignment horizontal="right" vertical="center" shrinkToFit="1"/>
    </xf>
    <xf numFmtId="178" fontId="117" fillId="31" borderId="35" xfId="0" applyNumberFormat="1" applyFont="1" applyFill="1" applyBorder="1" applyAlignment="1">
      <alignment horizontal="right" vertical="center" shrinkToFit="1"/>
    </xf>
    <xf numFmtId="178" fontId="117" fillId="31" borderId="34" xfId="0" applyNumberFormat="1" applyFont="1" applyFill="1" applyBorder="1" applyAlignment="1">
      <alignment horizontal="right" vertical="center" shrinkToFit="1"/>
    </xf>
    <xf numFmtId="178" fontId="116" fillId="32" borderId="33" xfId="0" applyNumberFormat="1" applyFont="1" applyFill="1" applyBorder="1" applyAlignment="1">
      <alignment horizontal="right" vertical="center" shrinkToFit="1"/>
    </xf>
    <xf numFmtId="178" fontId="116" fillId="32" borderId="35" xfId="0" applyNumberFormat="1" applyFont="1" applyFill="1" applyBorder="1" applyAlignment="1">
      <alignment horizontal="right" vertical="center" shrinkToFit="1"/>
    </xf>
    <xf numFmtId="178" fontId="116" fillId="32" borderId="34" xfId="0" applyNumberFormat="1" applyFont="1" applyFill="1" applyBorder="1" applyAlignment="1">
      <alignment horizontal="right" vertical="center" shrinkToFit="1"/>
    </xf>
    <xf numFmtId="0" fontId="110" fillId="0" borderId="154" xfId="0" applyFont="1" applyBorder="1" applyAlignment="1">
      <alignment horizontal="center" vertical="center"/>
    </xf>
    <xf numFmtId="0" fontId="110" fillId="0" borderId="82" xfId="0" applyFont="1" applyBorder="1" applyAlignment="1">
      <alignment horizontal="center" vertical="center"/>
    </xf>
    <xf numFmtId="0" fontId="110" fillId="0" borderId="159" xfId="0" applyFont="1" applyBorder="1" applyAlignment="1">
      <alignment horizontal="center" vertical="center"/>
    </xf>
    <xf numFmtId="0" fontId="109" fillId="0" borderId="33" xfId="0" applyFont="1" applyBorder="1" applyAlignment="1">
      <alignment horizontal="center" vertical="center"/>
    </xf>
    <xf numFmtId="0" fontId="109" fillId="0" borderId="35" xfId="0" applyFont="1" applyBorder="1" applyAlignment="1">
      <alignment horizontal="center" vertical="center"/>
    </xf>
    <xf numFmtId="0" fontId="109" fillId="0" borderId="34" xfId="0" applyFont="1" applyBorder="1" applyAlignment="1">
      <alignment horizontal="center" vertical="center"/>
    </xf>
    <xf numFmtId="178" fontId="108" fillId="0" borderId="33" xfId="0" applyNumberFormat="1" applyFont="1" applyBorder="1" applyAlignment="1">
      <alignment horizontal="right" vertical="center" shrinkToFit="1"/>
    </xf>
    <xf numFmtId="178" fontId="108" fillId="0" borderId="35" xfId="0" applyNumberFormat="1" applyFont="1" applyBorder="1" applyAlignment="1">
      <alignment horizontal="right" vertical="center" shrinkToFit="1"/>
    </xf>
    <xf numFmtId="178" fontId="108" fillId="0" borderId="34" xfId="0" applyNumberFormat="1" applyFont="1" applyBorder="1" applyAlignment="1">
      <alignment horizontal="right" vertical="center" shrinkToFit="1"/>
    </xf>
    <xf numFmtId="232" fontId="116" fillId="29" borderId="45" xfId="1267" applyNumberFormat="1" applyFont="1" applyFill="1" applyBorder="1" applyAlignment="1">
      <alignment horizontal="center" vertical="center" shrinkToFit="1"/>
    </xf>
    <xf numFmtId="232" fontId="116" fillId="29" borderId="31" xfId="1267" applyNumberFormat="1" applyFont="1" applyFill="1" applyBorder="1" applyAlignment="1">
      <alignment horizontal="center" vertical="center" shrinkToFit="1"/>
    </xf>
    <xf numFmtId="0" fontId="108" fillId="0" borderId="45" xfId="0" applyFont="1" applyBorder="1" applyAlignment="1">
      <alignment horizontal="center" vertical="center" wrapText="1"/>
    </xf>
    <xf numFmtId="0" fontId="108" fillId="0" borderId="31" xfId="0" applyFont="1" applyBorder="1" applyAlignment="1">
      <alignment horizontal="center" vertical="center" wrapText="1"/>
    </xf>
    <xf numFmtId="0" fontId="108" fillId="0" borderId="43" xfId="0" applyFont="1" applyBorder="1" applyAlignment="1">
      <alignment horizontal="center" vertical="center" wrapText="1"/>
    </xf>
    <xf numFmtId="178" fontId="130" fillId="31" borderId="35" xfId="0" applyNumberFormat="1" applyFont="1" applyFill="1" applyBorder="1" applyAlignment="1">
      <alignment horizontal="center" vertical="center" shrinkToFit="1"/>
    </xf>
    <xf numFmtId="0" fontId="109" fillId="32" borderId="156" xfId="0" applyFont="1" applyFill="1" applyBorder="1" applyAlignment="1">
      <alignment horizontal="center" vertical="center"/>
    </xf>
    <xf numFmtId="0" fontId="109" fillId="32" borderId="157" xfId="0" applyFont="1" applyFill="1" applyBorder="1" applyAlignment="1">
      <alignment horizontal="center" vertical="center"/>
    </xf>
    <xf numFmtId="0" fontId="109" fillId="32" borderId="160" xfId="0" applyFont="1" applyFill="1" applyBorder="1" applyAlignment="1">
      <alignment horizontal="center" vertical="center"/>
    </xf>
    <xf numFmtId="31" fontId="116" fillId="0" borderId="0" xfId="0" applyNumberFormat="1" applyFont="1" applyAlignment="1">
      <alignment horizontal="left" vertical="center"/>
    </xf>
    <xf numFmtId="31" fontId="116" fillId="0" borderId="30" xfId="0" applyNumberFormat="1" applyFont="1" applyBorder="1" applyAlignment="1">
      <alignment horizontal="left" vertical="center"/>
    </xf>
    <xf numFmtId="31" fontId="108" fillId="0" borderId="31" xfId="0" applyNumberFormat="1" applyFont="1" applyBorder="1" applyAlignment="1">
      <alignment horizontal="left" vertical="center" wrapText="1"/>
    </xf>
    <xf numFmtId="31" fontId="108" fillId="0" borderId="43" xfId="0" applyNumberFormat="1" applyFont="1" applyBorder="1" applyAlignment="1">
      <alignment horizontal="left" vertical="center" wrapText="1"/>
    </xf>
    <xf numFmtId="0" fontId="109" fillId="0" borderId="153" xfId="0" applyFont="1" applyBorder="1" applyAlignment="1">
      <alignment horizontal="center" vertical="center"/>
    </xf>
    <xf numFmtId="0" fontId="110" fillId="0" borderId="156" xfId="0" applyFont="1" applyBorder="1" applyAlignment="1">
      <alignment horizontal="center" vertical="center" shrinkToFit="1"/>
    </xf>
    <xf numFmtId="0" fontId="110" fillId="0" borderId="157" xfId="0" applyFont="1" applyBorder="1" applyAlignment="1">
      <alignment horizontal="center" vertical="center" shrinkToFit="1"/>
    </xf>
    <xf numFmtId="0" fontId="110" fillId="0" borderId="158" xfId="0" applyFont="1" applyBorder="1" applyAlignment="1">
      <alignment horizontal="center" vertical="center" shrinkToFit="1"/>
    </xf>
    <xf numFmtId="0" fontId="110" fillId="0" borderId="155" xfId="0" applyFont="1" applyBorder="1" applyAlignment="1">
      <alignment horizontal="center" vertical="center"/>
    </xf>
    <xf numFmtId="0" fontId="110" fillId="0" borderId="153" xfId="0" applyFont="1" applyBorder="1" applyAlignment="1">
      <alignment horizontal="center" vertical="center"/>
    </xf>
    <xf numFmtId="0" fontId="109" fillId="32" borderId="154" xfId="0" applyFont="1" applyFill="1" applyBorder="1" applyAlignment="1">
      <alignment horizontal="center" vertical="center"/>
    </xf>
    <xf numFmtId="0" fontId="109" fillId="32" borderId="82" xfId="0" applyFont="1" applyFill="1" applyBorder="1" applyAlignment="1">
      <alignment horizontal="center" vertical="center"/>
    </xf>
    <xf numFmtId="0" fontId="109" fillId="32" borderId="159" xfId="0" applyFont="1" applyFill="1" applyBorder="1" applyAlignment="1">
      <alignment horizontal="center" vertical="center"/>
    </xf>
    <xf numFmtId="0" fontId="110" fillId="0" borderId="156" xfId="0" applyFont="1" applyBorder="1" applyAlignment="1">
      <alignment horizontal="center" vertical="center"/>
    </xf>
    <xf numFmtId="0" fontId="110" fillId="0" borderId="157" xfId="0" applyFont="1" applyBorder="1" applyAlignment="1">
      <alignment horizontal="center" vertical="center"/>
    </xf>
    <xf numFmtId="0" fontId="110" fillId="0" borderId="160" xfId="0" applyFont="1" applyBorder="1" applyAlignment="1">
      <alignment horizontal="center" vertical="center"/>
    </xf>
    <xf numFmtId="31" fontId="112" fillId="0" borderId="0" xfId="0" applyNumberFormat="1" applyFont="1" applyAlignment="1">
      <alignment horizontal="center" vertical="center"/>
    </xf>
    <xf numFmtId="0" fontId="98" fillId="0" borderId="61" xfId="0" applyFont="1" applyBorder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102" fillId="0" borderId="0" xfId="0" applyFont="1" applyAlignment="1">
      <alignment horizontal="right"/>
    </xf>
    <xf numFmtId="0" fontId="100" fillId="0" borderId="61" xfId="0" applyFont="1" applyBorder="1" applyAlignment="1">
      <alignment horizontal="center" vertical="center" wrapText="1"/>
    </xf>
    <xf numFmtId="0" fontId="100" fillId="0" borderId="0" xfId="0" applyFont="1" applyAlignment="1">
      <alignment horizontal="center" vertical="center" wrapText="1"/>
    </xf>
    <xf numFmtId="0" fontId="100" fillId="0" borderId="62" xfId="0" applyFont="1" applyBorder="1" applyAlignment="1">
      <alignment horizontal="center" vertical="center" wrapText="1"/>
    </xf>
    <xf numFmtId="0" fontId="109" fillId="32" borderId="162" xfId="0" applyFont="1" applyFill="1" applyBorder="1" applyAlignment="1">
      <alignment horizontal="center" vertical="center" wrapText="1"/>
    </xf>
    <xf numFmtId="0" fontId="109" fillId="32" borderId="163" xfId="0" applyFont="1" applyFill="1" applyBorder="1" applyAlignment="1">
      <alignment horizontal="center" vertical="center" wrapText="1"/>
    </xf>
    <xf numFmtId="0" fontId="109" fillId="32" borderId="164" xfId="0" applyFont="1" applyFill="1" applyBorder="1" applyAlignment="1">
      <alignment horizontal="center" vertical="center" wrapText="1"/>
    </xf>
    <xf numFmtId="0" fontId="109" fillId="32" borderId="69" xfId="0" applyFont="1" applyFill="1" applyBorder="1" applyAlignment="1">
      <alignment horizontal="center" vertical="center"/>
    </xf>
    <xf numFmtId="0" fontId="109" fillId="32" borderId="70" xfId="0" applyFont="1" applyFill="1" applyBorder="1" applyAlignment="1">
      <alignment horizontal="center" vertical="center"/>
    </xf>
    <xf numFmtId="0" fontId="109" fillId="32" borderId="161" xfId="0" applyFont="1" applyFill="1" applyBorder="1" applyAlignment="1">
      <alignment horizontal="center" vertical="center"/>
    </xf>
    <xf numFmtId="0" fontId="115" fillId="0" borderId="69" xfId="0" applyFont="1" applyBorder="1" applyAlignment="1">
      <alignment horizontal="center" vertical="center"/>
    </xf>
    <xf numFmtId="0" fontId="115" fillId="0" borderId="70" xfId="0" applyFont="1" applyBorder="1" applyAlignment="1">
      <alignment horizontal="center" vertical="center"/>
    </xf>
    <xf numFmtId="0" fontId="115" fillId="0" borderId="71" xfId="0" applyFont="1" applyBorder="1" applyAlignment="1">
      <alignment horizontal="center" vertical="center"/>
    </xf>
    <xf numFmtId="0" fontId="121" fillId="0" borderId="0" xfId="0" applyFont="1" applyAlignment="1">
      <alignment vertical="center"/>
    </xf>
    <xf numFmtId="0" fontId="121" fillId="0" borderId="30" xfId="0" applyFont="1" applyBorder="1" applyAlignment="1">
      <alignment vertical="center"/>
    </xf>
    <xf numFmtId="231" fontId="108" fillId="0" borderId="0" xfId="0" applyNumberFormat="1" applyFont="1" applyAlignment="1">
      <alignment horizontal="left" vertical="center"/>
    </xf>
    <xf numFmtId="231" fontId="108" fillId="0" borderId="30" xfId="0" applyNumberFormat="1" applyFont="1" applyBorder="1" applyAlignment="1">
      <alignment horizontal="left" vertical="center"/>
    </xf>
    <xf numFmtId="0" fontId="110" fillId="0" borderId="158" xfId="0" applyFont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0" fontId="108" fillId="0" borderId="30" xfId="0" applyFont="1" applyBorder="1" applyAlignment="1">
      <alignment horizontal="center" vertical="center"/>
    </xf>
    <xf numFmtId="0" fontId="110" fillId="0" borderId="156" xfId="0" applyFont="1" applyBorder="1" applyAlignment="1">
      <alignment horizontal="left" vertical="center" indent="2"/>
    </xf>
    <xf numFmtId="0" fontId="110" fillId="0" borderId="157" xfId="0" applyFont="1" applyBorder="1" applyAlignment="1">
      <alignment horizontal="left" vertical="center" indent="2"/>
    </xf>
    <xf numFmtId="0" fontId="110" fillId="0" borderId="158" xfId="0" applyFont="1" applyBorder="1" applyAlignment="1">
      <alignment horizontal="left" vertical="center" indent="2"/>
    </xf>
    <xf numFmtId="0" fontId="116" fillId="30" borderId="54" xfId="0" applyFont="1" applyFill="1" applyBorder="1" applyAlignment="1">
      <alignment horizontal="left" vertical="center"/>
    </xf>
    <xf numFmtId="0" fontId="116" fillId="30" borderId="55" xfId="0" applyFont="1" applyFill="1" applyBorder="1" applyAlignment="1">
      <alignment horizontal="left" vertical="center"/>
    </xf>
    <xf numFmtId="0" fontId="116" fillId="30" borderId="52" xfId="0" applyFont="1" applyFill="1" applyBorder="1" applyAlignment="1">
      <alignment horizontal="left" vertical="center"/>
    </xf>
    <xf numFmtId="0" fontId="113" fillId="0" borderId="0" xfId="0" applyFont="1" applyAlignment="1">
      <alignment horizontal="center" vertical="center"/>
    </xf>
    <xf numFmtId="0" fontId="118" fillId="0" borderId="152" xfId="0" applyFont="1" applyBorder="1" applyAlignment="1">
      <alignment horizontal="center" vertical="center"/>
    </xf>
    <xf numFmtId="178" fontId="118" fillId="0" borderId="152" xfId="0" applyNumberFormat="1" applyFont="1" applyBorder="1" applyAlignment="1">
      <alignment horizontal="center" vertical="center" shrinkToFit="1"/>
    </xf>
    <xf numFmtId="41" fontId="118" fillId="0" borderId="152" xfId="1267" applyFont="1" applyBorder="1" applyAlignment="1">
      <alignment horizontal="center" vertical="center" shrinkToFit="1"/>
    </xf>
    <xf numFmtId="0" fontId="116" fillId="32" borderId="33" xfId="0" applyFont="1" applyFill="1" applyBorder="1" applyAlignment="1">
      <alignment horizontal="center" vertical="center"/>
    </xf>
    <xf numFmtId="0" fontId="116" fillId="32" borderId="35" xfId="0" applyFont="1" applyFill="1" applyBorder="1" applyAlignment="1">
      <alignment horizontal="center" vertical="center"/>
    </xf>
    <xf numFmtId="0" fontId="116" fillId="32" borderId="34" xfId="0" applyFont="1" applyFill="1" applyBorder="1" applyAlignment="1">
      <alignment horizontal="center" vertical="center"/>
    </xf>
    <xf numFmtId="178" fontId="116" fillId="32" borderId="33" xfId="0" applyNumberFormat="1" applyFont="1" applyFill="1" applyBorder="1" applyAlignment="1">
      <alignment horizontal="right" vertical="center"/>
    </xf>
    <xf numFmtId="178" fontId="116" fillId="32" borderId="35" xfId="0" applyNumberFormat="1" applyFont="1" applyFill="1" applyBorder="1" applyAlignment="1">
      <alignment horizontal="right" vertical="center"/>
    </xf>
    <xf numFmtId="178" fontId="116" fillId="32" borderId="34" xfId="0" applyNumberFormat="1" applyFont="1" applyFill="1" applyBorder="1" applyAlignment="1">
      <alignment horizontal="right" vertical="center"/>
    </xf>
    <xf numFmtId="0" fontId="124" fillId="0" borderId="0" xfId="0" applyFont="1" applyAlignment="1">
      <alignment horizontal="center" vertical="center"/>
    </xf>
    <xf numFmtId="0" fontId="126" fillId="0" borderId="33" xfId="0" applyFont="1" applyBorder="1" applyAlignment="1">
      <alignment horizontal="center" vertical="center"/>
    </xf>
    <xf numFmtId="0" fontId="126" fillId="0" borderId="35" xfId="0" applyFont="1" applyBorder="1" applyAlignment="1">
      <alignment horizontal="center" vertical="center"/>
    </xf>
    <xf numFmtId="229" fontId="123" fillId="0" borderId="33" xfId="0" applyNumberFormat="1" applyFont="1" applyBorder="1" applyAlignment="1">
      <alignment horizontal="center" vertical="center" wrapText="1"/>
    </xf>
    <xf numFmtId="229" fontId="123" fillId="0" borderId="34" xfId="0" applyNumberFormat="1" applyFont="1" applyBorder="1" applyAlignment="1">
      <alignment horizontal="center" vertical="center" wrapText="1"/>
    </xf>
    <xf numFmtId="0" fontId="125" fillId="28" borderId="38" xfId="0" applyFont="1" applyFill="1" applyBorder="1" applyAlignment="1">
      <alignment horizontal="center" vertical="center" wrapText="1"/>
    </xf>
    <xf numFmtId="0" fontId="125" fillId="28" borderId="37" xfId="0" applyFont="1" applyFill="1" applyBorder="1" applyAlignment="1">
      <alignment horizontal="center" vertical="center" wrapText="1"/>
    </xf>
    <xf numFmtId="0" fontId="123" fillId="28" borderId="167" xfId="0" applyFont="1" applyFill="1" applyBorder="1" applyAlignment="1">
      <alignment horizontal="right" vertical="center" indent="1"/>
    </xf>
    <xf numFmtId="0" fontId="123" fillId="28" borderId="35" xfId="0" applyFont="1" applyFill="1" applyBorder="1" applyAlignment="1">
      <alignment horizontal="right" vertical="center" indent="1"/>
    </xf>
    <xf numFmtId="0" fontId="123" fillId="28" borderId="34" xfId="0" applyFont="1" applyFill="1" applyBorder="1" applyAlignment="1">
      <alignment horizontal="right" vertical="center" indent="1"/>
    </xf>
    <xf numFmtId="178" fontId="125" fillId="28" borderId="38" xfId="0" applyNumberFormat="1" applyFont="1" applyFill="1" applyBorder="1" applyAlignment="1">
      <alignment horizontal="center" vertical="center"/>
    </xf>
    <xf numFmtId="178" fontId="125" fillId="28" borderId="168" xfId="0" applyNumberFormat="1" applyFont="1" applyFill="1" applyBorder="1" applyAlignment="1">
      <alignment horizontal="center" vertical="center"/>
    </xf>
    <xf numFmtId="41" fontId="126" fillId="0" borderId="33" xfId="1267" applyFont="1" applyBorder="1" applyAlignment="1">
      <alignment horizontal="center" vertical="center"/>
    </xf>
    <xf numFmtId="41" fontId="126" fillId="0" borderId="169" xfId="1267" applyFont="1" applyBorder="1" applyAlignment="1">
      <alignment horizontal="center" vertical="center"/>
    </xf>
    <xf numFmtId="0" fontId="136" fillId="28" borderId="166" xfId="0" applyFont="1" applyFill="1" applyBorder="1" applyAlignment="1">
      <alignment horizontal="left" vertical="center"/>
    </xf>
    <xf numFmtId="0" fontId="136" fillId="28" borderId="112" xfId="0" applyFont="1" applyFill="1" applyBorder="1" applyAlignment="1">
      <alignment horizontal="left" vertical="center"/>
    </xf>
    <xf numFmtId="0" fontId="136" fillId="28" borderId="165" xfId="0" applyFont="1" applyFill="1" applyBorder="1" applyAlignment="1">
      <alignment horizontal="left" vertical="center"/>
    </xf>
    <xf numFmtId="0" fontId="125" fillId="0" borderId="33" xfId="0" applyFont="1" applyBorder="1" applyAlignment="1">
      <alignment horizontal="center" vertical="center"/>
    </xf>
    <xf numFmtId="0" fontId="125" fillId="0" borderId="35" xfId="0" applyFont="1" applyBorder="1" applyAlignment="1">
      <alignment horizontal="center" vertical="center"/>
    </xf>
    <xf numFmtId="0" fontId="125" fillId="0" borderId="169" xfId="0" applyFont="1" applyBorder="1" applyAlignment="1">
      <alignment horizontal="center" vertical="center"/>
    </xf>
    <xf numFmtId="229" fontId="123" fillId="0" borderId="35" xfId="0" applyNumberFormat="1" applyFont="1" applyBorder="1" applyAlignment="1">
      <alignment horizontal="center" vertical="center" wrapText="1"/>
    </xf>
    <xf numFmtId="178" fontId="126" fillId="0" borderId="33" xfId="0" applyNumberFormat="1" applyFont="1" applyBorder="1" applyAlignment="1">
      <alignment horizontal="center" vertical="center" wrapText="1"/>
    </xf>
    <xf numFmtId="178" fontId="126" fillId="0" borderId="169" xfId="0" applyNumberFormat="1" applyFont="1" applyBorder="1" applyAlignment="1">
      <alignment horizontal="center" vertical="center" wrapText="1"/>
    </xf>
    <xf numFmtId="0" fontId="122" fillId="0" borderId="131" xfId="0" applyFont="1" applyBorder="1" applyAlignment="1">
      <alignment horizontal="center" vertical="center"/>
    </xf>
    <xf numFmtId="0" fontId="122" fillId="0" borderId="132" xfId="0" applyFont="1" applyBorder="1" applyAlignment="1">
      <alignment horizontal="center" vertical="center"/>
    </xf>
    <xf numFmtId="0" fontId="123" fillId="0" borderId="133" xfId="0" applyFont="1" applyBorder="1" applyAlignment="1">
      <alignment horizontal="left" vertical="center" indent="1"/>
    </xf>
    <xf numFmtId="0" fontId="123" fillId="0" borderId="134" xfId="0" applyFont="1" applyBorder="1" applyAlignment="1">
      <alignment horizontal="left" vertical="center" indent="1"/>
    </xf>
    <xf numFmtId="0" fontId="123" fillId="0" borderId="132" xfId="0" applyFont="1" applyBorder="1" applyAlignment="1">
      <alignment horizontal="left" vertical="center" indent="1"/>
    </xf>
    <xf numFmtId="0" fontId="137" fillId="28" borderId="58" xfId="0" applyFont="1" applyFill="1" applyBorder="1" applyAlignment="1">
      <alignment vertical="center"/>
    </xf>
    <xf numFmtId="0" fontId="137" fillId="28" borderId="59" xfId="0" applyFont="1" applyFill="1" applyBorder="1" applyAlignment="1">
      <alignment vertical="center"/>
    </xf>
    <xf numFmtId="0" fontId="137" fillId="28" borderId="60" xfId="0" applyFont="1" applyFill="1" applyBorder="1" applyAlignment="1">
      <alignment vertical="center"/>
    </xf>
    <xf numFmtId="178" fontId="125" fillId="28" borderId="41" xfId="0" applyNumberFormat="1" applyFont="1" applyFill="1" applyBorder="1" applyAlignment="1">
      <alignment horizontal="center" vertical="center"/>
    </xf>
    <xf numFmtId="178" fontId="125" fillId="28" borderId="170" xfId="0" applyNumberFormat="1" applyFont="1" applyFill="1" applyBorder="1" applyAlignment="1">
      <alignment horizontal="center" vertical="center"/>
    </xf>
    <xf numFmtId="0" fontId="122" fillId="32" borderId="127" xfId="0" applyFont="1" applyFill="1" applyBorder="1" applyAlignment="1">
      <alignment horizontal="center" vertical="center"/>
    </xf>
    <xf numFmtId="0" fontId="122" fillId="32" borderId="34" xfId="0" applyFont="1" applyFill="1" applyBorder="1" applyAlignment="1">
      <alignment horizontal="center" vertical="center"/>
    </xf>
    <xf numFmtId="0" fontId="122" fillId="0" borderId="128" xfId="0" applyFont="1" applyBorder="1" applyAlignment="1">
      <alignment horizontal="center" vertical="center"/>
    </xf>
    <xf numFmtId="0" fontId="122" fillId="0" borderId="50" xfId="0" applyFont="1" applyBorder="1" applyAlignment="1">
      <alignment horizontal="center" vertical="center"/>
    </xf>
    <xf numFmtId="0" fontId="122" fillId="0" borderId="129" xfId="0" applyFont="1" applyBorder="1" applyAlignment="1">
      <alignment horizontal="center" vertical="center"/>
    </xf>
    <xf numFmtId="0" fontId="122" fillId="0" borderId="46" xfId="0" applyFont="1" applyBorder="1" applyAlignment="1">
      <alignment horizontal="center" vertical="center"/>
    </xf>
    <xf numFmtId="0" fontId="122" fillId="0" borderId="125" xfId="0" applyFont="1" applyBorder="1" applyAlignment="1">
      <alignment horizontal="center" vertical="center"/>
    </xf>
    <xf numFmtId="0" fontId="122" fillId="0" borderId="120" xfId="0" applyFont="1" applyBorder="1" applyAlignment="1">
      <alignment horizontal="center" vertical="center"/>
    </xf>
    <xf numFmtId="0" fontId="122" fillId="0" borderId="126" xfId="0" applyFont="1" applyBorder="1" applyAlignment="1">
      <alignment horizontal="center" vertical="center"/>
    </xf>
    <xf numFmtId="0" fontId="122" fillId="0" borderId="115" xfId="0" applyFont="1" applyBorder="1" applyAlignment="1">
      <alignment horizontal="center" vertical="center"/>
    </xf>
    <xf numFmtId="0" fontId="122" fillId="0" borderId="130" xfId="0" applyFont="1" applyBorder="1" applyAlignment="1">
      <alignment horizontal="center" vertical="center"/>
    </xf>
    <xf numFmtId="0" fontId="122" fillId="0" borderId="123" xfId="0" applyFont="1" applyBorder="1" applyAlignment="1">
      <alignment horizontal="center" vertical="center"/>
    </xf>
    <xf numFmtId="0" fontId="123" fillId="0" borderId="48" xfId="0" applyFont="1" applyBorder="1" applyAlignment="1">
      <alignment horizontal="left" vertical="center" wrapText="1" indent="1"/>
    </xf>
    <xf numFmtId="0" fontId="123" fillId="0" borderId="49" xfId="0" applyFont="1" applyBorder="1" applyAlignment="1">
      <alignment horizontal="left" vertical="center" wrapText="1" indent="1"/>
    </xf>
    <xf numFmtId="0" fontId="123" fillId="0" borderId="50" xfId="0" applyFont="1" applyBorder="1" applyAlignment="1">
      <alignment horizontal="left" vertical="center" wrapText="1" indent="1"/>
    </xf>
    <xf numFmtId="0" fontId="123" fillId="0" borderId="47" xfId="0" applyFont="1" applyBorder="1" applyAlignment="1">
      <alignment horizontal="left" vertical="center" wrapText="1" indent="1"/>
    </xf>
    <xf numFmtId="0" fontId="123" fillId="0" borderId="0" xfId="0" applyFont="1" applyAlignment="1">
      <alignment horizontal="left" vertical="center" wrapText="1" indent="1"/>
    </xf>
    <xf numFmtId="0" fontId="123" fillId="0" borderId="46" xfId="0" applyFont="1" applyBorder="1" applyAlignment="1">
      <alignment horizontal="left" vertical="center" wrapText="1" indent="1"/>
    </xf>
    <xf numFmtId="0" fontId="123" fillId="0" borderId="118" xfId="0" applyFont="1" applyBorder="1" applyAlignment="1">
      <alignment horizontal="left" vertical="center" wrapText="1" indent="1"/>
    </xf>
    <xf numFmtId="0" fontId="123" fillId="0" borderId="119" xfId="0" applyFont="1" applyBorder="1" applyAlignment="1">
      <alignment horizontal="left" vertical="center" wrapText="1" indent="1"/>
    </xf>
    <xf numFmtId="0" fontId="123" fillId="0" borderId="120" xfId="0" applyFont="1" applyBorder="1" applyAlignment="1">
      <alignment horizontal="left" vertical="center" wrapText="1" indent="1"/>
    </xf>
    <xf numFmtId="0" fontId="122" fillId="32" borderId="33" xfId="0" applyFont="1" applyFill="1" applyBorder="1" applyAlignment="1">
      <alignment horizontal="center" vertical="center"/>
    </xf>
    <xf numFmtId="0" fontId="122" fillId="32" borderId="35" xfId="0" applyFont="1" applyFill="1" applyBorder="1" applyAlignment="1">
      <alignment horizontal="center" vertical="center"/>
    </xf>
    <xf numFmtId="0" fontId="123" fillId="0" borderId="116" xfId="0" applyFont="1" applyBorder="1" applyAlignment="1">
      <alignment horizontal="left" vertical="center" indent="1"/>
    </xf>
    <xf numFmtId="0" fontId="123" fillId="0" borderId="121" xfId="0" applyFont="1" applyBorder="1" applyAlignment="1">
      <alignment horizontal="left" vertical="center" indent="1"/>
    </xf>
    <xf numFmtId="0" fontId="123" fillId="0" borderId="115" xfId="0" applyFont="1" applyBorder="1" applyAlignment="1">
      <alignment horizontal="left" vertical="center" indent="1"/>
    </xf>
    <xf numFmtId="0" fontId="123" fillId="0" borderId="117" xfId="0" applyFont="1" applyBorder="1" applyAlignment="1">
      <alignment horizontal="left" vertical="center" indent="1"/>
    </xf>
    <xf numFmtId="0" fontId="123" fillId="0" borderId="122" xfId="0" applyFont="1" applyBorder="1" applyAlignment="1">
      <alignment horizontal="left" vertical="center" indent="1"/>
    </xf>
    <xf numFmtId="0" fontId="123" fillId="0" borderId="123" xfId="0" applyFont="1" applyBorder="1" applyAlignment="1">
      <alignment horizontal="left" vertical="center" indent="1"/>
    </xf>
    <xf numFmtId="0" fontId="97" fillId="0" borderId="59" xfId="0" applyFont="1" applyBorder="1" applyAlignment="1">
      <alignment horizontal="center"/>
    </xf>
    <xf numFmtId="178" fontId="126" fillId="0" borderId="33" xfId="0" applyNumberFormat="1" applyFont="1" applyBorder="1" applyAlignment="1">
      <alignment horizontal="center" vertical="center"/>
    </xf>
    <xf numFmtId="178" fontId="126" fillId="0" borderId="169" xfId="0" applyNumberFormat="1" applyFont="1" applyBorder="1" applyAlignment="1">
      <alignment horizontal="center" vertical="center"/>
    </xf>
    <xf numFmtId="0" fontId="123" fillId="0" borderId="118" xfId="0" applyFont="1" applyBorder="1" applyAlignment="1">
      <alignment horizontal="left" vertical="center" indent="1"/>
    </xf>
    <xf numFmtId="0" fontId="123" fillId="0" borderId="119" xfId="0" applyFont="1" applyBorder="1" applyAlignment="1">
      <alignment horizontal="left" vertical="center" indent="1"/>
    </xf>
    <xf numFmtId="0" fontId="123" fillId="0" borderId="120" xfId="0" applyFont="1" applyBorder="1" applyAlignment="1">
      <alignment horizontal="left" vertical="center" indent="1"/>
    </xf>
    <xf numFmtId="178" fontId="125" fillId="0" borderId="33" xfId="0" applyNumberFormat="1" applyFont="1" applyBorder="1" applyAlignment="1">
      <alignment horizontal="center" vertical="center"/>
    </xf>
    <xf numFmtId="178" fontId="125" fillId="0" borderId="169" xfId="0" applyNumberFormat="1" applyFont="1" applyBorder="1" applyAlignment="1">
      <alignment horizontal="center" vertical="center"/>
    </xf>
    <xf numFmtId="0" fontId="126" fillId="0" borderId="34" xfId="0" applyFont="1" applyBorder="1" applyAlignment="1">
      <alignment horizontal="center" vertical="center"/>
    </xf>
    <xf numFmtId="0" fontId="136" fillId="37" borderId="166" xfId="0" applyFont="1" applyFill="1" applyBorder="1" applyAlignment="1">
      <alignment horizontal="left" vertical="center"/>
    </xf>
    <xf numFmtId="0" fontId="136" fillId="37" borderId="112" xfId="0" applyFont="1" applyFill="1" applyBorder="1" applyAlignment="1">
      <alignment horizontal="left" vertical="center"/>
    </xf>
    <xf numFmtId="0" fontId="136" fillId="37" borderId="51" xfId="0" applyFont="1" applyFill="1" applyBorder="1" applyAlignment="1">
      <alignment horizontal="left" vertical="center"/>
    </xf>
    <xf numFmtId="0" fontId="125" fillId="37" borderId="38" xfId="0" applyFont="1" applyFill="1" applyBorder="1" applyAlignment="1">
      <alignment horizontal="center" vertical="center" wrapText="1"/>
    </xf>
    <xf numFmtId="0" fontId="125" fillId="37" borderId="37" xfId="0" applyFont="1" applyFill="1" applyBorder="1" applyAlignment="1">
      <alignment horizontal="center" vertical="center" wrapText="1"/>
    </xf>
    <xf numFmtId="178" fontId="125" fillId="37" borderId="38" xfId="0" applyNumberFormat="1" applyFont="1" applyFill="1" applyBorder="1" applyAlignment="1">
      <alignment horizontal="center" vertical="center"/>
    </xf>
    <xf numFmtId="178" fontId="125" fillId="37" borderId="168" xfId="0" applyNumberFormat="1" applyFont="1" applyFill="1" applyBorder="1" applyAlignment="1">
      <alignment horizontal="center" vertical="center"/>
    </xf>
    <xf numFmtId="229" fontId="123" fillId="0" borderId="33" xfId="0" applyNumberFormat="1" applyFont="1" applyBorder="1" applyAlignment="1">
      <alignment horizontal="center" vertical="center"/>
    </xf>
    <xf numFmtId="229" fontId="123" fillId="0" borderId="34" xfId="0" applyNumberFormat="1" applyFont="1" applyBorder="1" applyAlignment="1">
      <alignment horizontal="center" vertical="center"/>
    </xf>
    <xf numFmtId="0" fontId="126" fillId="29" borderId="33" xfId="0" applyFont="1" applyFill="1" applyBorder="1" applyAlignment="1">
      <alignment horizontal="center" vertical="center"/>
    </xf>
    <xf numFmtId="0" fontId="126" fillId="29" borderId="35" xfId="0" applyFont="1" applyFill="1" applyBorder="1" applyAlignment="1">
      <alignment horizontal="center" vertical="center"/>
    </xf>
    <xf numFmtId="0" fontId="126" fillId="29" borderId="169" xfId="0" applyFont="1" applyFill="1" applyBorder="1" applyAlignment="1">
      <alignment horizontal="center" vertical="center"/>
    </xf>
    <xf numFmtId="0" fontId="123" fillId="37" borderId="167" xfId="0" applyFont="1" applyFill="1" applyBorder="1" applyAlignment="1">
      <alignment horizontal="right" vertical="center" indent="1"/>
    </xf>
    <xf numFmtId="0" fontId="123" fillId="37" borderId="35" xfId="0" applyFont="1" applyFill="1" applyBorder="1" applyAlignment="1">
      <alignment horizontal="right" vertical="center" indent="1"/>
    </xf>
    <xf numFmtId="0" fontId="123" fillId="37" borderId="34" xfId="0" applyFont="1" applyFill="1" applyBorder="1" applyAlignment="1">
      <alignment horizontal="right" vertical="center" indent="1"/>
    </xf>
    <xf numFmtId="229" fontId="126" fillId="0" borderId="33" xfId="0" applyNumberFormat="1" applyFont="1" applyBorder="1" applyAlignment="1">
      <alignment horizontal="center" vertical="center"/>
    </xf>
    <xf numFmtId="229" fontId="126" fillId="0" borderId="35" xfId="0" applyNumberFormat="1" applyFont="1" applyBorder="1" applyAlignment="1">
      <alignment horizontal="center" vertical="center"/>
    </xf>
    <xf numFmtId="178" fontId="125" fillId="37" borderId="41" xfId="0" applyNumberFormat="1" applyFont="1" applyFill="1" applyBorder="1" applyAlignment="1">
      <alignment horizontal="center" vertical="center"/>
    </xf>
    <xf numFmtId="178" fontId="125" fillId="37" borderId="170" xfId="0" applyNumberFormat="1" applyFont="1" applyFill="1" applyBorder="1" applyAlignment="1">
      <alignment horizontal="center" vertical="center"/>
    </xf>
    <xf numFmtId="0" fontId="137" fillId="37" borderId="58" xfId="0" applyFont="1" applyFill="1" applyBorder="1" applyAlignment="1">
      <alignment vertical="center"/>
    </xf>
    <xf numFmtId="0" fontId="137" fillId="37" borderId="59" xfId="0" applyFont="1" applyFill="1" applyBorder="1" applyAlignment="1">
      <alignment vertical="center"/>
    </xf>
    <xf numFmtId="0" fontId="137" fillId="37" borderId="60" xfId="0" applyFont="1" applyFill="1" applyBorder="1" applyAlignment="1">
      <alignment vertical="center"/>
    </xf>
    <xf numFmtId="0" fontId="136" fillId="34" borderId="166" xfId="0" applyFont="1" applyFill="1" applyBorder="1" applyAlignment="1">
      <alignment horizontal="left" vertical="center"/>
    </xf>
    <xf numFmtId="0" fontId="136" fillId="34" borderId="112" xfId="0" applyFont="1" applyFill="1" applyBorder="1" applyAlignment="1">
      <alignment horizontal="left" vertical="center"/>
    </xf>
    <xf numFmtId="0" fontId="136" fillId="34" borderId="51" xfId="0" applyFont="1" applyFill="1" applyBorder="1" applyAlignment="1">
      <alignment horizontal="left" vertical="center"/>
    </xf>
    <xf numFmtId="178" fontId="125" fillId="34" borderId="38" xfId="0" applyNumberFormat="1" applyFont="1" applyFill="1" applyBorder="1" applyAlignment="1">
      <alignment horizontal="center" vertical="center"/>
    </xf>
    <xf numFmtId="178" fontId="125" fillId="34" borderId="168" xfId="0" applyNumberFormat="1" applyFont="1" applyFill="1" applyBorder="1" applyAlignment="1">
      <alignment horizontal="center" vertical="center"/>
    </xf>
    <xf numFmtId="0" fontId="137" fillId="34" borderId="58" xfId="0" applyFont="1" applyFill="1" applyBorder="1" applyAlignment="1">
      <alignment vertical="center"/>
    </xf>
    <xf numFmtId="0" fontId="137" fillId="34" borderId="59" xfId="0" applyFont="1" applyFill="1" applyBorder="1" applyAlignment="1">
      <alignment vertical="center"/>
    </xf>
    <xf numFmtId="0" fontId="137" fillId="34" borderId="60" xfId="0" applyFont="1" applyFill="1" applyBorder="1" applyAlignment="1">
      <alignment vertical="center"/>
    </xf>
    <xf numFmtId="178" fontId="125" fillId="34" borderId="41" xfId="0" applyNumberFormat="1" applyFont="1" applyFill="1" applyBorder="1" applyAlignment="1">
      <alignment horizontal="center" vertical="center"/>
    </xf>
    <xf numFmtId="178" fontId="125" fillId="34" borderId="170" xfId="0" applyNumberFormat="1" applyFont="1" applyFill="1" applyBorder="1" applyAlignment="1">
      <alignment horizontal="center" vertical="center"/>
    </xf>
    <xf numFmtId="0" fontId="123" fillId="34" borderId="167" xfId="0" applyFont="1" applyFill="1" applyBorder="1" applyAlignment="1">
      <alignment horizontal="right" vertical="center" indent="1"/>
    </xf>
    <xf numFmtId="0" fontId="123" fillId="34" borderId="35" xfId="0" applyFont="1" applyFill="1" applyBorder="1" applyAlignment="1">
      <alignment horizontal="right" vertical="center" indent="1"/>
    </xf>
    <xf numFmtId="0" fontId="123" fillId="34" borderId="34" xfId="0" applyFont="1" applyFill="1" applyBorder="1" applyAlignment="1">
      <alignment horizontal="right" vertical="center" indent="1"/>
    </xf>
    <xf numFmtId="0" fontId="138" fillId="0" borderId="126" xfId="0" applyFont="1" applyBorder="1" applyAlignment="1">
      <alignment horizontal="center" vertical="center"/>
    </xf>
    <xf numFmtId="0" fontId="138" fillId="0" borderId="121" xfId="0" applyFont="1" applyBorder="1" applyAlignment="1">
      <alignment horizontal="center" vertical="center"/>
    </xf>
    <xf numFmtId="0" fontId="138" fillId="0" borderId="115" xfId="0" applyFont="1" applyBorder="1" applyAlignment="1">
      <alignment horizontal="center" vertical="center"/>
    </xf>
    <xf numFmtId="0" fontId="138" fillId="0" borderId="131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132" xfId="0" applyFont="1" applyBorder="1" applyAlignment="1">
      <alignment horizontal="center" vertical="center"/>
    </xf>
    <xf numFmtId="0" fontId="148" fillId="32" borderId="33" xfId="0" applyFont="1" applyFill="1" applyBorder="1" applyAlignment="1">
      <alignment horizontal="center" vertical="center"/>
    </xf>
    <xf numFmtId="0" fontId="148" fillId="32" borderId="34" xfId="0" applyFont="1" applyFill="1" applyBorder="1" applyAlignment="1">
      <alignment horizontal="center" vertical="center"/>
    </xf>
    <xf numFmtId="0" fontId="138" fillId="0" borderId="118" xfId="0" applyFont="1" applyBorder="1" applyAlignment="1">
      <alignment horizontal="center" vertical="center" wrapText="1"/>
    </xf>
    <xf numFmtId="0" fontId="138" fillId="0" borderId="120" xfId="0" applyFont="1" applyBorder="1" applyAlignment="1">
      <alignment horizontal="center" vertical="center" wrapText="1"/>
    </xf>
    <xf numFmtId="0" fontId="138" fillId="0" borderId="116" xfId="0" applyFont="1" applyBorder="1" applyAlignment="1">
      <alignment horizontal="center" vertical="center" wrapText="1"/>
    </xf>
    <xf numFmtId="0" fontId="138" fillId="0" borderId="115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 wrapText="1"/>
    </xf>
    <xf numFmtId="0" fontId="138" fillId="0" borderId="132" xfId="0" applyFont="1" applyBorder="1" applyAlignment="1">
      <alignment horizontal="center" vertical="center" wrapText="1"/>
    </xf>
    <xf numFmtId="0" fontId="148" fillId="32" borderId="127" xfId="0" applyFont="1" applyFill="1" applyBorder="1" applyAlignment="1">
      <alignment horizontal="center" vertical="center"/>
    </xf>
    <xf numFmtId="0" fontId="148" fillId="32" borderId="35" xfId="0" applyFont="1" applyFill="1" applyBorder="1" applyAlignment="1">
      <alignment horizontal="center" vertical="center"/>
    </xf>
    <xf numFmtId="0" fontId="138" fillId="0" borderId="125" xfId="0" applyFont="1" applyBorder="1" applyAlignment="1">
      <alignment horizontal="center" vertical="center"/>
    </xf>
    <xf numFmtId="0" fontId="138" fillId="0" borderId="119" xfId="0" applyFont="1" applyBorder="1" applyAlignment="1">
      <alignment horizontal="center" vertical="center"/>
    </xf>
    <xf numFmtId="0" fontId="138" fillId="0" borderId="120" xfId="0" applyFont="1" applyBorder="1" applyAlignment="1">
      <alignment horizontal="center" vertical="center"/>
    </xf>
    <xf numFmtId="0" fontId="141" fillId="34" borderId="90" xfId="0" applyFont="1" applyFill="1" applyBorder="1" applyAlignment="1">
      <alignment horizontal="center" vertical="center"/>
    </xf>
    <xf numFmtId="0" fontId="141" fillId="34" borderId="29" xfId="0" applyFont="1" applyFill="1" applyBorder="1" applyAlignment="1">
      <alignment horizontal="center" vertical="center"/>
    </xf>
    <xf numFmtId="0" fontId="141" fillId="34" borderId="91" xfId="0" applyFont="1" applyFill="1" applyBorder="1" applyAlignment="1">
      <alignment horizontal="center" vertical="center"/>
    </xf>
    <xf numFmtId="0" fontId="141" fillId="34" borderId="92" xfId="0" applyFont="1" applyFill="1" applyBorder="1" applyAlignment="1">
      <alignment horizontal="center" vertical="center"/>
    </xf>
    <xf numFmtId="0" fontId="141" fillId="34" borderId="7" xfId="0" applyFont="1" applyFill="1" applyBorder="1" applyAlignment="1">
      <alignment horizontal="center" vertical="center"/>
    </xf>
    <xf numFmtId="0" fontId="141" fillId="34" borderId="84" xfId="0" applyFont="1" applyFill="1" applyBorder="1" applyAlignment="1">
      <alignment horizontal="center" vertical="center"/>
    </xf>
    <xf numFmtId="0" fontId="122" fillId="0" borderId="87" xfId="0" applyFont="1" applyBorder="1" applyAlignment="1">
      <alignment horizontal="center" vertical="center"/>
    </xf>
    <xf numFmtId="0" fontId="122" fillId="0" borderId="124" xfId="0" applyFont="1" applyBorder="1" applyAlignment="1">
      <alignment horizontal="center" vertical="center"/>
    </xf>
    <xf numFmtId="0" fontId="122" fillId="0" borderId="88" xfId="0" applyFont="1" applyBorder="1" applyAlignment="1">
      <alignment horizontal="center" vertical="center"/>
    </xf>
    <xf numFmtId="0" fontId="122" fillId="0" borderId="93" xfId="0" applyFont="1" applyBorder="1" applyAlignment="1">
      <alignment horizontal="center" vertical="center" wrapText="1"/>
    </xf>
    <xf numFmtId="0" fontId="122" fillId="0" borderId="0" xfId="0" applyFont="1" applyAlignment="1">
      <alignment horizontal="center" vertical="center"/>
    </xf>
    <xf numFmtId="0" fontId="122" fillId="0" borderId="30" xfId="0" applyFont="1" applyBorder="1" applyAlignment="1">
      <alignment horizontal="center" vertical="center"/>
    </xf>
    <xf numFmtId="0" fontId="122" fillId="0" borderId="92" xfId="0" applyFont="1" applyBorder="1" applyAlignment="1">
      <alignment horizontal="center" vertical="center"/>
    </xf>
    <xf numFmtId="0" fontId="122" fillId="0" borderId="7" xfId="0" applyFont="1" applyBorder="1" applyAlignment="1">
      <alignment horizontal="center" vertical="center"/>
    </xf>
    <xf numFmtId="0" fontId="122" fillId="0" borderId="84" xfId="0" applyFont="1" applyBorder="1" applyAlignment="1">
      <alignment horizontal="center" vertical="center"/>
    </xf>
    <xf numFmtId="41" fontId="141" fillId="0" borderId="90" xfId="1267" applyFont="1" applyFill="1" applyBorder="1" applyAlignment="1">
      <alignment horizontal="center" vertical="center" wrapText="1"/>
    </xf>
    <xf numFmtId="41" fontId="141" fillId="0" borderId="29" xfId="1267" applyFont="1" applyFill="1" applyBorder="1" applyAlignment="1">
      <alignment horizontal="center" vertical="center" wrapText="1"/>
    </xf>
    <xf numFmtId="41" fontId="141" fillId="0" borderId="91" xfId="1267" applyFont="1" applyFill="1" applyBorder="1" applyAlignment="1">
      <alignment horizontal="center" vertical="center" wrapText="1"/>
    </xf>
    <xf numFmtId="41" fontId="141" fillId="0" borderId="93" xfId="1267" applyFont="1" applyFill="1" applyBorder="1" applyAlignment="1">
      <alignment horizontal="center" vertical="center" wrapText="1"/>
    </xf>
    <xf numFmtId="41" fontId="141" fillId="0" borderId="0" xfId="1267" applyFont="1" applyFill="1" applyBorder="1" applyAlignment="1">
      <alignment horizontal="center" vertical="center" wrapText="1"/>
    </xf>
    <xf numFmtId="41" fontId="141" fillId="0" borderId="30" xfId="1267" applyFont="1" applyFill="1" applyBorder="1" applyAlignment="1">
      <alignment horizontal="center" vertical="center" wrapText="1"/>
    </xf>
    <xf numFmtId="41" fontId="141" fillId="0" borderId="92" xfId="1267" applyFont="1" applyFill="1" applyBorder="1" applyAlignment="1">
      <alignment horizontal="center" vertical="center" wrapText="1"/>
    </xf>
    <xf numFmtId="41" fontId="141" fillId="0" borderId="7" xfId="1267" applyFont="1" applyFill="1" applyBorder="1" applyAlignment="1">
      <alignment horizontal="center" vertical="center" wrapText="1"/>
    </xf>
    <xf numFmtId="41" fontId="141" fillId="0" borderId="84" xfId="1267" applyFont="1" applyFill="1" applyBorder="1" applyAlignment="1">
      <alignment horizontal="center" vertical="center" wrapText="1"/>
    </xf>
    <xf numFmtId="0" fontId="122" fillId="0" borderId="0" xfId="0" applyFont="1" applyAlignment="1">
      <alignment horizontal="center" vertical="center" wrapText="1"/>
    </xf>
    <xf numFmtId="0" fontId="122" fillId="0" borderId="30" xfId="0" applyFont="1" applyBorder="1" applyAlignment="1">
      <alignment horizontal="center" vertical="center" wrapText="1"/>
    </xf>
    <xf numFmtId="0" fontId="122" fillId="0" borderId="92" xfId="0" applyFont="1" applyBorder="1" applyAlignment="1">
      <alignment horizontal="center" vertical="center" wrapText="1"/>
    </xf>
    <xf numFmtId="0" fontId="122" fillId="0" borderId="7" xfId="0" applyFont="1" applyBorder="1" applyAlignment="1">
      <alignment horizontal="center" vertical="center" wrapText="1"/>
    </xf>
    <xf numFmtId="0" fontId="122" fillId="0" borderId="84" xfId="0" applyFont="1" applyBorder="1" applyAlignment="1">
      <alignment horizontal="center" vertical="center" wrapText="1"/>
    </xf>
    <xf numFmtId="0" fontId="142" fillId="0" borderId="92" xfId="0" applyFont="1" applyBorder="1" applyAlignment="1">
      <alignment horizontal="center" vertical="center"/>
    </xf>
    <xf numFmtId="0" fontId="142" fillId="0" borderId="7" xfId="0" applyFont="1" applyBorder="1" applyAlignment="1">
      <alignment horizontal="center" vertical="center"/>
    </xf>
    <xf numFmtId="0" fontId="142" fillId="0" borderId="84" xfId="0" applyFont="1" applyBorder="1" applyAlignment="1">
      <alignment horizontal="center" vertical="center"/>
    </xf>
    <xf numFmtId="0" fontId="125" fillId="0" borderId="90" xfId="0" applyFont="1" applyBorder="1" applyAlignment="1">
      <alignment horizontal="center" vertical="center"/>
    </xf>
    <xf numFmtId="0" fontId="125" fillId="0" borderId="29" xfId="0" applyFont="1" applyBorder="1" applyAlignment="1">
      <alignment horizontal="center" vertical="center"/>
    </xf>
    <xf numFmtId="0" fontId="125" fillId="0" borderId="91" xfId="0" applyFont="1" applyBorder="1" applyAlignment="1">
      <alignment horizontal="center" vertical="center"/>
    </xf>
    <xf numFmtId="0" fontId="125" fillId="0" borderId="92" xfId="0" applyFont="1" applyBorder="1" applyAlignment="1">
      <alignment horizontal="center" vertical="center"/>
    </xf>
    <xf numFmtId="0" fontId="125" fillId="0" borderId="7" xfId="0" applyFont="1" applyBorder="1" applyAlignment="1">
      <alignment horizontal="center" vertical="center"/>
    </xf>
    <xf numFmtId="0" fontId="125" fillId="0" borderId="84" xfId="0" applyFont="1" applyBorder="1" applyAlignment="1">
      <alignment horizontal="center" vertical="center"/>
    </xf>
    <xf numFmtId="0" fontId="125" fillId="0" borderId="90" xfId="0" applyFont="1" applyBorder="1" applyAlignment="1">
      <alignment horizontal="center" vertical="center" wrapText="1"/>
    </xf>
    <xf numFmtId="0" fontId="125" fillId="0" borderId="29" xfId="0" applyFont="1" applyBorder="1" applyAlignment="1">
      <alignment horizontal="center" vertical="center" wrapText="1"/>
    </xf>
    <xf numFmtId="0" fontId="125" fillId="0" borderId="91" xfId="0" applyFont="1" applyBorder="1" applyAlignment="1">
      <alignment horizontal="center" vertical="center" wrapText="1"/>
    </xf>
    <xf numFmtId="0" fontId="124" fillId="0" borderId="58" xfId="0" applyFont="1" applyBorder="1" applyAlignment="1">
      <alignment horizontal="center" vertical="center"/>
    </xf>
    <xf numFmtId="0" fontId="124" fillId="0" borderId="59" xfId="0" applyFont="1" applyBorder="1" applyAlignment="1">
      <alignment horizontal="center" vertical="center"/>
    </xf>
    <xf numFmtId="0" fontId="124" fillId="0" borderId="60" xfId="0" applyFont="1" applyBorder="1" applyAlignment="1">
      <alignment horizontal="center" vertical="center"/>
    </xf>
    <xf numFmtId="0" fontId="125" fillId="0" borderId="93" xfId="0" applyFont="1" applyBorder="1" applyAlignment="1">
      <alignment horizontal="center" vertical="center" wrapText="1"/>
    </xf>
    <xf numFmtId="0" fontId="125" fillId="0" borderId="0" xfId="0" applyFont="1" applyAlignment="1">
      <alignment horizontal="center" vertical="center" wrapText="1"/>
    </xf>
    <xf numFmtId="0" fontId="125" fillId="0" borderId="30" xfId="0" applyFont="1" applyBorder="1" applyAlignment="1">
      <alignment horizontal="center" vertical="center" wrapText="1"/>
    </xf>
    <xf numFmtId="0" fontId="125" fillId="0" borderId="93" xfId="0" applyFont="1" applyBorder="1" applyAlignment="1">
      <alignment horizontal="center" vertical="center"/>
    </xf>
    <xf numFmtId="0" fontId="125" fillId="0" borderId="0" xfId="0" applyFont="1" applyAlignment="1">
      <alignment horizontal="center" vertical="center"/>
    </xf>
    <xf numFmtId="0" fontId="125" fillId="0" borderId="30" xfId="0" applyFont="1" applyBorder="1" applyAlignment="1">
      <alignment horizontal="center" vertical="center"/>
    </xf>
    <xf numFmtId="0" fontId="122" fillId="0" borderId="93" xfId="0" applyFont="1" applyBorder="1" applyAlignment="1">
      <alignment horizontal="center" vertical="center"/>
    </xf>
    <xf numFmtId="0" fontId="152" fillId="35" borderId="2" xfId="0" applyFont="1" applyFill="1" applyBorder="1" applyAlignment="1">
      <alignment horizontal="center" vertical="center"/>
    </xf>
    <xf numFmtId="0" fontId="151" fillId="0" borderId="97" xfId="0" applyFont="1" applyBorder="1" applyAlignment="1">
      <alignment horizontal="center" vertical="center"/>
    </xf>
    <xf numFmtId="0" fontId="151" fillId="0" borderId="144" xfId="0" applyFont="1" applyBorder="1" applyAlignment="1">
      <alignment horizontal="center" vertical="center"/>
    </xf>
    <xf numFmtId="0" fontId="151" fillId="0" borderId="98" xfId="0" applyFont="1" applyBorder="1" applyAlignment="1">
      <alignment horizontal="center" vertical="center"/>
    </xf>
    <xf numFmtId="0" fontId="151" fillId="0" borderId="17" xfId="0" applyFont="1" applyBorder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166" fillId="35" borderId="85" xfId="1267" applyNumberFormat="1" applyFont="1" applyFill="1" applyBorder="1" applyAlignment="1">
      <alignment horizontal="center" vertical="center" wrapText="1"/>
    </xf>
    <xf numFmtId="0" fontId="166" fillId="35" borderId="99" xfId="1267" applyNumberFormat="1" applyFont="1" applyFill="1" applyBorder="1" applyAlignment="1">
      <alignment horizontal="center" vertical="center"/>
    </xf>
    <xf numFmtId="0" fontId="166" fillId="35" borderId="72" xfId="0" applyFont="1" applyFill="1" applyBorder="1" applyAlignment="1">
      <alignment horizontal="center" vertical="center"/>
    </xf>
    <xf numFmtId="0" fontId="166" fillId="35" borderId="94" xfId="0" applyFont="1" applyFill="1" applyBorder="1" applyAlignment="1">
      <alignment horizontal="center" vertical="center"/>
    </xf>
    <xf numFmtId="0" fontId="166" fillId="35" borderId="83" xfId="1267" applyNumberFormat="1" applyFont="1" applyFill="1" applyBorder="1" applyAlignment="1">
      <alignment horizontal="center" vertical="center"/>
    </xf>
    <xf numFmtId="0" fontId="166" fillId="35" borderId="12" xfId="1267" applyNumberFormat="1" applyFont="1" applyFill="1" applyBorder="1" applyAlignment="1">
      <alignment horizontal="center" vertical="center"/>
    </xf>
    <xf numFmtId="0" fontId="166" fillId="35" borderId="76" xfId="0" applyFont="1" applyFill="1" applyBorder="1" applyAlignment="1">
      <alignment horizontal="center" vertical="center"/>
    </xf>
    <xf numFmtId="0" fontId="166" fillId="35" borderId="95" xfId="0" applyFont="1" applyFill="1" applyBorder="1" applyAlignment="1">
      <alignment horizontal="center" vertical="center"/>
    </xf>
    <xf numFmtId="0" fontId="166" fillId="35" borderId="73" xfId="0" applyFont="1" applyFill="1" applyBorder="1" applyAlignment="1">
      <alignment horizontal="center" vertical="center"/>
    </xf>
    <xf numFmtId="0" fontId="166" fillId="35" borderId="77" xfId="0" applyFont="1" applyFill="1" applyBorder="1" applyAlignment="1">
      <alignment horizontal="center" vertical="center"/>
    </xf>
    <xf numFmtId="0" fontId="166" fillId="35" borderId="72" xfId="1267" applyNumberFormat="1" applyFont="1" applyFill="1" applyBorder="1" applyAlignment="1">
      <alignment horizontal="center" vertical="center"/>
    </xf>
    <xf numFmtId="0" fontId="166" fillId="35" borderId="78" xfId="1267" applyNumberFormat="1" applyFont="1" applyFill="1" applyBorder="1" applyAlignment="1">
      <alignment horizontal="center" vertical="center"/>
    </xf>
    <xf numFmtId="0" fontId="166" fillId="35" borderId="28" xfId="1267" applyNumberFormat="1" applyFont="1" applyFill="1" applyBorder="1" applyAlignment="1">
      <alignment horizontal="center" vertical="center"/>
    </xf>
  </cellXfs>
  <cellStyles count="2468">
    <cellStyle name="          _x000d__x000a_386grabber=vga.3gr_x000d__x000a_" xfId="1" xr:uid="{00000000-0005-0000-0000-000000000000}"/>
    <cellStyle name="_x000d_$" xfId="2" xr:uid="{00000000-0005-0000-0000-000001000000}"/>
    <cellStyle name="_x000d_;&amp;?;" xfId="3" xr:uid="{00000000-0005-0000-0000-000002000000}"/>
    <cellStyle name="&quot;" xfId="4" xr:uid="{00000000-0005-0000-0000-000003000000}"/>
    <cellStyle name="#,##0" xfId="5" xr:uid="{00000000-0005-0000-0000-000004000000}"/>
    <cellStyle name="$" xfId="6" xr:uid="{00000000-0005-0000-0000-000005000000}"/>
    <cellStyle name="$_db진흥" xfId="7" xr:uid="{00000000-0005-0000-0000-000006000000}"/>
    <cellStyle name="$_SE40" xfId="8" xr:uid="{00000000-0005-0000-0000-000007000000}"/>
    <cellStyle name="$_견적2" xfId="9" xr:uid="{00000000-0005-0000-0000-000008000000}"/>
    <cellStyle name="$_기아" xfId="10" xr:uid="{00000000-0005-0000-0000-000009000000}"/>
    <cellStyle name="??&amp;O?&amp;H?_x0008__x000f__x0007_?_x0007__x0001__x0001_" xfId="11" xr:uid="{00000000-0005-0000-0000-00000A000000}"/>
    <cellStyle name="??&amp;O?&amp;H?_x0008_??_x0007__x0001__x0001_" xfId="12" xr:uid="{00000000-0005-0000-0000-00000B000000}"/>
    <cellStyle name="?W?_laroux" xfId="13" xr:uid="{00000000-0005-0000-0000-00000C000000}"/>
    <cellStyle name="?화 [0]_투자재원" xfId="14" xr:uid="{00000000-0005-0000-0000-00000D000000}"/>
    <cellStyle name="_07(종)두산힐스빌" xfId="15" xr:uid="{00000000-0005-0000-0000-00000E000000}"/>
    <cellStyle name="_07(종)미켈란쉘르빌" xfId="16" xr:uid="{00000000-0005-0000-0000-00000F000000}"/>
    <cellStyle name="_08(작)가락 삼성 래미안 아파트" xfId="17" xr:uid="{00000000-0005-0000-0000-000010000000}"/>
    <cellStyle name="_08(작)아이언프라자" xfId="18" xr:uid="{00000000-0005-0000-0000-000011000000}"/>
    <cellStyle name="_08(종) 영통 삼성래미안 아파트" xfId="19" xr:uid="{00000000-0005-0000-0000-000012000000}"/>
    <cellStyle name="_08(종)뚝섬중앙하이츠빌" xfId="20" xr:uid="{00000000-0005-0000-0000-000013000000}"/>
    <cellStyle name="_08(종)한승미메이드아파트" xfId="21" xr:uid="{00000000-0005-0000-0000-000014000000}"/>
    <cellStyle name="_08(종)허브원" xfId="22" xr:uid="{00000000-0005-0000-0000-000015000000}"/>
    <cellStyle name="_09(작)SH빌딩" xfId="23" xr:uid="{00000000-0005-0000-0000-000016000000}"/>
    <cellStyle name="_09(작)다보빌딩" xfId="24" xr:uid="{00000000-0005-0000-0000-000017000000}"/>
    <cellStyle name="_09(작)산본성당" xfId="25" xr:uid="{00000000-0005-0000-0000-000018000000}"/>
    <cellStyle name="_09(종)동작쌍떼빌아파트" xfId="26" xr:uid="{00000000-0005-0000-0000-000019000000}"/>
    <cellStyle name="_09(종)르네상스타워" xfId="27" xr:uid="{00000000-0005-0000-0000-00001A000000}"/>
    <cellStyle name="_09(종)수지두산위브아파트" xfId="28" xr:uid="{00000000-0005-0000-0000-00001B000000}"/>
    <cellStyle name="_09(종)인계선경1차" xfId="29" xr:uid="{00000000-0005-0000-0000-00001C000000}"/>
    <cellStyle name="_09(종)인덕원성당" xfId="30" xr:uid="{00000000-0005-0000-0000-00001D000000}"/>
    <cellStyle name="_09(종)종로대성스카이렉스" xfId="31" xr:uid="{00000000-0005-0000-0000-00001E000000}"/>
    <cellStyle name="_09(종)태영데시앙1차" xfId="32" xr:uid="{00000000-0005-0000-0000-00001F000000}"/>
    <cellStyle name="_09(종)호계아크로리버" xfId="33" xr:uid="{00000000-0005-0000-0000-000020000000}"/>
    <cellStyle name="_2000하반기 견적서 ( 미씨860오피스텔 탑시티, 청우, 유일, 동부,경진 )" xfId="34" xr:uid="{00000000-0005-0000-0000-000021000000}"/>
    <cellStyle name="_2000하반기 견적서 ( 미씨860오피스텔 탑시티, 청우, 유일, 동부,경진 )_07(종)두산힐스빌" xfId="35" xr:uid="{00000000-0005-0000-0000-000022000000}"/>
    <cellStyle name="_2000하반기 견적서 ( 미씨860오피스텔 탑시티, 청우, 유일, 동부,경진 )_07(종)미켈란쉘르빌" xfId="36" xr:uid="{00000000-0005-0000-0000-000023000000}"/>
    <cellStyle name="_2000하반기 견적서 ( 미씨860오피스텔 탑시티, 청우, 유일, 동부,경진 )_08(종) 영통 삼성래미안 아파트" xfId="37" xr:uid="{00000000-0005-0000-0000-000024000000}"/>
    <cellStyle name="_2000하반기 견적서 ( 미씨860오피스텔 탑시티, 청우, 유일, 동부,경진 )_08(종)뚝섬중앙하이츠빌" xfId="38" xr:uid="{00000000-0005-0000-0000-000025000000}"/>
    <cellStyle name="_2000하반기 견적서 ( 미씨860오피스텔 탑시티, 청우, 유일, 동부,경진 )_08(종)한승미메이드아파트" xfId="39" xr:uid="{00000000-0005-0000-0000-000026000000}"/>
    <cellStyle name="_2000하반기 견적서 ( 미씨860오피스텔 탑시티, 청우, 유일, 동부,경진 )_08(종)허브원" xfId="40" xr:uid="{00000000-0005-0000-0000-000027000000}"/>
    <cellStyle name="_2000하반기 견적서 ( 미씨860오피스텔 탑시티, 청우, 유일, 동부,경진 )_09(종)르네상스타워" xfId="41" xr:uid="{00000000-0005-0000-0000-000028000000}"/>
    <cellStyle name="_2000하반기 견적서 ( 미씨860오피스텔 탑시티, 청우, 유일, 동부,경진 )_09(종)인덕원성당" xfId="42" xr:uid="{00000000-0005-0000-0000-000029000000}"/>
    <cellStyle name="_2000하반기 견적서 ( 미씨860오피스텔 탑시티, 청우, 유일, 동부,경진 )_3호원본" xfId="43" xr:uid="{00000000-0005-0000-0000-00002A000000}"/>
    <cellStyle name="_2000하반기 견적서 ( 미씨860오피스텔 탑시티, 청우, 유일, 동부,경진 )_Book1" xfId="44" xr:uid="{00000000-0005-0000-0000-00002B000000}"/>
    <cellStyle name="_2000하반기 견적서 ( 미씨860오피스텔 탑시티, 청우, 유일, 동부,경진 )_Book1_08(종)허브원" xfId="45" xr:uid="{00000000-0005-0000-0000-00002C000000}"/>
    <cellStyle name="_2002 상반기 견적서 ( 롯데 분당점 공정표 )" xfId="46" xr:uid="{00000000-0005-0000-0000-00002D000000}"/>
    <cellStyle name="_2002 상반기 견적서 ( 롯데 분당점 공정표 )_07(종)두산힐스빌" xfId="47" xr:uid="{00000000-0005-0000-0000-00002E000000}"/>
    <cellStyle name="_2002 상반기 견적서 ( 롯데 분당점 공정표 )_07(종)미켈란쉘르빌" xfId="48" xr:uid="{00000000-0005-0000-0000-00002F000000}"/>
    <cellStyle name="_2002 상반기 견적서 ( 롯데 분당점 공정표 )_08(종) 영통 삼성래미안 아파트" xfId="49" xr:uid="{00000000-0005-0000-0000-000030000000}"/>
    <cellStyle name="_2002 상반기 견적서 ( 롯데 분당점 공정표 )_08(종)뚝섬중앙하이츠빌" xfId="50" xr:uid="{00000000-0005-0000-0000-000031000000}"/>
    <cellStyle name="_2002 상반기 견적서 ( 롯데 분당점 공정표 )_08(종)한승미메이드아파트" xfId="51" xr:uid="{00000000-0005-0000-0000-000032000000}"/>
    <cellStyle name="_2002 상반기 견적서 ( 롯데 분당점 공정표 )_08(종)허브원" xfId="52" xr:uid="{00000000-0005-0000-0000-000033000000}"/>
    <cellStyle name="_2002 상반기 견적서 ( 롯데 분당점 공정표 )_09(종)르네상스타워" xfId="53" xr:uid="{00000000-0005-0000-0000-000034000000}"/>
    <cellStyle name="_2002 상반기 견적서 ( 롯데 분당점 공정표 )_09(종)인덕원성당" xfId="54" xr:uid="{00000000-0005-0000-0000-000035000000}"/>
    <cellStyle name="_2002 상반기 견적서 ( 롯데 분당점 공정표 )_3호원본" xfId="55" xr:uid="{00000000-0005-0000-0000-000036000000}"/>
    <cellStyle name="_2002 상반기 견적서 ( 롯데 분당점 공정표 )_Book1" xfId="56" xr:uid="{00000000-0005-0000-0000-000037000000}"/>
    <cellStyle name="_2002 상반기 견적서 ( 롯데 분당점 공정표 )_Book1_08(종)허브원" xfId="57" xr:uid="{00000000-0005-0000-0000-000038000000}"/>
    <cellStyle name="_2차5회(사정)" xfId="58" xr:uid="{00000000-0005-0000-0000-000039000000}"/>
    <cellStyle name="_2호원본" xfId="59" xr:uid="{00000000-0005-0000-0000-00003A000000}"/>
    <cellStyle name="_3호원본" xfId="60" xr:uid="{00000000-0005-0000-0000-00003B000000}"/>
    <cellStyle name="_9월" xfId="61" xr:uid="{00000000-0005-0000-0000-00003C000000}"/>
    <cellStyle name="_Book1" xfId="62" xr:uid="{00000000-0005-0000-0000-00003D000000}"/>
    <cellStyle name="_Book1_08(종)허브원" xfId="63" xr:uid="{00000000-0005-0000-0000-00003E000000}"/>
    <cellStyle name="_SANDFILTER" xfId="64" xr:uid="{00000000-0005-0000-0000-00003F000000}"/>
    <cellStyle name="_강내투찰내역서-x" xfId="65" xr:uid="{00000000-0005-0000-0000-000040000000}"/>
    <cellStyle name="_강내투찰내역서-x 2" xfId="1478" xr:uid="{82A012F2-9F67-4C93-8724-B1651B39A4DB}"/>
    <cellStyle name="_강내투찰내역서-x_왜관-태평건설" xfId="66" xr:uid="{00000000-0005-0000-0000-000041000000}"/>
    <cellStyle name="_강내투찰내역서-x_왜관-태평건설 2" xfId="1479" xr:uid="{77E0DFD7-2508-4849-9791-11922C3968A4}"/>
    <cellStyle name="_고산투찰" xfId="67" xr:uid="{00000000-0005-0000-0000-000042000000}"/>
    <cellStyle name="_광릉투찰" xfId="68" xr:uid="{00000000-0005-0000-0000-000043000000}"/>
    <cellStyle name="_광릉투찰 2" xfId="1480" xr:uid="{5ACFA38F-8EDD-4840-BFC3-DDB09892CB2C}"/>
    <cellStyle name="_광릉투찰_왜관-태평건설" xfId="69" xr:uid="{00000000-0005-0000-0000-000044000000}"/>
    <cellStyle name="_광릉투찰_왜관-태평건설 2" xfId="1481" xr:uid="{DE3CAE05-3BBC-4ED1-93C2-2BD40FB3E9C7}"/>
    <cellStyle name="_광주평동투찰" xfId="70" xr:uid="{00000000-0005-0000-0000-000045000000}"/>
    <cellStyle name="_광주평동투찰 2" xfId="1482" xr:uid="{869DBAB8-218C-4E85-BB5B-19A7AC89BB60}"/>
    <cellStyle name="_광주평동투찰3" xfId="71" xr:uid="{00000000-0005-0000-0000-000046000000}"/>
    <cellStyle name="_광주평동투찰3 2" xfId="1483" xr:uid="{80C02134-748A-4D9F-A849-6082D9514203}"/>
    <cellStyle name="_광주평동품의1" xfId="72" xr:uid="{00000000-0005-0000-0000-000047000000}"/>
    <cellStyle name="_광주평동품의1 2" xfId="1484" xr:uid="{6C2FA562-2691-42A9-BBCE-67D28FEE40B2}"/>
    <cellStyle name="_구문소철암투찰" xfId="73" xr:uid="{00000000-0005-0000-0000-000048000000}"/>
    <cellStyle name="_구문소철암투찰 2" xfId="1485" xr:uid="{E0EFC3BB-D8EF-44F5-A6D8-645CBFD2C68F}"/>
    <cellStyle name="_구문소철암투찰_광릉투찰" xfId="74" xr:uid="{00000000-0005-0000-0000-000049000000}"/>
    <cellStyle name="_구문소철암투찰_광릉투찰 2" xfId="1486" xr:uid="{40FB6081-FF74-4D59-9995-351733E8520F}"/>
    <cellStyle name="_구문소철암투찰_광릉투찰_왜관-태평건설" xfId="75" xr:uid="{00000000-0005-0000-0000-00004A000000}"/>
    <cellStyle name="_구문소철암투찰_광릉투찰_왜관-태평건설 2" xfId="1487" xr:uid="{4EDC4859-8FF8-4829-BFFB-FD23B8638A2E}"/>
    <cellStyle name="_구문소철암투찰_왜관-태평건설" xfId="76" xr:uid="{00000000-0005-0000-0000-00004B000000}"/>
    <cellStyle name="_구문소철암투찰_왜관-태평건설 2" xfId="1488" xr:uid="{C58A1225-CB5A-4549-8513-4A906E8E16B6}"/>
    <cellStyle name="_국도23호선영암연소지구내역서" xfId="77" xr:uid="{00000000-0005-0000-0000-00004C000000}"/>
    <cellStyle name="_국도38호선통리지구내역서" xfId="78" xr:uid="{00000000-0005-0000-0000-00004D000000}"/>
    <cellStyle name="_국도42호선여량지구오르막차로" xfId="79" xr:uid="{00000000-0005-0000-0000-00004E000000}"/>
    <cellStyle name="_금천청소년수련관(토목林)" xfId="80" xr:uid="{00000000-0005-0000-0000-00004F000000}"/>
    <cellStyle name="_농소투찰(32152)" xfId="81" xr:uid="{00000000-0005-0000-0000-000050000000}"/>
    <cellStyle name="_농소투찰(32152) 2" xfId="1489" xr:uid="{01C4927E-3A60-4BD3-A5D1-B155B215DC7D}"/>
    <cellStyle name="_농소투찰(32152)_왜관-태평건설" xfId="82" xr:uid="{00000000-0005-0000-0000-000051000000}"/>
    <cellStyle name="_농소투찰(32152)_왜관-태평건설 2" xfId="1490" xr:uid="{85DC1E83-653B-4625-BE7A-4D59B7B73DB8}"/>
    <cellStyle name="_대곡이설(투찰)" xfId="83" xr:uid="{00000000-0005-0000-0000-000052000000}"/>
    <cellStyle name="_대곡이설(투찰) 2" xfId="1491" xr:uid="{98FF7E3D-3CE4-48F1-A8C4-CE0B511AB583}"/>
    <cellStyle name="_대곡이설(투찰)_1" xfId="84" xr:uid="{00000000-0005-0000-0000-000053000000}"/>
    <cellStyle name="_대곡이설(투찰)_1 2" xfId="1492" xr:uid="{1E0594F3-A7BF-4787-9575-5849AA340939}"/>
    <cellStyle name="_대곡이설(투찰)_1_경찰서-터미널간도로(투찰)②" xfId="85" xr:uid="{00000000-0005-0000-0000-000054000000}"/>
    <cellStyle name="_대곡이설(투찰)_1_경찰서-터미널간도로(투찰)② 2" xfId="1493" xr:uid="{C1A0662A-3928-44F4-943A-E4BCF7FDA2F9}"/>
    <cellStyle name="_대곡이설(투찰)_1_경찰서-터미널간도로(투찰)②_마현생창(동양고속)" xfId="86" xr:uid="{00000000-0005-0000-0000-000055000000}"/>
    <cellStyle name="_대곡이설(투찰)_1_경찰서-터미널간도로(투찰)②_마현생창(동양고속) 2" xfId="1494" xr:uid="{0FE19327-486D-410D-9904-F1553B839D4B}"/>
    <cellStyle name="_대곡이설(투찰)_1_경찰서-터미널간도로(투찰)②_마현생창(동양고속)_왜관-태평건설" xfId="87" xr:uid="{00000000-0005-0000-0000-000056000000}"/>
    <cellStyle name="_대곡이설(투찰)_1_경찰서-터미널간도로(투찰)②_마현생창(동양고속)_왜관-태평건설 2" xfId="1495" xr:uid="{21403891-0788-4D0A-B013-CA8A9758CC43}"/>
    <cellStyle name="_대곡이설(투찰)_1_경찰서-터미널간도로(투찰)②_왜관-태평건설" xfId="88" xr:uid="{00000000-0005-0000-0000-000057000000}"/>
    <cellStyle name="_대곡이설(투찰)_1_경찰서-터미널간도로(투찰)②_왜관-태평건설 2" xfId="1496" xr:uid="{2854E944-8CAA-44E9-B587-4802B608CDC7}"/>
    <cellStyle name="_대곡이설(투찰)_1_마현생창(동양고속)" xfId="89" xr:uid="{00000000-0005-0000-0000-000058000000}"/>
    <cellStyle name="_대곡이설(투찰)_1_마현생창(동양고속) 2" xfId="1497" xr:uid="{E5CEBDF2-556B-4B6F-BB60-DB83126FC941}"/>
    <cellStyle name="_대곡이설(투찰)_1_마현생창(동양고속)_왜관-태평건설" xfId="90" xr:uid="{00000000-0005-0000-0000-000059000000}"/>
    <cellStyle name="_대곡이설(투찰)_1_마현생창(동양고속)_왜관-태평건설 2" xfId="1498" xr:uid="{D9AB22C6-2196-40B4-87BD-632E35E9E87B}"/>
    <cellStyle name="_대곡이설(투찰)_1_봉무지방산업단지도로(투찰)②" xfId="91" xr:uid="{00000000-0005-0000-0000-00005A000000}"/>
    <cellStyle name="_대곡이설(투찰)_1_봉무지방산업단지도로(투찰)② 2" xfId="1499" xr:uid="{E8BAE10C-5B52-4F28-BE28-FCC411484E80}"/>
    <cellStyle name="_대곡이설(투찰)_1_봉무지방산업단지도로(투찰)②_마현생창(동양고속)" xfId="92" xr:uid="{00000000-0005-0000-0000-00005B000000}"/>
    <cellStyle name="_대곡이설(투찰)_1_봉무지방산업단지도로(투찰)②_마현생창(동양고속) 2" xfId="1500" xr:uid="{AFC73013-10CA-4C6C-A7FB-3823DAB79EC1}"/>
    <cellStyle name="_대곡이설(투찰)_1_봉무지방산업단지도로(투찰)②_마현생창(동양고속)_왜관-태평건설" xfId="93" xr:uid="{00000000-0005-0000-0000-00005C000000}"/>
    <cellStyle name="_대곡이설(투찰)_1_봉무지방산업단지도로(투찰)②_마현생창(동양고속)_왜관-태평건설 2" xfId="1501" xr:uid="{8A5D4E6B-0EB0-40E3-B317-5CE15E2921FA}"/>
    <cellStyle name="_대곡이설(투찰)_1_봉무지방산업단지도로(투찰)②_왜관-태평건설" xfId="94" xr:uid="{00000000-0005-0000-0000-00005D000000}"/>
    <cellStyle name="_대곡이설(투찰)_1_봉무지방산업단지도로(투찰)②_왜관-태평건설 2" xfId="1502" xr:uid="{8B464023-B1EB-4154-9342-5A3A65BA0E97}"/>
    <cellStyle name="_대곡이설(투찰)_1_봉무지방산업단지도로(투찰)②+0.250%" xfId="95" xr:uid="{00000000-0005-0000-0000-00005E000000}"/>
    <cellStyle name="_대곡이설(투찰)_1_봉무지방산업단지도로(투찰)②+0.250% 2" xfId="1503" xr:uid="{8A70A929-3155-40BA-B1F0-F635CB1BB0BA}"/>
    <cellStyle name="_대곡이설(투찰)_1_봉무지방산업단지도로(투찰)②+0.250%_마현생창(동양고속)" xfId="96" xr:uid="{00000000-0005-0000-0000-00005F000000}"/>
    <cellStyle name="_대곡이설(투찰)_1_봉무지방산업단지도로(투찰)②+0.250%_마현생창(동양고속) 2" xfId="1504" xr:uid="{D87D7786-EC5F-4D82-AE7D-CEA74A5F82CE}"/>
    <cellStyle name="_대곡이설(투찰)_1_봉무지방산업단지도로(투찰)②+0.250%_마현생창(동양고속)_왜관-태평건설" xfId="97" xr:uid="{00000000-0005-0000-0000-000060000000}"/>
    <cellStyle name="_대곡이설(투찰)_1_봉무지방산업단지도로(투찰)②+0.250%_마현생창(동양고속)_왜관-태평건설 2" xfId="1505" xr:uid="{5587E040-55C6-4A36-BA84-92444179FD04}"/>
    <cellStyle name="_대곡이설(투찰)_1_봉무지방산업단지도로(투찰)②+0.250%_왜관-태평건설" xfId="98" xr:uid="{00000000-0005-0000-0000-000061000000}"/>
    <cellStyle name="_대곡이설(투찰)_1_봉무지방산업단지도로(투찰)②+0.250%_왜관-태평건설 2" xfId="1506" xr:uid="{6A58FFFB-12E4-462D-95E4-EFEF15980BCF}"/>
    <cellStyle name="_대곡이설(투찰)_1_왜관-태평건설" xfId="99" xr:uid="{00000000-0005-0000-0000-000062000000}"/>
    <cellStyle name="_대곡이설(투찰)_1_왜관-태평건설 2" xfId="1507" xr:uid="{2613079E-8E8F-4E90-8421-41E5B1FA606F}"/>
    <cellStyle name="_대곡이설(투찰)_1_합덕-신례원(2공구)투찰" xfId="100" xr:uid="{00000000-0005-0000-0000-000063000000}"/>
    <cellStyle name="_대곡이설(투찰)_1_합덕-신례원(2공구)투찰 2" xfId="1508" xr:uid="{ED290A37-AC73-41ED-824A-E2EDBB52C8B4}"/>
    <cellStyle name="_대곡이설(투찰)_1_합덕-신례원(2공구)투찰_경찰서-터미널간도로(투찰)②" xfId="101" xr:uid="{00000000-0005-0000-0000-000064000000}"/>
    <cellStyle name="_대곡이설(투찰)_1_합덕-신례원(2공구)투찰_경찰서-터미널간도로(투찰)② 2" xfId="1509" xr:uid="{B202C988-9AAB-4BEB-8D42-A1C1ED6A1135}"/>
    <cellStyle name="_대곡이설(투찰)_1_합덕-신례원(2공구)투찰_경찰서-터미널간도로(투찰)②_마현생창(동양고속)" xfId="102" xr:uid="{00000000-0005-0000-0000-000065000000}"/>
    <cellStyle name="_대곡이설(투찰)_1_합덕-신례원(2공구)투찰_경찰서-터미널간도로(투찰)②_마현생창(동양고속) 2" xfId="1510" xr:uid="{82B447F7-9713-4DE6-BB07-92CEA730C82E}"/>
    <cellStyle name="_대곡이설(투찰)_1_합덕-신례원(2공구)투찰_경찰서-터미널간도로(투찰)②_마현생창(동양고속)_왜관-태평건설" xfId="103" xr:uid="{00000000-0005-0000-0000-000066000000}"/>
    <cellStyle name="_대곡이설(투찰)_1_합덕-신례원(2공구)투찰_경찰서-터미널간도로(투찰)②_마현생창(동양고속)_왜관-태평건설 2" xfId="1511" xr:uid="{880D0121-D2DD-4680-AA40-92B26EC6CAA7}"/>
    <cellStyle name="_대곡이설(투찰)_1_합덕-신례원(2공구)투찰_경찰서-터미널간도로(투찰)②_왜관-태평건설" xfId="104" xr:uid="{00000000-0005-0000-0000-000067000000}"/>
    <cellStyle name="_대곡이설(투찰)_1_합덕-신례원(2공구)투찰_경찰서-터미널간도로(투찰)②_왜관-태평건설 2" xfId="1512" xr:uid="{E7E99210-19CE-4F7C-A0A8-A71AD706DC97}"/>
    <cellStyle name="_대곡이설(투찰)_1_합덕-신례원(2공구)투찰_마현생창(동양고속)" xfId="105" xr:uid="{00000000-0005-0000-0000-000068000000}"/>
    <cellStyle name="_대곡이설(투찰)_1_합덕-신례원(2공구)투찰_마현생창(동양고속) 2" xfId="1513" xr:uid="{CC16592A-E372-49EE-AD67-E05B81023FF3}"/>
    <cellStyle name="_대곡이설(투찰)_1_합덕-신례원(2공구)투찰_마현생창(동양고속)_왜관-태평건설" xfId="106" xr:uid="{00000000-0005-0000-0000-000069000000}"/>
    <cellStyle name="_대곡이설(투찰)_1_합덕-신례원(2공구)투찰_마현생창(동양고속)_왜관-태평건설 2" xfId="1514" xr:uid="{D6C62ABA-9719-48C6-9456-97F4FACFC9D5}"/>
    <cellStyle name="_대곡이설(투찰)_1_합덕-신례원(2공구)투찰_봉무지방산업단지도로(투찰)②" xfId="107" xr:uid="{00000000-0005-0000-0000-00006A000000}"/>
    <cellStyle name="_대곡이설(투찰)_1_합덕-신례원(2공구)투찰_봉무지방산업단지도로(투찰)② 2" xfId="1515" xr:uid="{899395B8-6976-4E61-88BB-E39496FFCF09}"/>
    <cellStyle name="_대곡이설(투찰)_1_합덕-신례원(2공구)투찰_봉무지방산업단지도로(투찰)②_마현생창(동양고속)" xfId="108" xr:uid="{00000000-0005-0000-0000-00006B000000}"/>
    <cellStyle name="_대곡이설(투찰)_1_합덕-신례원(2공구)투찰_봉무지방산업단지도로(투찰)②_마현생창(동양고속) 2" xfId="1516" xr:uid="{84594121-A642-4728-B722-8136DB122294}"/>
    <cellStyle name="_대곡이설(투찰)_1_합덕-신례원(2공구)투찰_봉무지방산업단지도로(투찰)②_마현생창(동양고속)_왜관-태평건설" xfId="109" xr:uid="{00000000-0005-0000-0000-00006C000000}"/>
    <cellStyle name="_대곡이설(투찰)_1_합덕-신례원(2공구)투찰_봉무지방산업단지도로(투찰)②_마현생창(동양고속)_왜관-태평건설 2" xfId="1517" xr:uid="{5262E23F-EBD6-4CC9-9D7A-2686A56F485A}"/>
    <cellStyle name="_대곡이설(투찰)_1_합덕-신례원(2공구)투찰_봉무지방산업단지도로(투찰)②_왜관-태평건설" xfId="110" xr:uid="{00000000-0005-0000-0000-00006D000000}"/>
    <cellStyle name="_대곡이설(투찰)_1_합덕-신례원(2공구)투찰_봉무지방산업단지도로(투찰)②_왜관-태평건설 2" xfId="1518" xr:uid="{9F47C80D-3A83-4D4A-8EFE-D2AE61C47369}"/>
    <cellStyle name="_대곡이설(투찰)_1_합덕-신례원(2공구)투찰_봉무지방산업단지도로(투찰)②+0.250%" xfId="111" xr:uid="{00000000-0005-0000-0000-00006E000000}"/>
    <cellStyle name="_대곡이설(투찰)_1_합덕-신례원(2공구)투찰_봉무지방산업단지도로(투찰)②+0.250% 2" xfId="1519" xr:uid="{61E93E63-E6FA-4449-88F6-B6FBBC000297}"/>
    <cellStyle name="_대곡이설(투찰)_1_합덕-신례원(2공구)투찰_봉무지방산업단지도로(투찰)②+0.250%_마현생창(동양고속)" xfId="112" xr:uid="{00000000-0005-0000-0000-00006F000000}"/>
    <cellStyle name="_대곡이설(투찰)_1_합덕-신례원(2공구)투찰_봉무지방산업단지도로(투찰)②+0.250%_마현생창(동양고속) 2" xfId="1520" xr:uid="{97BA8E39-0050-49CC-882C-884D5107D381}"/>
    <cellStyle name="_대곡이설(투찰)_1_합덕-신례원(2공구)투찰_봉무지방산업단지도로(투찰)②+0.250%_마현생창(동양고속)_왜관-태평건설" xfId="113" xr:uid="{00000000-0005-0000-0000-000070000000}"/>
    <cellStyle name="_대곡이설(투찰)_1_합덕-신례원(2공구)투찰_봉무지방산업단지도로(투찰)②+0.250%_마현생창(동양고속)_왜관-태평건설 2" xfId="1521" xr:uid="{7D8CC5BE-441B-4C86-B44D-4DE11DEDC046}"/>
    <cellStyle name="_대곡이설(투찰)_1_합덕-신례원(2공구)투찰_봉무지방산업단지도로(투찰)②+0.250%_왜관-태평건설" xfId="114" xr:uid="{00000000-0005-0000-0000-000071000000}"/>
    <cellStyle name="_대곡이설(투찰)_1_합덕-신례원(2공구)투찰_봉무지방산업단지도로(투찰)②+0.250%_왜관-태평건설 2" xfId="1522" xr:uid="{7DE64187-0EFD-48EB-AF60-53917A7205FA}"/>
    <cellStyle name="_대곡이설(투찰)_1_합덕-신례원(2공구)투찰_왜관-태평건설" xfId="115" xr:uid="{00000000-0005-0000-0000-000072000000}"/>
    <cellStyle name="_대곡이설(투찰)_1_합덕-신례원(2공구)투찰_왜관-태평건설 2" xfId="1523" xr:uid="{A53843F9-E3D7-484F-B59E-320EF77C793E}"/>
    <cellStyle name="_대곡이설(투찰)_1_합덕-신례원(2공구)투찰_합덕-신례원(2공구)투찰" xfId="116" xr:uid="{00000000-0005-0000-0000-000073000000}"/>
    <cellStyle name="_대곡이설(투찰)_1_합덕-신례원(2공구)투찰_합덕-신례원(2공구)투찰 2" xfId="1524" xr:uid="{EB898A94-CDCE-4651-8628-762D12296691}"/>
    <cellStyle name="_대곡이설(투찰)_1_합덕-신례원(2공구)투찰_합덕-신례원(2공구)투찰_경찰서-터미널간도로(투찰)②" xfId="117" xr:uid="{00000000-0005-0000-0000-000074000000}"/>
    <cellStyle name="_대곡이설(투찰)_1_합덕-신례원(2공구)투찰_합덕-신례원(2공구)투찰_경찰서-터미널간도로(투찰)② 2" xfId="1525" xr:uid="{3B68D90F-6AE8-432B-9EAE-67BDEF5B6279}"/>
    <cellStyle name="_대곡이설(투찰)_1_합덕-신례원(2공구)투찰_합덕-신례원(2공구)투찰_경찰서-터미널간도로(투찰)②_마현생창(동양고속)" xfId="118" xr:uid="{00000000-0005-0000-0000-000075000000}"/>
    <cellStyle name="_대곡이설(투찰)_1_합덕-신례원(2공구)투찰_합덕-신례원(2공구)투찰_경찰서-터미널간도로(투찰)②_마현생창(동양고속) 2" xfId="1526" xr:uid="{1E1A2F15-ADE2-4FB2-BF23-3931C70B2F69}"/>
    <cellStyle name="_대곡이설(투찰)_1_합덕-신례원(2공구)투찰_합덕-신례원(2공구)투찰_경찰서-터미널간도로(투찰)②_마현생창(동양고속)_왜관-태평건설" xfId="119" xr:uid="{00000000-0005-0000-0000-000076000000}"/>
    <cellStyle name="_대곡이설(투찰)_1_합덕-신례원(2공구)투찰_합덕-신례원(2공구)투찰_경찰서-터미널간도로(투찰)②_마현생창(동양고속)_왜관-태평건설 2" xfId="1527" xr:uid="{00F98845-6B73-4EC8-8E29-6CE548D5D4A9}"/>
    <cellStyle name="_대곡이설(투찰)_1_합덕-신례원(2공구)투찰_합덕-신례원(2공구)투찰_경찰서-터미널간도로(투찰)②_왜관-태평건설" xfId="120" xr:uid="{00000000-0005-0000-0000-000077000000}"/>
    <cellStyle name="_대곡이설(투찰)_1_합덕-신례원(2공구)투찰_합덕-신례원(2공구)투찰_경찰서-터미널간도로(투찰)②_왜관-태평건설 2" xfId="1528" xr:uid="{571A74FE-32E4-436A-AEBA-A7DCE3E3167C}"/>
    <cellStyle name="_대곡이설(투찰)_1_합덕-신례원(2공구)투찰_합덕-신례원(2공구)투찰_마현생창(동양고속)" xfId="121" xr:uid="{00000000-0005-0000-0000-000078000000}"/>
    <cellStyle name="_대곡이설(투찰)_1_합덕-신례원(2공구)투찰_합덕-신례원(2공구)투찰_마현생창(동양고속) 2" xfId="1529" xr:uid="{4D157681-EF15-467D-A694-800DF9E9AFA8}"/>
    <cellStyle name="_대곡이설(투찰)_1_합덕-신례원(2공구)투찰_합덕-신례원(2공구)투찰_마현생창(동양고속)_왜관-태평건설" xfId="122" xr:uid="{00000000-0005-0000-0000-000079000000}"/>
    <cellStyle name="_대곡이설(투찰)_1_합덕-신례원(2공구)투찰_합덕-신례원(2공구)투찰_마현생창(동양고속)_왜관-태평건설 2" xfId="1530" xr:uid="{4361265A-6640-4A72-AC2B-272F37645783}"/>
    <cellStyle name="_대곡이설(투찰)_1_합덕-신례원(2공구)투찰_합덕-신례원(2공구)투찰_봉무지방산업단지도로(투찰)②" xfId="123" xr:uid="{00000000-0005-0000-0000-00007A000000}"/>
    <cellStyle name="_대곡이설(투찰)_1_합덕-신례원(2공구)투찰_합덕-신례원(2공구)투찰_봉무지방산업단지도로(투찰)② 2" xfId="1531" xr:uid="{842B38AC-DAE0-4054-9AFE-78BBA53D48D8}"/>
    <cellStyle name="_대곡이설(투찰)_1_합덕-신례원(2공구)투찰_합덕-신례원(2공구)투찰_봉무지방산업단지도로(투찰)②_마현생창(동양고속)" xfId="124" xr:uid="{00000000-0005-0000-0000-00007B000000}"/>
    <cellStyle name="_대곡이설(투찰)_1_합덕-신례원(2공구)투찰_합덕-신례원(2공구)투찰_봉무지방산업단지도로(투찰)②_마현생창(동양고속) 2" xfId="1532" xr:uid="{2DFF2720-69AC-46D0-B7BC-3462F71F7057}"/>
    <cellStyle name="_대곡이설(투찰)_1_합덕-신례원(2공구)투찰_합덕-신례원(2공구)투찰_봉무지방산업단지도로(투찰)②_마현생창(동양고속)_왜관-태평건설" xfId="125" xr:uid="{00000000-0005-0000-0000-00007C000000}"/>
    <cellStyle name="_대곡이설(투찰)_1_합덕-신례원(2공구)투찰_합덕-신례원(2공구)투찰_봉무지방산업단지도로(투찰)②_마현생창(동양고속)_왜관-태평건설 2" xfId="1533" xr:uid="{BC28EBB3-3475-47F5-B0F5-2EE2DAC41EB3}"/>
    <cellStyle name="_대곡이설(투찰)_1_합덕-신례원(2공구)투찰_합덕-신례원(2공구)투찰_봉무지방산업단지도로(투찰)②_왜관-태평건설" xfId="126" xr:uid="{00000000-0005-0000-0000-00007D000000}"/>
    <cellStyle name="_대곡이설(투찰)_1_합덕-신례원(2공구)투찰_합덕-신례원(2공구)투찰_봉무지방산업단지도로(투찰)②_왜관-태평건설 2" xfId="1534" xr:uid="{A8F6948C-2796-4D27-89FB-ADD02DAA3F09}"/>
    <cellStyle name="_대곡이설(투찰)_1_합덕-신례원(2공구)투찰_합덕-신례원(2공구)투찰_봉무지방산업단지도로(투찰)②+0.250%" xfId="127" xr:uid="{00000000-0005-0000-0000-00007E000000}"/>
    <cellStyle name="_대곡이설(투찰)_1_합덕-신례원(2공구)투찰_합덕-신례원(2공구)투찰_봉무지방산업단지도로(투찰)②+0.250% 2" xfId="1535" xr:uid="{20C90C44-F99E-4564-A8C8-B7F4BE198CD8}"/>
    <cellStyle name="_대곡이설(투찰)_1_합덕-신례원(2공구)투찰_합덕-신례원(2공구)투찰_봉무지방산업단지도로(투찰)②+0.250%_마현생창(동양고속)" xfId="128" xr:uid="{00000000-0005-0000-0000-00007F000000}"/>
    <cellStyle name="_대곡이설(투찰)_1_합덕-신례원(2공구)투찰_합덕-신례원(2공구)투찰_봉무지방산업단지도로(투찰)②+0.250%_마현생창(동양고속) 2" xfId="1536" xr:uid="{1DE59FDC-2789-4182-9993-93E49FDAF97E}"/>
    <cellStyle name="_대곡이설(투찰)_1_합덕-신례원(2공구)투찰_합덕-신례원(2공구)투찰_봉무지방산업단지도로(투찰)②+0.250%_마현생창(동양고속)_왜관-태평건설" xfId="129" xr:uid="{00000000-0005-0000-0000-000080000000}"/>
    <cellStyle name="_대곡이설(투찰)_1_합덕-신례원(2공구)투찰_합덕-신례원(2공구)투찰_봉무지방산업단지도로(투찰)②+0.250%_마현생창(동양고속)_왜관-태평건설 2" xfId="1537" xr:uid="{0CBEFAEE-2BB7-4FDD-A703-DFDFD4184EA1}"/>
    <cellStyle name="_대곡이설(투찰)_1_합덕-신례원(2공구)투찰_합덕-신례원(2공구)투찰_봉무지방산업단지도로(투찰)②+0.250%_왜관-태평건설" xfId="130" xr:uid="{00000000-0005-0000-0000-000081000000}"/>
    <cellStyle name="_대곡이설(투찰)_1_합덕-신례원(2공구)투찰_합덕-신례원(2공구)투찰_봉무지방산업단지도로(투찰)②+0.250%_왜관-태평건설 2" xfId="1538" xr:uid="{581B9153-75C5-4887-B701-BE6A370EE5CC}"/>
    <cellStyle name="_대곡이설(투찰)_1_합덕-신례원(2공구)투찰_합덕-신례원(2공구)투찰_왜관-태평건설" xfId="131" xr:uid="{00000000-0005-0000-0000-000082000000}"/>
    <cellStyle name="_대곡이설(투찰)_1_합덕-신례원(2공구)투찰_합덕-신례원(2공구)투찰_왜관-태평건설 2" xfId="1539" xr:uid="{0CD7F672-4BAF-40F5-9A40-8916E3ACE5F3}"/>
    <cellStyle name="_대곡이설(투찰)_경찰서-터미널간도로(투찰)②" xfId="132" xr:uid="{00000000-0005-0000-0000-000083000000}"/>
    <cellStyle name="_대곡이설(투찰)_경찰서-터미널간도로(투찰)② 2" xfId="1540" xr:uid="{B6190EE9-DF05-421D-A713-8BD61F4055C3}"/>
    <cellStyle name="_대곡이설(투찰)_경찰서-터미널간도로(투찰)②_마현생창(동양고속)" xfId="133" xr:uid="{00000000-0005-0000-0000-000084000000}"/>
    <cellStyle name="_대곡이설(투찰)_경찰서-터미널간도로(투찰)②_마현생창(동양고속) 2" xfId="1541" xr:uid="{92C23CC2-AE4F-43D8-8D82-D766B8BC98C2}"/>
    <cellStyle name="_대곡이설(투찰)_경찰서-터미널간도로(투찰)②_마현생창(동양고속)_왜관-태평건설" xfId="134" xr:uid="{00000000-0005-0000-0000-000085000000}"/>
    <cellStyle name="_대곡이설(투찰)_경찰서-터미널간도로(투찰)②_마현생창(동양고속)_왜관-태평건설 2" xfId="1542" xr:uid="{97E296F5-0947-4616-8EAC-718DB74651D0}"/>
    <cellStyle name="_대곡이설(투찰)_경찰서-터미널간도로(투찰)②_왜관-태평건설" xfId="135" xr:uid="{00000000-0005-0000-0000-000086000000}"/>
    <cellStyle name="_대곡이설(투찰)_경찰서-터미널간도로(투찰)②_왜관-태평건설 2" xfId="1543" xr:uid="{079AFF49-C67B-4992-8ED3-F6FE0AFA7272}"/>
    <cellStyle name="_대곡이설(투찰)_도덕-고흥도로(투찰)" xfId="136" xr:uid="{00000000-0005-0000-0000-000087000000}"/>
    <cellStyle name="_대곡이설(투찰)_도덕-고흥도로(투찰) 2" xfId="1544" xr:uid="{F2A47ACA-06BA-4C7F-8F94-FB810B1BC185}"/>
    <cellStyle name="_대곡이설(투찰)_도덕-고흥도로(투찰)_경찰서-터미널간도로(투찰)②" xfId="137" xr:uid="{00000000-0005-0000-0000-000088000000}"/>
    <cellStyle name="_대곡이설(투찰)_도덕-고흥도로(투찰)_경찰서-터미널간도로(투찰)② 2" xfId="1545" xr:uid="{B85DD018-F4FA-4A78-9C5D-19B091E8BBF3}"/>
    <cellStyle name="_대곡이설(투찰)_도덕-고흥도로(투찰)_경찰서-터미널간도로(투찰)②_마현생창(동양고속)" xfId="138" xr:uid="{00000000-0005-0000-0000-000089000000}"/>
    <cellStyle name="_대곡이설(투찰)_도덕-고흥도로(투찰)_경찰서-터미널간도로(투찰)②_마현생창(동양고속) 2" xfId="1546" xr:uid="{259419B9-A57C-4303-8271-DA0BD30884F4}"/>
    <cellStyle name="_대곡이설(투찰)_도덕-고흥도로(투찰)_경찰서-터미널간도로(투찰)②_마현생창(동양고속)_왜관-태평건설" xfId="139" xr:uid="{00000000-0005-0000-0000-00008A000000}"/>
    <cellStyle name="_대곡이설(투찰)_도덕-고흥도로(투찰)_경찰서-터미널간도로(투찰)②_마현생창(동양고속)_왜관-태평건설 2" xfId="1547" xr:uid="{F13FAFE1-A8D9-4A35-8724-C5F93999CF43}"/>
    <cellStyle name="_대곡이설(투찰)_도덕-고흥도로(투찰)_경찰서-터미널간도로(투찰)②_왜관-태평건설" xfId="140" xr:uid="{00000000-0005-0000-0000-00008B000000}"/>
    <cellStyle name="_대곡이설(투찰)_도덕-고흥도로(투찰)_경찰서-터미널간도로(투찰)②_왜관-태평건설 2" xfId="1548" xr:uid="{E7211511-8DDC-4D3C-88F5-7117D99B57A8}"/>
    <cellStyle name="_대곡이설(투찰)_도덕-고흥도로(투찰)_마현생창(동양고속)" xfId="141" xr:uid="{00000000-0005-0000-0000-00008C000000}"/>
    <cellStyle name="_대곡이설(투찰)_도덕-고흥도로(투찰)_마현생창(동양고속) 2" xfId="1549" xr:uid="{B05C7209-4C6C-4DCE-A3B6-7794349A66B2}"/>
    <cellStyle name="_대곡이설(투찰)_도덕-고흥도로(투찰)_마현생창(동양고속)_왜관-태평건설" xfId="142" xr:uid="{00000000-0005-0000-0000-00008D000000}"/>
    <cellStyle name="_대곡이설(투찰)_도덕-고흥도로(투찰)_마현생창(동양고속)_왜관-태평건설 2" xfId="1550" xr:uid="{73D31571-9DC0-435D-9F12-B84E998BEA6F}"/>
    <cellStyle name="_대곡이설(투찰)_도덕-고흥도로(투찰)_봉무지방산업단지도로(투찰)②" xfId="143" xr:uid="{00000000-0005-0000-0000-00008E000000}"/>
    <cellStyle name="_대곡이설(투찰)_도덕-고흥도로(투찰)_봉무지방산업단지도로(투찰)② 2" xfId="1551" xr:uid="{9637C3D9-C77D-4650-88B0-0C4DB98BCD8C}"/>
    <cellStyle name="_대곡이설(투찰)_도덕-고흥도로(투찰)_봉무지방산업단지도로(투찰)②_마현생창(동양고속)" xfId="144" xr:uid="{00000000-0005-0000-0000-00008F000000}"/>
    <cellStyle name="_대곡이설(투찰)_도덕-고흥도로(투찰)_봉무지방산업단지도로(투찰)②_마현생창(동양고속) 2" xfId="1552" xr:uid="{AB5387C2-4414-4706-AF57-18206B36192B}"/>
    <cellStyle name="_대곡이설(투찰)_도덕-고흥도로(투찰)_봉무지방산업단지도로(투찰)②_마현생창(동양고속)_왜관-태평건설" xfId="145" xr:uid="{00000000-0005-0000-0000-000090000000}"/>
    <cellStyle name="_대곡이설(투찰)_도덕-고흥도로(투찰)_봉무지방산업단지도로(투찰)②_마현생창(동양고속)_왜관-태평건설 2" xfId="1553" xr:uid="{B850EF33-E913-45B2-BB62-F4C113555E50}"/>
    <cellStyle name="_대곡이설(투찰)_도덕-고흥도로(투찰)_봉무지방산업단지도로(투찰)②_왜관-태평건설" xfId="146" xr:uid="{00000000-0005-0000-0000-000091000000}"/>
    <cellStyle name="_대곡이설(투찰)_도덕-고흥도로(투찰)_봉무지방산업단지도로(투찰)②_왜관-태평건설 2" xfId="1554" xr:uid="{D88DF607-093C-4C02-8DA9-8CAD8F6A8119}"/>
    <cellStyle name="_대곡이설(투찰)_도덕-고흥도로(투찰)_봉무지방산업단지도로(투찰)②+0.250%" xfId="147" xr:uid="{00000000-0005-0000-0000-000092000000}"/>
    <cellStyle name="_대곡이설(투찰)_도덕-고흥도로(투찰)_봉무지방산업단지도로(투찰)②+0.250% 2" xfId="1555" xr:uid="{DD43D885-8756-4748-AB4D-D5E10923CAF1}"/>
    <cellStyle name="_대곡이설(투찰)_도덕-고흥도로(투찰)_봉무지방산업단지도로(투찰)②+0.250%_마현생창(동양고속)" xfId="148" xr:uid="{00000000-0005-0000-0000-000093000000}"/>
    <cellStyle name="_대곡이설(투찰)_도덕-고흥도로(투찰)_봉무지방산업단지도로(투찰)②+0.250%_마현생창(동양고속) 2" xfId="1556" xr:uid="{DAF26815-8418-4447-9967-29D0605F3263}"/>
    <cellStyle name="_대곡이설(투찰)_도덕-고흥도로(투찰)_봉무지방산업단지도로(투찰)②+0.250%_마현생창(동양고속)_왜관-태평건설" xfId="149" xr:uid="{00000000-0005-0000-0000-000094000000}"/>
    <cellStyle name="_대곡이설(투찰)_도덕-고흥도로(투찰)_봉무지방산업단지도로(투찰)②+0.250%_마현생창(동양고속)_왜관-태평건설 2" xfId="1557" xr:uid="{2DB39FEC-83E7-41E7-9EA6-2AC9F57EADED}"/>
    <cellStyle name="_대곡이설(투찰)_도덕-고흥도로(투찰)_봉무지방산업단지도로(투찰)②+0.250%_왜관-태평건설" xfId="150" xr:uid="{00000000-0005-0000-0000-000095000000}"/>
    <cellStyle name="_대곡이설(투찰)_도덕-고흥도로(투찰)_봉무지방산업단지도로(투찰)②+0.250%_왜관-태평건설 2" xfId="1558" xr:uid="{DBAB6438-6508-4B00-B3F5-40A303856997}"/>
    <cellStyle name="_대곡이설(투찰)_도덕-고흥도로(투찰)_왜관-태평건설" xfId="151" xr:uid="{00000000-0005-0000-0000-000096000000}"/>
    <cellStyle name="_대곡이설(투찰)_도덕-고흥도로(투찰)_왜관-태평건설 2" xfId="1559" xr:uid="{C6EAD80E-3267-47A5-93D1-6336AB311CFB}"/>
    <cellStyle name="_대곡이설(투찰)_도덕-고흥도로(투찰)_합덕-신례원(2공구)투찰" xfId="152" xr:uid="{00000000-0005-0000-0000-000097000000}"/>
    <cellStyle name="_대곡이설(투찰)_도덕-고흥도로(투찰)_합덕-신례원(2공구)투찰 2" xfId="1560" xr:uid="{F28268CA-53EB-4D6E-A2FC-C53C9EB9FAB3}"/>
    <cellStyle name="_대곡이설(투찰)_도덕-고흥도로(투찰)_합덕-신례원(2공구)투찰_경찰서-터미널간도로(투찰)②" xfId="153" xr:uid="{00000000-0005-0000-0000-000098000000}"/>
    <cellStyle name="_대곡이설(투찰)_도덕-고흥도로(투찰)_합덕-신례원(2공구)투찰_경찰서-터미널간도로(투찰)② 2" xfId="1561" xr:uid="{D315E1F1-3F49-42C9-BA3D-DFC6DC548330}"/>
    <cellStyle name="_대곡이설(투찰)_도덕-고흥도로(투찰)_합덕-신례원(2공구)투찰_경찰서-터미널간도로(투찰)②_마현생창(동양고속)" xfId="154" xr:uid="{00000000-0005-0000-0000-000099000000}"/>
    <cellStyle name="_대곡이설(투찰)_도덕-고흥도로(투찰)_합덕-신례원(2공구)투찰_경찰서-터미널간도로(투찰)②_마현생창(동양고속) 2" xfId="1562" xr:uid="{C5BCF061-205E-4F3A-8F47-97CB2F93EEAE}"/>
    <cellStyle name="_대곡이설(투찰)_도덕-고흥도로(투찰)_합덕-신례원(2공구)투찰_경찰서-터미널간도로(투찰)②_마현생창(동양고속)_왜관-태평건설" xfId="155" xr:uid="{00000000-0005-0000-0000-00009A000000}"/>
    <cellStyle name="_대곡이설(투찰)_도덕-고흥도로(투찰)_합덕-신례원(2공구)투찰_경찰서-터미널간도로(투찰)②_마현생창(동양고속)_왜관-태평건설 2" xfId="1563" xr:uid="{0E70690A-880C-48F1-869F-46193C1C7D2D}"/>
    <cellStyle name="_대곡이설(투찰)_도덕-고흥도로(투찰)_합덕-신례원(2공구)투찰_경찰서-터미널간도로(투찰)②_왜관-태평건설" xfId="156" xr:uid="{00000000-0005-0000-0000-00009B000000}"/>
    <cellStyle name="_대곡이설(투찰)_도덕-고흥도로(투찰)_합덕-신례원(2공구)투찰_경찰서-터미널간도로(투찰)②_왜관-태평건설 2" xfId="1564" xr:uid="{6095F815-123A-438E-9CB3-1684B8E60234}"/>
    <cellStyle name="_대곡이설(투찰)_도덕-고흥도로(투찰)_합덕-신례원(2공구)투찰_마현생창(동양고속)" xfId="157" xr:uid="{00000000-0005-0000-0000-00009C000000}"/>
    <cellStyle name="_대곡이설(투찰)_도덕-고흥도로(투찰)_합덕-신례원(2공구)투찰_마현생창(동양고속) 2" xfId="1565" xr:uid="{CB5789E5-FB22-4E0E-8EB4-A9383A2D3929}"/>
    <cellStyle name="_대곡이설(투찰)_도덕-고흥도로(투찰)_합덕-신례원(2공구)투찰_마현생창(동양고속)_왜관-태평건설" xfId="158" xr:uid="{00000000-0005-0000-0000-00009D000000}"/>
    <cellStyle name="_대곡이설(투찰)_도덕-고흥도로(투찰)_합덕-신례원(2공구)투찰_마현생창(동양고속)_왜관-태평건설 2" xfId="1566" xr:uid="{D902D6B3-AB37-4DA6-9F31-FF1CC5629E3F}"/>
    <cellStyle name="_대곡이설(투찰)_도덕-고흥도로(투찰)_합덕-신례원(2공구)투찰_봉무지방산업단지도로(투찰)②" xfId="159" xr:uid="{00000000-0005-0000-0000-00009E000000}"/>
    <cellStyle name="_대곡이설(투찰)_도덕-고흥도로(투찰)_합덕-신례원(2공구)투찰_봉무지방산업단지도로(투찰)② 2" xfId="1567" xr:uid="{7D936DA9-812B-46D9-A439-B0C6EEBBC319}"/>
    <cellStyle name="_대곡이설(투찰)_도덕-고흥도로(투찰)_합덕-신례원(2공구)투찰_봉무지방산업단지도로(투찰)②_마현생창(동양고속)" xfId="160" xr:uid="{00000000-0005-0000-0000-00009F000000}"/>
    <cellStyle name="_대곡이설(투찰)_도덕-고흥도로(투찰)_합덕-신례원(2공구)투찰_봉무지방산업단지도로(투찰)②_마현생창(동양고속) 2" xfId="1568" xr:uid="{EE0DDF08-1713-40C2-BF8E-D45EF0FC1A69}"/>
    <cellStyle name="_대곡이설(투찰)_도덕-고흥도로(투찰)_합덕-신례원(2공구)투찰_봉무지방산업단지도로(투찰)②_마현생창(동양고속)_왜관-태평건설" xfId="161" xr:uid="{00000000-0005-0000-0000-0000A0000000}"/>
    <cellStyle name="_대곡이설(투찰)_도덕-고흥도로(투찰)_합덕-신례원(2공구)투찰_봉무지방산업단지도로(투찰)②_마현생창(동양고속)_왜관-태평건설 2" xfId="1569" xr:uid="{3C2C9F46-9005-47B7-AD79-865961BA2311}"/>
    <cellStyle name="_대곡이설(투찰)_도덕-고흥도로(투찰)_합덕-신례원(2공구)투찰_봉무지방산업단지도로(투찰)②_왜관-태평건설" xfId="162" xr:uid="{00000000-0005-0000-0000-0000A1000000}"/>
    <cellStyle name="_대곡이설(투찰)_도덕-고흥도로(투찰)_합덕-신례원(2공구)투찰_봉무지방산업단지도로(투찰)②_왜관-태평건설 2" xfId="1570" xr:uid="{A50C5F62-27DF-4F81-A6FA-1D125BEBF8DD}"/>
    <cellStyle name="_대곡이설(투찰)_도덕-고흥도로(투찰)_합덕-신례원(2공구)투찰_봉무지방산업단지도로(투찰)②+0.250%" xfId="163" xr:uid="{00000000-0005-0000-0000-0000A2000000}"/>
    <cellStyle name="_대곡이설(투찰)_도덕-고흥도로(투찰)_합덕-신례원(2공구)투찰_봉무지방산업단지도로(투찰)②+0.250% 2" xfId="1571" xr:uid="{E3BB8B52-7FAA-419A-BFC6-22EF857C3553}"/>
    <cellStyle name="_대곡이설(투찰)_도덕-고흥도로(투찰)_합덕-신례원(2공구)투찰_봉무지방산업단지도로(투찰)②+0.250%_마현생창(동양고속)" xfId="164" xr:uid="{00000000-0005-0000-0000-0000A3000000}"/>
    <cellStyle name="_대곡이설(투찰)_도덕-고흥도로(투찰)_합덕-신례원(2공구)투찰_봉무지방산업단지도로(투찰)②+0.250%_마현생창(동양고속) 2" xfId="1572" xr:uid="{209C5C32-3A61-4DAB-A51B-183329869AC9}"/>
    <cellStyle name="_대곡이설(투찰)_도덕-고흥도로(투찰)_합덕-신례원(2공구)투찰_봉무지방산업단지도로(투찰)②+0.250%_마현생창(동양고속)_왜관-태평건설" xfId="165" xr:uid="{00000000-0005-0000-0000-0000A4000000}"/>
    <cellStyle name="_대곡이설(투찰)_도덕-고흥도로(투찰)_합덕-신례원(2공구)투찰_봉무지방산업단지도로(투찰)②+0.250%_마현생창(동양고속)_왜관-태평건설 2" xfId="1573" xr:uid="{96DBE622-87C7-461F-A6CE-3853DE1ED278}"/>
    <cellStyle name="_대곡이설(투찰)_도덕-고흥도로(투찰)_합덕-신례원(2공구)투찰_봉무지방산업단지도로(투찰)②+0.250%_왜관-태평건설" xfId="166" xr:uid="{00000000-0005-0000-0000-0000A5000000}"/>
    <cellStyle name="_대곡이설(투찰)_도덕-고흥도로(투찰)_합덕-신례원(2공구)투찰_봉무지방산업단지도로(투찰)②+0.250%_왜관-태평건설 2" xfId="1574" xr:uid="{35AB580A-5DD3-4033-9A03-56FAE4A33AF4}"/>
    <cellStyle name="_대곡이설(투찰)_도덕-고흥도로(투찰)_합덕-신례원(2공구)투찰_왜관-태평건설" xfId="167" xr:uid="{00000000-0005-0000-0000-0000A6000000}"/>
    <cellStyle name="_대곡이설(투찰)_도덕-고흥도로(투찰)_합덕-신례원(2공구)투찰_왜관-태평건설 2" xfId="1575" xr:uid="{3725F965-6EA8-4B57-81F7-21B5C5428A64}"/>
    <cellStyle name="_대곡이설(투찰)_도덕-고흥도로(투찰)_합덕-신례원(2공구)투찰_합덕-신례원(2공구)투찰" xfId="168" xr:uid="{00000000-0005-0000-0000-0000A7000000}"/>
    <cellStyle name="_대곡이설(투찰)_도덕-고흥도로(투찰)_합덕-신례원(2공구)투찰_합덕-신례원(2공구)투찰 2" xfId="1576" xr:uid="{B784B626-05F4-40E0-8E2A-CC3DCE94D401}"/>
    <cellStyle name="_대곡이설(투찰)_도덕-고흥도로(투찰)_합덕-신례원(2공구)투찰_합덕-신례원(2공구)투찰_경찰서-터미널간도로(투찰)②" xfId="169" xr:uid="{00000000-0005-0000-0000-0000A8000000}"/>
    <cellStyle name="_대곡이설(투찰)_도덕-고흥도로(투찰)_합덕-신례원(2공구)투찰_합덕-신례원(2공구)투찰_경찰서-터미널간도로(투찰)② 2" xfId="1577" xr:uid="{7B5BE7C7-505F-4C49-8DB4-D88AB60F05D8}"/>
    <cellStyle name="_대곡이설(투찰)_도덕-고흥도로(투찰)_합덕-신례원(2공구)투찰_합덕-신례원(2공구)투찰_경찰서-터미널간도로(투찰)②_마현생창(동양고속)" xfId="170" xr:uid="{00000000-0005-0000-0000-0000A9000000}"/>
    <cellStyle name="_대곡이설(투찰)_도덕-고흥도로(투찰)_합덕-신례원(2공구)투찰_합덕-신례원(2공구)투찰_경찰서-터미널간도로(투찰)②_마현생창(동양고속) 2" xfId="1578" xr:uid="{64FCD616-08CD-4FA7-A77F-48DFAC02C93D}"/>
    <cellStyle name="_대곡이설(투찰)_도덕-고흥도로(투찰)_합덕-신례원(2공구)투찰_합덕-신례원(2공구)투찰_경찰서-터미널간도로(투찰)②_마현생창(동양고속)_왜관-태평건설" xfId="171" xr:uid="{00000000-0005-0000-0000-0000AA000000}"/>
    <cellStyle name="_대곡이설(투찰)_도덕-고흥도로(투찰)_합덕-신례원(2공구)투찰_합덕-신례원(2공구)투찰_경찰서-터미널간도로(투찰)②_마현생창(동양고속)_왜관-태평건설 2" xfId="1579" xr:uid="{72F41175-A2A4-4F3C-ABA8-BF2B12C195E6}"/>
    <cellStyle name="_대곡이설(투찰)_도덕-고흥도로(투찰)_합덕-신례원(2공구)투찰_합덕-신례원(2공구)투찰_경찰서-터미널간도로(투찰)②_왜관-태평건설" xfId="172" xr:uid="{00000000-0005-0000-0000-0000AB000000}"/>
    <cellStyle name="_대곡이설(투찰)_도덕-고흥도로(투찰)_합덕-신례원(2공구)투찰_합덕-신례원(2공구)투찰_경찰서-터미널간도로(투찰)②_왜관-태평건설 2" xfId="1580" xr:uid="{95F46701-2A9F-4B7D-88D0-47C9C60AFFE0}"/>
    <cellStyle name="_대곡이설(투찰)_도덕-고흥도로(투찰)_합덕-신례원(2공구)투찰_합덕-신례원(2공구)투찰_마현생창(동양고속)" xfId="173" xr:uid="{00000000-0005-0000-0000-0000AC000000}"/>
    <cellStyle name="_대곡이설(투찰)_도덕-고흥도로(투찰)_합덕-신례원(2공구)투찰_합덕-신례원(2공구)투찰_마현생창(동양고속) 2" xfId="1581" xr:uid="{A866F5E4-3568-4CC4-979A-ABCEB8330C10}"/>
    <cellStyle name="_대곡이설(투찰)_도덕-고흥도로(투찰)_합덕-신례원(2공구)투찰_합덕-신례원(2공구)투찰_마현생창(동양고속)_왜관-태평건설" xfId="174" xr:uid="{00000000-0005-0000-0000-0000AD000000}"/>
    <cellStyle name="_대곡이설(투찰)_도덕-고흥도로(투찰)_합덕-신례원(2공구)투찰_합덕-신례원(2공구)투찰_마현생창(동양고속)_왜관-태평건설 2" xfId="1582" xr:uid="{D50F7B53-0FC7-41F9-9545-0E262F61E616}"/>
    <cellStyle name="_대곡이설(투찰)_도덕-고흥도로(투찰)_합덕-신례원(2공구)투찰_합덕-신례원(2공구)투찰_봉무지방산업단지도로(투찰)②" xfId="175" xr:uid="{00000000-0005-0000-0000-0000AE000000}"/>
    <cellStyle name="_대곡이설(투찰)_도덕-고흥도로(투찰)_합덕-신례원(2공구)투찰_합덕-신례원(2공구)투찰_봉무지방산업단지도로(투찰)② 2" xfId="1583" xr:uid="{AD70F47B-7911-439F-81A3-7C511015E7B1}"/>
    <cellStyle name="_대곡이설(투찰)_도덕-고흥도로(투찰)_합덕-신례원(2공구)투찰_합덕-신례원(2공구)투찰_봉무지방산업단지도로(투찰)②_마현생창(동양고속)" xfId="176" xr:uid="{00000000-0005-0000-0000-0000AF000000}"/>
    <cellStyle name="_대곡이설(투찰)_도덕-고흥도로(투찰)_합덕-신례원(2공구)투찰_합덕-신례원(2공구)투찰_봉무지방산업단지도로(투찰)②_마현생창(동양고속) 2" xfId="1584" xr:uid="{0C7EABB3-560E-400B-AAEA-695EE1C455D4}"/>
    <cellStyle name="_대곡이설(투찰)_도덕-고흥도로(투찰)_합덕-신례원(2공구)투찰_합덕-신례원(2공구)투찰_봉무지방산업단지도로(투찰)②_마현생창(동양고속)_왜관-태평건설" xfId="177" xr:uid="{00000000-0005-0000-0000-0000B0000000}"/>
    <cellStyle name="_대곡이설(투찰)_도덕-고흥도로(투찰)_합덕-신례원(2공구)투찰_합덕-신례원(2공구)투찰_봉무지방산업단지도로(투찰)②_마현생창(동양고속)_왜관-태평건설 2" xfId="1585" xr:uid="{9CCC8314-B361-47A4-95DB-CD4698C9022D}"/>
    <cellStyle name="_대곡이설(투찰)_도덕-고흥도로(투찰)_합덕-신례원(2공구)투찰_합덕-신례원(2공구)투찰_봉무지방산업단지도로(투찰)②_왜관-태평건설" xfId="178" xr:uid="{00000000-0005-0000-0000-0000B1000000}"/>
    <cellStyle name="_대곡이설(투찰)_도덕-고흥도로(투찰)_합덕-신례원(2공구)투찰_합덕-신례원(2공구)투찰_봉무지방산업단지도로(투찰)②_왜관-태평건설 2" xfId="1586" xr:uid="{5563EF69-59FE-4F87-803A-20C5EB346D95}"/>
    <cellStyle name="_대곡이설(투찰)_도덕-고흥도로(투찰)_합덕-신례원(2공구)투찰_합덕-신례원(2공구)투찰_봉무지방산업단지도로(투찰)②+0.250%" xfId="179" xr:uid="{00000000-0005-0000-0000-0000B2000000}"/>
    <cellStyle name="_대곡이설(투찰)_도덕-고흥도로(투찰)_합덕-신례원(2공구)투찰_합덕-신례원(2공구)투찰_봉무지방산업단지도로(투찰)②+0.250% 2" xfId="1587" xr:uid="{63EEFFB7-A42D-4189-BECA-3C81F412427D}"/>
    <cellStyle name="_대곡이설(투찰)_도덕-고흥도로(투찰)_합덕-신례원(2공구)투찰_합덕-신례원(2공구)투찰_봉무지방산업단지도로(투찰)②+0.250%_마현생창(동양고속)" xfId="180" xr:uid="{00000000-0005-0000-0000-0000B3000000}"/>
    <cellStyle name="_대곡이설(투찰)_도덕-고흥도로(투찰)_합덕-신례원(2공구)투찰_합덕-신례원(2공구)투찰_봉무지방산업단지도로(투찰)②+0.250%_마현생창(동양고속) 2" xfId="1588" xr:uid="{59792419-6885-4B89-BB5A-6D0FC3881BEE}"/>
    <cellStyle name="_대곡이설(투찰)_도덕-고흥도로(투찰)_합덕-신례원(2공구)투찰_합덕-신례원(2공구)투찰_봉무지방산업단지도로(투찰)②+0.250%_마현생창(동양고속)_왜관-태평건설" xfId="181" xr:uid="{00000000-0005-0000-0000-0000B4000000}"/>
    <cellStyle name="_대곡이설(투찰)_도덕-고흥도로(투찰)_합덕-신례원(2공구)투찰_합덕-신례원(2공구)투찰_봉무지방산업단지도로(투찰)②+0.250%_마현생창(동양고속)_왜관-태평건설 2" xfId="1589" xr:uid="{9433A114-078D-4E69-9DBE-197DED7290FA}"/>
    <cellStyle name="_대곡이설(투찰)_도덕-고흥도로(투찰)_합덕-신례원(2공구)투찰_합덕-신례원(2공구)투찰_봉무지방산업단지도로(투찰)②+0.250%_왜관-태평건설" xfId="182" xr:uid="{00000000-0005-0000-0000-0000B5000000}"/>
    <cellStyle name="_대곡이설(투찰)_도덕-고흥도로(투찰)_합덕-신례원(2공구)투찰_합덕-신례원(2공구)투찰_봉무지방산업단지도로(투찰)②+0.250%_왜관-태평건설 2" xfId="1590" xr:uid="{8422FA48-4502-4B00-BB23-E8BD0BA88CBB}"/>
    <cellStyle name="_대곡이설(투찰)_도덕-고흥도로(투찰)_합덕-신례원(2공구)투찰_합덕-신례원(2공구)투찰_왜관-태평건설" xfId="183" xr:uid="{00000000-0005-0000-0000-0000B6000000}"/>
    <cellStyle name="_대곡이설(투찰)_도덕-고흥도로(투찰)_합덕-신례원(2공구)투찰_합덕-신례원(2공구)투찰_왜관-태평건설 2" xfId="1591" xr:uid="{EF5BE532-68D2-481E-8801-B5D359EAA103}"/>
    <cellStyle name="_대곡이설(투찰)_마현생창(동양고속)" xfId="184" xr:uid="{00000000-0005-0000-0000-0000B7000000}"/>
    <cellStyle name="_대곡이설(투찰)_마현생창(동양고속) 2" xfId="1592" xr:uid="{A394FAE7-3ECA-40A2-B415-FAD758C9415A}"/>
    <cellStyle name="_대곡이설(투찰)_마현생창(동양고속)_왜관-태평건설" xfId="185" xr:uid="{00000000-0005-0000-0000-0000B8000000}"/>
    <cellStyle name="_대곡이설(투찰)_마현생창(동양고속)_왜관-태평건설 2" xfId="1593" xr:uid="{879FF4B3-3937-42D2-A5ED-F2BF1B884901}"/>
    <cellStyle name="_대곡이설(투찰)_봉무지방산업단지도로(투찰)②" xfId="186" xr:uid="{00000000-0005-0000-0000-0000B9000000}"/>
    <cellStyle name="_대곡이설(투찰)_봉무지방산업단지도로(투찰)② 2" xfId="1594" xr:uid="{3915B998-1FF1-42FB-B854-C416745563C9}"/>
    <cellStyle name="_대곡이설(투찰)_봉무지방산업단지도로(투찰)②_마현생창(동양고속)" xfId="187" xr:uid="{00000000-0005-0000-0000-0000BA000000}"/>
    <cellStyle name="_대곡이설(투찰)_봉무지방산업단지도로(투찰)②_마현생창(동양고속) 2" xfId="1595" xr:uid="{36C8E191-7D59-4565-8429-5A2FED32BA8C}"/>
    <cellStyle name="_대곡이설(투찰)_봉무지방산업단지도로(투찰)②_마현생창(동양고속)_왜관-태평건설" xfId="188" xr:uid="{00000000-0005-0000-0000-0000BB000000}"/>
    <cellStyle name="_대곡이설(투찰)_봉무지방산업단지도로(투찰)②_마현생창(동양고속)_왜관-태평건설 2" xfId="1596" xr:uid="{77F31C33-26D2-4F82-9B47-80BE54D0E434}"/>
    <cellStyle name="_대곡이설(투찰)_봉무지방산업단지도로(투찰)②_왜관-태평건설" xfId="189" xr:uid="{00000000-0005-0000-0000-0000BC000000}"/>
    <cellStyle name="_대곡이설(투찰)_봉무지방산업단지도로(투찰)②_왜관-태평건설 2" xfId="1597" xr:uid="{27A39FDA-8B8F-4718-BDA5-520D04C88979}"/>
    <cellStyle name="_대곡이설(투찰)_봉무지방산업단지도로(투찰)②+0.250%" xfId="190" xr:uid="{00000000-0005-0000-0000-0000BD000000}"/>
    <cellStyle name="_대곡이설(투찰)_봉무지방산업단지도로(투찰)②+0.250% 2" xfId="1598" xr:uid="{2EAD19AE-7D80-4E43-BE64-AAE9806D1E9E}"/>
    <cellStyle name="_대곡이설(투찰)_봉무지방산업단지도로(투찰)②+0.250%_마현생창(동양고속)" xfId="191" xr:uid="{00000000-0005-0000-0000-0000BE000000}"/>
    <cellStyle name="_대곡이설(투찰)_봉무지방산업단지도로(투찰)②+0.250%_마현생창(동양고속) 2" xfId="1599" xr:uid="{21312D69-8A29-4BEE-AAFF-E2E28B25C8E9}"/>
    <cellStyle name="_대곡이설(투찰)_봉무지방산업단지도로(투찰)②+0.250%_마현생창(동양고속)_왜관-태평건설" xfId="192" xr:uid="{00000000-0005-0000-0000-0000BF000000}"/>
    <cellStyle name="_대곡이설(투찰)_봉무지방산업단지도로(투찰)②+0.250%_마현생창(동양고속)_왜관-태평건설 2" xfId="1600" xr:uid="{45CCEC3D-574A-4A90-99B9-63A9F8D222EF}"/>
    <cellStyle name="_대곡이설(투찰)_봉무지방산업단지도로(투찰)②+0.250%_왜관-태평건설" xfId="193" xr:uid="{00000000-0005-0000-0000-0000C0000000}"/>
    <cellStyle name="_대곡이설(투찰)_봉무지방산업단지도로(투찰)②+0.250%_왜관-태평건설 2" xfId="1601" xr:uid="{6F6678FB-6DA5-4C53-BF9E-7EDE94F9AD99}"/>
    <cellStyle name="_대곡이설(투찰)_안산부대(투찰)⑤" xfId="194" xr:uid="{00000000-0005-0000-0000-0000C1000000}"/>
    <cellStyle name="_대곡이설(투찰)_안산부대(투찰)⑤ 2" xfId="1602" xr:uid="{8C3E51A6-3346-4309-BAF0-3AA66E4B6058}"/>
    <cellStyle name="_대곡이설(투찰)_안산부대(투찰)⑤_경찰서-터미널간도로(투찰)②" xfId="195" xr:uid="{00000000-0005-0000-0000-0000C2000000}"/>
    <cellStyle name="_대곡이설(투찰)_안산부대(투찰)⑤_경찰서-터미널간도로(투찰)② 2" xfId="1603" xr:uid="{2A3AAE23-0FB1-4027-8F3D-597D5625DE1E}"/>
    <cellStyle name="_대곡이설(투찰)_안산부대(투찰)⑤_경찰서-터미널간도로(투찰)②_마현생창(동양고속)" xfId="196" xr:uid="{00000000-0005-0000-0000-0000C3000000}"/>
    <cellStyle name="_대곡이설(투찰)_안산부대(투찰)⑤_경찰서-터미널간도로(투찰)②_마현생창(동양고속) 2" xfId="1604" xr:uid="{A42C9C6D-27D7-4ADF-BB41-719FA6806237}"/>
    <cellStyle name="_대곡이설(투찰)_안산부대(투찰)⑤_경찰서-터미널간도로(투찰)②_마현생창(동양고속)_왜관-태평건설" xfId="197" xr:uid="{00000000-0005-0000-0000-0000C4000000}"/>
    <cellStyle name="_대곡이설(투찰)_안산부대(투찰)⑤_경찰서-터미널간도로(투찰)②_마현생창(동양고속)_왜관-태평건설 2" xfId="1605" xr:uid="{1E79D645-E549-4E8B-843F-1FB50FE98E2E}"/>
    <cellStyle name="_대곡이설(투찰)_안산부대(투찰)⑤_경찰서-터미널간도로(투찰)②_왜관-태평건설" xfId="198" xr:uid="{00000000-0005-0000-0000-0000C5000000}"/>
    <cellStyle name="_대곡이설(투찰)_안산부대(투찰)⑤_경찰서-터미널간도로(투찰)②_왜관-태평건설 2" xfId="1606" xr:uid="{2D98E748-E1EE-4DE4-A2AA-0C2B7973E05B}"/>
    <cellStyle name="_대곡이설(투찰)_안산부대(투찰)⑤_마현생창(동양고속)" xfId="199" xr:uid="{00000000-0005-0000-0000-0000C6000000}"/>
    <cellStyle name="_대곡이설(투찰)_안산부대(투찰)⑤_마현생창(동양고속) 2" xfId="1607" xr:uid="{535D14D4-3F55-46F9-96DD-81CC2BDEF12F}"/>
    <cellStyle name="_대곡이설(투찰)_안산부대(투찰)⑤_마현생창(동양고속)_왜관-태평건설" xfId="200" xr:uid="{00000000-0005-0000-0000-0000C7000000}"/>
    <cellStyle name="_대곡이설(투찰)_안산부대(투찰)⑤_마현생창(동양고속)_왜관-태평건설 2" xfId="1608" xr:uid="{76A27877-9E0A-433E-B14F-8B883ACD7586}"/>
    <cellStyle name="_대곡이설(투찰)_안산부대(투찰)⑤_봉무지방산업단지도로(투찰)②" xfId="201" xr:uid="{00000000-0005-0000-0000-0000C8000000}"/>
    <cellStyle name="_대곡이설(투찰)_안산부대(투찰)⑤_봉무지방산업단지도로(투찰)② 2" xfId="1609" xr:uid="{8F5C607A-AAF0-4FC9-8C8D-031E2F51C56E}"/>
    <cellStyle name="_대곡이설(투찰)_안산부대(투찰)⑤_봉무지방산업단지도로(투찰)②_마현생창(동양고속)" xfId="202" xr:uid="{00000000-0005-0000-0000-0000C9000000}"/>
    <cellStyle name="_대곡이설(투찰)_안산부대(투찰)⑤_봉무지방산업단지도로(투찰)②_마현생창(동양고속) 2" xfId="1610" xr:uid="{E8743702-414E-4ADF-B927-11327CB1C5AE}"/>
    <cellStyle name="_대곡이설(투찰)_안산부대(투찰)⑤_봉무지방산업단지도로(투찰)②_마현생창(동양고속)_왜관-태평건설" xfId="203" xr:uid="{00000000-0005-0000-0000-0000CA000000}"/>
    <cellStyle name="_대곡이설(투찰)_안산부대(투찰)⑤_봉무지방산업단지도로(투찰)②_마현생창(동양고속)_왜관-태평건설 2" xfId="1611" xr:uid="{E85EBD36-BCEE-48D6-BF80-F1AEF05BA571}"/>
    <cellStyle name="_대곡이설(투찰)_안산부대(투찰)⑤_봉무지방산업단지도로(투찰)②_왜관-태평건설" xfId="204" xr:uid="{00000000-0005-0000-0000-0000CB000000}"/>
    <cellStyle name="_대곡이설(투찰)_안산부대(투찰)⑤_봉무지방산업단지도로(투찰)②_왜관-태평건설 2" xfId="1612" xr:uid="{D116B009-7C27-4F37-A04B-4F65267EEAFA}"/>
    <cellStyle name="_대곡이설(투찰)_안산부대(투찰)⑤_봉무지방산업단지도로(투찰)②+0.250%" xfId="205" xr:uid="{00000000-0005-0000-0000-0000CC000000}"/>
    <cellStyle name="_대곡이설(투찰)_안산부대(투찰)⑤_봉무지방산업단지도로(투찰)②+0.250% 2" xfId="1613" xr:uid="{540484E8-291E-4EBA-80B8-A7C9D2238D4F}"/>
    <cellStyle name="_대곡이설(투찰)_안산부대(투찰)⑤_봉무지방산업단지도로(투찰)②+0.250%_마현생창(동양고속)" xfId="206" xr:uid="{00000000-0005-0000-0000-0000CD000000}"/>
    <cellStyle name="_대곡이설(투찰)_안산부대(투찰)⑤_봉무지방산업단지도로(투찰)②+0.250%_마현생창(동양고속) 2" xfId="1614" xr:uid="{1FC81203-3AB8-4766-8537-EC60306AB910}"/>
    <cellStyle name="_대곡이설(투찰)_안산부대(투찰)⑤_봉무지방산업단지도로(투찰)②+0.250%_마현생창(동양고속)_왜관-태평건설" xfId="207" xr:uid="{00000000-0005-0000-0000-0000CE000000}"/>
    <cellStyle name="_대곡이설(투찰)_안산부대(투찰)⑤_봉무지방산업단지도로(투찰)②+0.250%_마현생창(동양고속)_왜관-태평건설 2" xfId="1615" xr:uid="{A24F79F0-6C37-496E-A6F2-5ED6963760DC}"/>
    <cellStyle name="_대곡이설(투찰)_안산부대(투찰)⑤_봉무지방산업단지도로(투찰)②+0.250%_왜관-태평건설" xfId="208" xr:uid="{00000000-0005-0000-0000-0000CF000000}"/>
    <cellStyle name="_대곡이설(투찰)_안산부대(투찰)⑤_봉무지방산업단지도로(투찰)②+0.250%_왜관-태평건설 2" xfId="1616" xr:uid="{17F71E34-1D13-4A78-BB51-8C96927C65EE}"/>
    <cellStyle name="_대곡이설(투찰)_안산부대(투찰)⑤_왜관-태평건설" xfId="209" xr:uid="{00000000-0005-0000-0000-0000D0000000}"/>
    <cellStyle name="_대곡이설(투찰)_안산부대(투찰)⑤_왜관-태평건설 2" xfId="1617" xr:uid="{40176DD7-4F0E-45F5-9ECD-E7F4E52BF0EF}"/>
    <cellStyle name="_대곡이설(투찰)_안산부대(투찰)⑤_합덕-신례원(2공구)투찰" xfId="210" xr:uid="{00000000-0005-0000-0000-0000D1000000}"/>
    <cellStyle name="_대곡이설(투찰)_안산부대(투찰)⑤_합덕-신례원(2공구)투찰 2" xfId="1618" xr:uid="{B6293A73-3305-40EB-9A2E-71CAE8C97BD5}"/>
    <cellStyle name="_대곡이설(투찰)_안산부대(투찰)⑤_합덕-신례원(2공구)투찰_경찰서-터미널간도로(투찰)②" xfId="211" xr:uid="{00000000-0005-0000-0000-0000D2000000}"/>
    <cellStyle name="_대곡이설(투찰)_안산부대(투찰)⑤_합덕-신례원(2공구)투찰_경찰서-터미널간도로(투찰)② 2" xfId="1619" xr:uid="{AEEA8704-28BB-4DF9-AEF2-218534C4EA8A}"/>
    <cellStyle name="_대곡이설(투찰)_안산부대(투찰)⑤_합덕-신례원(2공구)투찰_경찰서-터미널간도로(투찰)②_마현생창(동양고속)" xfId="212" xr:uid="{00000000-0005-0000-0000-0000D3000000}"/>
    <cellStyle name="_대곡이설(투찰)_안산부대(투찰)⑤_합덕-신례원(2공구)투찰_경찰서-터미널간도로(투찰)②_마현생창(동양고속) 2" xfId="1620" xr:uid="{122A3539-BAB9-4F9D-83FE-A7BE99FF0E7F}"/>
    <cellStyle name="_대곡이설(투찰)_안산부대(투찰)⑤_합덕-신례원(2공구)투찰_경찰서-터미널간도로(투찰)②_마현생창(동양고속)_왜관-태평건설" xfId="213" xr:uid="{00000000-0005-0000-0000-0000D4000000}"/>
    <cellStyle name="_대곡이설(투찰)_안산부대(투찰)⑤_합덕-신례원(2공구)투찰_경찰서-터미널간도로(투찰)②_마현생창(동양고속)_왜관-태평건설 2" xfId="1621" xr:uid="{AF042DB9-8A7D-4883-ACAF-611AF9A1ABC8}"/>
    <cellStyle name="_대곡이설(투찰)_안산부대(투찰)⑤_합덕-신례원(2공구)투찰_경찰서-터미널간도로(투찰)②_왜관-태평건설" xfId="214" xr:uid="{00000000-0005-0000-0000-0000D5000000}"/>
    <cellStyle name="_대곡이설(투찰)_안산부대(투찰)⑤_합덕-신례원(2공구)투찰_경찰서-터미널간도로(투찰)②_왜관-태평건설 2" xfId="1622" xr:uid="{4F762772-041D-4CE6-9A74-209045622491}"/>
    <cellStyle name="_대곡이설(투찰)_안산부대(투찰)⑤_합덕-신례원(2공구)투찰_마현생창(동양고속)" xfId="215" xr:uid="{00000000-0005-0000-0000-0000D6000000}"/>
    <cellStyle name="_대곡이설(투찰)_안산부대(투찰)⑤_합덕-신례원(2공구)투찰_마현생창(동양고속) 2" xfId="1623" xr:uid="{144A6FEE-B13C-4794-AC64-488029A45C4A}"/>
    <cellStyle name="_대곡이설(투찰)_안산부대(투찰)⑤_합덕-신례원(2공구)투찰_마현생창(동양고속)_왜관-태평건설" xfId="216" xr:uid="{00000000-0005-0000-0000-0000D7000000}"/>
    <cellStyle name="_대곡이설(투찰)_안산부대(투찰)⑤_합덕-신례원(2공구)투찰_마현생창(동양고속)_왜관-태평건설 2" xfId="1624" xr:uid="{08EB31B8-DB7F-4BE0-9793-04C88362F823}"/>
    <cellStyle name="_대곡이설(투찰)_안산부대(투찰)⑤_합덕-신례원(2공구)투찰_봉무지방산업단지도로(투찰)②" xfId="217" xr:uid="{00000000-0005-0000-0000-0000D8000000}"/>
    <cellStyle name="_대곡이설(투찰)_안산부대(투찰)⑤_합덕-신례원(2공구)투찰_봉무지방산업단지도로(투찰)② 2" xfId="1625" xr:uid="{3BBE44E5-1384-4BDD-8F99-D60A2174FD87}"/>
    <cellStyle name="_대곡이설(투찰)_안산부대(투찰)⑤_합덕-신례원(2공구)투찰_봉무지방산업단지도로(투찰)②_마현생창(동양고속)" xfId="218" xr:uid="{00000000-0005-0000-0000-0000D9000000}"/>
    <cellStyle name="_대곡이설(투찰)_안산부대(투찰)⑤_합덕-신례원(2공구)투찰_봉무지방산업단지도로(투찰)②_마현생창(동양고속) 2" xfId="1626" xr:uid="{5AF30CE0-FA5C-495C-9E4F-A8EB72D365EE}"/>
    <cellStyle name="_대곡이설(투찰)_안산부대(투찰)⑤_합덕-신례원(2공구)투찰_봉무지방산업단지도로(투찰)②_마현생창(동양고속)_왜관-태평건설" xfId="219" xr:uid="{00000000-0005-0000-0000-0000DA000000}"/>
    <cellStyle name="_대곡이설(투찰)_안산부대(투찰)⑤_합덕-신례원(2공구)투찰_봉무지방산업단지도로(투찰)②_마현생창(동양고속)_왜관-태평건설 2" xfId="1627" xr:uid="{3528367E-FECA-4CB2-BC47-50E6693E52FC}"/>
    <cellStyle name="_대곡이설(투찰)_안산부대(투찰)⑤_합덕-신례원(2공구)투찰_봉무지방산업단지도로(투찰)②_왜관-태평건설" xfId="220" xr:uid="{00000000-0005-0000-0000-0000DB000000}"/>
    <cellStyle name="_대곡이설(투찰)_안산부대(투찰)⑤_합덕-신례원(2공구)투찰_봉무지방산업단지도로(투찰)②_왜관-태평건설 2" xfId="1628" xr:uid="{A0ECDAC7-B450-4851-A8E6-57BCAC8FF392}"/>
    <cellStyle name="_대곡이설(투찰)_안산부대(투찰)⑤_합덕-신례원(2공구)투찰_봉무지방산업단지도로(투찰)②+0.250%" xfId="221" xr:uid="{00000000-0005-0000-0000-0000DC000000}"/>
    <cellStyle name="_대곡이설(투찰)_안산부대(투찰)⑤_합덕-신례원(2공구)투찰_봉무지방산업단지도로(투찰)②+0.250% 2" xfId="1629" xr:uid="{06A113B2-D2A1-400B-8780-41C29C6F6163}"/>
    <cellStyle name="_대곡이설(투찰)_안산부대(투찰)⑤_합덕-신례원(2공구)투찰_봉무지방산업단지도로(투찰)②+0.250%_마현생창(동양고속)" xfId="222" xr:uid="{00000000-0005-0000-0000-0000DD000000}"/>
    <cellStyle name="_대곡이설(투찰)_안산부대(투찰)⑤_합덕-신례원(2공구)투찰_봉무지방산업단지도로(투찰)②+0.250%_마현생창(동양고속) 2" xfId="1630" xr:uid="{6C950A51-E60F-41D8-A91D-36A3063CAB7B}"/>
    <cellStyle name="_대곡이설(투찰)_안산부대(투찰)⑤_합덕-신례원(2공구)투찰_봉무지방산업단지도로(투찰)②+0.250%_마현생창(동양고속)_왜관-태평건설" xfId="223" xr:uid="{00000000-0005-0000-0000-0000DE000000}"/>
    <cellStyle name="_대곡이설(투찰)_안산부대(투찰)⑤_합덕-신례원(2공구)투찰_봉무지방산업단지도로(투찰)②+0.250%_마현생창(동양고속)_왜관-태평건설 2" xfId="1631" xr:uid="{7C30AF74-541B-4198-BF31-0543670405D1}"/>
    <cellStyle name="_대곡이설(투찰)_안산부대(투찰)⑤_합덕-신례원(2공구)투찰_봉무지방산업단지도로(투찰)②+0.250%_왜관-태평건설" xfId="224" xr:uid="{00000000-0005-0000-0000-0000DF000000}"/>
    <cellStyle name="_대곡이설(투찰)_안산부대(투찰)⑤_합덕-신례원(2공구)투찰_봉무지방산업단지도로(투찰)②+0.250%_왜관-태평건설 2" xfId="1632" xr:uid="{9AAA5860-9772-4B1D-85EF-4A88B4DE524B}"/>
    <cellStyle name="_대곡이설(투찰)_안산부대(투찰)⑤_합덕-신례원(2공구)투찰_왜관-태평건설" xfId="225" xr:uid="{00000000-0005-0000-0000-0000E0000000}"/>
    <cellStyle name="_대곡이설(투찰)_안산부대(투찰)⑤_합덕-신례원(2공구)투찰_왜관-태평건설 2" xfId="1633" xr:uid="{EBBDDDE4-A36B-4DC2-BD95-AC8E6290EE76}"/>
    <cellStyle name="_대곡이설(투찰)_안산부대(투찰)⑤_합덕-신례원(2공구)투찰_합덕-신례원(2공구)투찰" xfId="226" xr:uid="{00000000-0005-0000-0000-0000E1000000}"/>
    <cellStyle name="_대곡이설(투찰)_안산부대(투찰)⑤_합덕-신례원(2공구)투찰_합덕-신례원(2공구)투찰 2" xfId="1634" xr:uid="{4EC90984-A2EE-43FB-8B3D-BBA6981E03B8}"/>
    <cellStyle name="_대곡이설(투찰)_안산부대(투찰)⑤_합덕-신례원(2공구)투찰_합덕-신례원(2공구)투찰_경찰서-터미널간도로(투찰)②" xfId="227" xr:uid="{00000000-0005-0000-0000-0000E2000000}"/>
    <cellStyle name="_대곡이설(투찰)_안산부대(투찰)⑤_합덕-신례원(2공구)투찰_합덕-신례원(2공구)투찰_경찰서-터미널간도로(투찰)② 2" xfId="1635" xr:uid="{88729980-07D5-4F1D-B216-3AA1D32C97E7}"/>
    <cellStyle name="_대곡이설(투찰)_안산부대(투찰)⑤_합덕-신례원(2공구)투찰_합덕-신례원(2공구)투찰_경찰서-터미널간도로(투찰)②_마현생창(동양고속)" xfId="228" xr:uid="{00000000-0005-0000-0000-0000E3000000}"/>
    <cellStyle name="_대곡이설(투찰)_안산부대(투찰)⑤_합덕-신례원(2공구)투찰_합덕-신례원(2공구)투찰_경찰서-터미널간도로(투찰)②_마현생창(동양고속) 2" xfId="1636" xr:uid="{9C380B25-1605-4AA5-8785-AC4FFFAE2787}"/>
    <cellStyle name="_대곡이설(투찰)_안산부대(투찰)⑤_합덕-신례원(2공구)투찰_합덕-신례원(2공구)투찰_경찰서-터미널간도로(투찰)②_마현생창(동양고속)_왜관-태평건설" xfId="229" xr:uid="{00000000-0005-0000-0000-0000E4000000}"/>
    <cellStyle name="_대곡이설(투찰)_안산부대(투찰)⑤_합덕-신례원(2공구)투찰_합덕-신례원(2공구)투찰_경찰서-터미널간도로(투찰)②_마현생창(동양고속)_왜관-태평건설 2" xfId="1637" xr:uid="{B49E6F3B-0990-44A5-8A77-E69CA31F9BA9}"/>
    <cellStyle name="_대곡이설(투찰)_안산부대(투찰)⑤_합덕-신례원(2공구)투찰_합덕-신례원(2공구)투찰_경찰서-터미널간도로(투찰)②_왜관-태평건설" xfId="230" xr:uid="{00000000-0005-0000-0000-0000E5000000}"/>
    <cellStyle name="_대곡이설(투찰)_안산부대(투찰)⑤_합덕-신례원(2공구)투찰_합덕-신례원(2공구)투찰_경찰서-터미널간도로(투찰)②_왜관-태평건설 2" xfId="1638" xr:uid="{B1A6F365-823C-45E8-B1DE-3DED0918D329}"/>
    <cellStyle name="_대곡이설(투찰)_안산부대(투찰)⑤_합덕-신례원(2공구)투찰_합덕-신례원(2공구)투찰_마현생창(동양고속)" xfId="231" xr:uid="{00000000-0005-0000-0000-0000E6000000}"/>
    <cellStyle name="_대곡이설(투찰)_안산부대(투찰)⑤_합덕-신례원(2공구)투찰_합덕-신례원(2공구)투찰_마현생창(동양고속) 2" xfId="1639" xr:uid="{EB595EDA-1591-4B96-89DB-DEAB7CAD520D}"/>
    <cellStyle name="_대곡이설(투찰)_안산부대(투찰)⑤_합덕-신례원(2공구)투찰_합덕-신례원(2공구)투찰_마현생창(동양고속)_왜관-태평건설" xfId="232" xr:uid="{00000000-0005-0000-0000-0000E7000000}"/>
    <cellStyle name="_대곡이설(투찰)_안산부대(투찰)⑤_합덕-신례원(2공구)투찰_합덕-신례원(2공구)투찰_마현생창(동양고속)_왜관-태평건설 2" xfId="1640" xr:uid="{77366E44-7749-435F-B40C-8EEDF2789757}"/>
    <cellStyle name="_대곡이설(투찰)_안산부대(투찰)⑤_합덕-신례원(2공구)투찰_합덕-신례원(2공구)투찰_봉무지방산업단지도로(투찰)②" xfId="233" xr:uid="{00000000-0005-0000-0000-0000E8000000}"/>
    <cellStyle name="_대곡이설(투찰)_안산부대(투찰)⑤_합덕-신례원(2공구)투찰_합덕-신례원(2공구)투찰_봉무지방산업단지도로(투찰)② 2" xfId="1641" xr:uid="{1507E4C1-35BE-47F5-A690-04F693894D21}"/>
    <cellStyle name="_대곡이설(투찰)_안산부대(투찰)⑤_합덕-신례원(2공구)투찰_합덕-신례원(2공구)투찰_봉무지방산업단지도로(투찰)②_마현생창(동양고속)" xfId="234" xr:uid="{00000000-0005-0000-0000-0000E9000000}"/>
    <cellStyle name="_대곡이설(투찰)_안산부대(투찰)⑤_합덕-신례원(2공구)투찰_합덕-신례원(2공구)투찰_봉무지방산업단지도로(투찰)②_마현생창(동양고속) 2" xfId="1642" xr:uid="{2EF1E227-65CF-4B8B-BFF6-FF241922620F}"/>
    <cellStyle name="_대곡이설(투찰)_안산부대(투찰)⑤_합덕-신례원(2공구)투찰_합덕-신례원(2공구)투찰_봉무지방산업단지도로(투찰)②_마현생창(동양고속)_왜관-태평건설" xfId="235" xr:uid="{00000000-0005-0000-0000-0000EA000000}"/>
    <cellStyle name="_대곡이설(투찰)_안산부대(투찰)⑤_합덕-신례원(2공구)투찰_합덕-신례원(2공구)투찰_봉무지방산업단지도로(투찰)②_마현생창(동양고속)_왜관-태평건설 2" xfId="1643" xr:uid="{2E848E0F-2511-4332-A17B-F63DD93EF4C6}"/>
    <cellStyle name="_대곡이설(투찰)_안산부대(투찰)⑤_합덕-신례원(2공구)투찰_합덕-신례원(2공구)투찰_봉무지방산업단지도로(투찰)②_왜관-태평건설" xfId="236" xr:uid="{00000000-0005-0000-0000-0000EB000000}"/>
    <cellStyle name="_대곡이설(투찰)_안산부대(투찰)⑤_합덕-신례원(2공구)투찰_합덕-신례원(2공구)투찰_봉무지방산업단지도로(투찰)②_왜관-태평건설 2" xfId="1644" xr:uid="{4C20192A-F90E-4503-B2E7-4B23704BA81E}"/>
    <cellStyle name="_대곡이설(투찰)_안산부대(투찰)⑤_합덕-신례원(2공구)투찰_합덕-신례원(2공구)투찰_봉무지방산업단지도로(투찰)②+0.250%" xfId="237" xr:uid="{00000000-0005-0000-0000-0000EC000000}"/>
    <cellStyle name="_대곡이설(투찰)_안산부대(투찰)⑤_합덕-신례원(2공구)투찰_합덕-신례원(2공구)투찰_봉무지방산업단지도로(투찰)②+0.250% 2" xfId="1645" xr:uid="{E74C5CC5-9675-46CB-9F72-69576F202023}"/>
    <cellStyle name="_대곡이설(투찰)_안산부대(투찰)⑤_합덕-신례원(2공구)투찰_합덕-신례원(2공구)투찰_봉무지방산업단지도로(투찰)②+0.250%_마현생창(동양고속)" xfId="238" xr:uid="{00000000-0005-0000-0000-0000ED000000}"/>
    <cellStyle name="_대곡이설(투찰)_안산부대(투찰)⑤_합덕-신례원(2공구)투찰_합덕-신례원(2공구)투찰_봉무지방산업단지도로(투찰)②+0.250%_마현생창(동양고속) 2" xfId="1646" xr:uid="{3718C566-BD92-4256-9E47-D2F86DFE4850}"/>
    <cellStyle name="_대곡이설(투찰)_안산부대(투찰)⑤_합덕-신례원(2공구)투찰_합덕-신례원(2공구)투찰_봉무지방산업단지도로(투찰)②+0.250%_마현생창(동양고속)_왜관-태평건설" xfId="239" xr:uid="{00000000-0005-0000-0000-0000EE000000}"/>
    <cellStyle name="_대곡이설(투찰)_안산부대(투찰)⑤_합덕-신례원(2공구)투찰_합덕-신례원(2공구)투찰_봉무지방산업단지도로(투찰)②+0.250%_마현생창(동양고속)_왜관-태평건설 2" xfId="1647" xr:uid="{58A3FE19-C4C5-4E5B-AB77-CBB8476CB428}"/>
    <cellStyle name="_대곡이설(투찰)_안산부대(투찰)⑤_합덕-신례원(2공구)투찰_합덕-신례원(2공구)투찰_봉무지방산업단지도로(투찰)②+0.250%_왜관-태평건설" xfId="240" xr:uid="{00000000-0005-0000-0000-0000EF000000}"/>
    <cellStyle name="_대곡이설(투찰)_안산부대(투찰)⑤_합덕-신례원(2공구)투찰_합덕-신례원(2공구)투찰_봉무지방산업단지도로(투찰)②+0.250%_왜관-태평건설 2" xfId="1648" xr:uid="{953C64E1-8FC0-4207-9104-D2BC3AFC6C3F}"/>
    <cellStyle name="_대곡이설(투찰)_안산부대(투찰)⑤_합덕-신례원(2공구)투찰_합덕-신례원(2공구)투찰_왜관-태평건설" xfId="241" xr:uid="{00000000-0005-0000-0000-0000F0000000}"/>
    <cellStyle name="_대곡이설(투찰)_안산부대(투찰)⑤_합덕-신례원(2공구)투찰_합덕-신례원(2공구)투찰_왜관-태평건설 2" xfId="1649" xr:uid="{902DD7F5-157E-4975-8E02-540E68924F76}"/>
    <cellStyle name="_대곡이설(투찰)_양곡부두(투찰)-0.31%" xfId="242" xr:uid="{00000000-0005-0000-0000-0000F1000000}"/>
    <cellStyle name="_대곡이설(투찰)_양곡부두(투찰)-0.31% 2" xfId="1650" xr:uid="{AC4C71AF-8C51-4BDC-B92A-5C6B3D22888A}"/>
    <cellStyle name="_대곡이설(투찰)_양곡부두(투찰)-0.31%_경찰서-터미널간도로(투찰)②" xfId="243" xr:uid="{00000000-0005-0000-0000-0000F2000000}"/>
    <cellStyle name="_대곡이설(투찰)_양곡부두(투찰)-0.31%_경찰서-터미널간도로(투찰)② 2" xfId="1651" xr:uid="{1426DC73-CBBB-437D-BC8C-E6724441909D}"/>
    <cellStyle name="_대곡이설(투찰)_양곡부두(투찰)-0.31%_경찰서-터미널간도로(투찰)②_마현생창(동양고속)" xfId="244" xr:uid="{00000000-0005-0000-0000-0000F3000000}"/>
    <cellStyle name="_대곡이설(투찰)_양곡부두(투찰)-0.31%_경찰서-터미널간도로(투찰)②_마현생창(동양고속) 2" xfId="1652" xr:uid="{8B2A93AF-53E6-401C-BEAD-F348F90DD6F9}"/>
    <cellStyle name="_대곡이설(투찰)_양곡부두(투찰)-0.31%_경찰서-터미널간도로(투찰)②_마현생창(동양고속)_왜관-태평건설" xfId="245" xr:uid="{00000000-0005-0000-0000-0000F4000000}"/>
    <cellStyle name="_대곡이설(투찰)_양곡부두(투찰)-0.31%_경찰서-터미널간도로(투찰)②_마현생창(동양고속)_왜관-태평건설 2" xfId="1653" xr:uid="{4CBA2521-2731-496C-8010-6D2658272FE9}"/>
    <cellStyle name="_대곡이설(투찰)_양곡부두(투찰)-0.31%_경찰서-터미널간도로(투찰)②_왜관-태평건설" xfId="246" xr:uid="{00000000-0005-0000-0000-0000F5000000}"/>
    <cellStyle name="_대곡이설(투찰)_양곡부두(투찰)-0.31%_경찰서-터미널간도로(투찰)②_왜관-태평건설 2" xfId="1654" xr:uid="{2F6F5E79-AF10-4D89-879A-047030497190}"/>
    <cellStyle name="_대곡이설(투찰)_양곡부두(투찰)-0.31%_마현생창(동양고속)" xfId="247" xr:uid="{00000000-0005-0000-0000-0000F6000000}"/>
    <cellStyle name="_대곡이설(투찰)_양곡부두(투찰)-0.31%_마현생창(동양고속) 2" xfId="1655" xr:uid="{00284B21-CD8D-405B-8ADD-E272AADBC459}"/>
    <cellStyle name="_대곡이설(투찰)_양곡부두(투찰)-0.31%_마현생창(동양고속)_왜관-태평건설" xfId="248" xr:uid="{00000000-0005-0000-0000-0000F7000000}"/>
    <cellStyle name="_대곡이설(투찰)_양곡부두(투찰)-0.31%_마현생창(동양고속)_왜관-태평건설 2" xfId="1656" xr:uid="{7669054E-C419-4C5F-932E-E4D90C27D04C}"/>
    <cellStyle name="_대곡이설(투찰)_양곡부두(투찰)-0.31%_봉무지방산업단지도로(투찰)②" xfId="249" xr:uid="{00000000-0005-0000-0000-0000F8000000}"/>
    <cellStyle name="_대곡이설(투찰)_양곡부두(투찰)-0.31%_봉무지방산업단지도로(투찰)② 2" xfId="1657" xr:uid="{86292E93-5251-492D-B8AD-F74E19C67E74}"/>
    <cellStyle name="_대곡이설(투찰)_양곡부두(투찰)-0.31%_봉무지방산업단지도로(투찰)②_마현생창(동양고속)" xfId="250" xr:uid="{00000000-0005-0000-0000-0000F9000000}"/>
    <cellStyle name="_대곡이설(투찰)_양곡부두(투찰)-0.31%_봉무지방산업단지도로(투찰)②_마현생창(동양고속) 2" xfId="1658" xr:uid="{6162BCB3-5E7F-403D-B1BF-FBCA79E05534}"/>
    <cellStyle name="_대곡이설(투찰)_양곡부두(투찰)-0.31%_봉무지방산업단지도로(투찰)②_마현생창(동양고속)_왜관-태평건설" xfId="251" xr:uid="{00000000-0005-0000-0000-0000FA000000}"/>
    <cellStyle name="_대곡이설(투찰)_양곡부두(투찰)-0.31%_봉무지방산업단지도로(투찰)②_마현생창(동양고속)_왜관-태평건설 2" xfId="1659" xr:uid="{25D2769D-BED6-477B-8AAC-120E0A10E815}"/>
    <cellStyle name="_대곡이설(투찰)_양곡부두(투찰)-0.31%_봉무지방산업단지도로(투찰)②_왜관-태평건설" xfId="252" xr:uid="{00000000-0005-0000-0000-0000FB000000}"/>
    <cellStyle name="_대곡이설(투찰)_양곡부두(투찰)-0.31%_봉무지방산업단지도로(투찰)②_왜관-태평건설 2" xfId="1660" xr:uid="{6A0D81B3-C315-438F-8F2C-C3CBD72ADA7A}"/>
    <cellStyle name="_대곡이설(투찰)_양곡부두(투찰)-0.31%_봉무지방산업단지도로(투찰)②+0.250%" xfId="253" xr:uid="{00000000-0005-0000-0000-0000FC000000}"/>
    <cellStyle name="_대곡이설(투찰)_양곡부두(투찰)-0.31%_봉무지방산업단지도로(투찰)②+0.250% 2" xfId="1661" xr:uid="{9B8E6E3F-DFD0-4D55-9C2D-7AE73185084F}"/>
    <cellStyle name="_대곡이설(투찰)_양곡부두(투찰)-0.31%_봉무지방산업단지도로(투찰)②+0.250%_마현생창(동양고속)" xfId="254" xr:uid="{00000000-0005-0000-0000-0000FD000000}"/>
    <cellStyle name="_대곡이설(투찰)_양곡부두(투찰)-0.31%_봉무지방산업단지도로(투찰)②+0.250%_마현생창(동양고속) 2" xfId="1662" xr:uid="{8DD6C459-29EA-4B30-865D-0732A5DB4D9D}"/>
    <cellStyle name="_대곡이설(투찰)_양곡부두(투찰)-0.31%_봉무지방산업단지도로(투찰)②+0.250%_마현생창(동양고속)_왜관-태평건설" xfId="255" xr:uid="{00000000-0005-0000-0000-0000FE000000}"/>
    <cellStyle name="_대곡이설(투찰)_양곡부두(투찰)-0.31%_봉무지방산업단지도로(투찰)②+0.250%_마현생창(동양고속)_왜관-태평건설 2" xfId="1663" xr:uid="{C6DE9264-496F-486F-B405-117BBAB98268}"/>
    <cellStyle name="_대곡이설(투찰)_양곡부두(투찰)-0.31%_봉무지방산업단지도로(투찰)②+0.250%_왜관-태평건설" xfId="256" xr:uid="{00000000-0005-0000-0000-0000FF000000}"/>
    <cellStyle name="_대곡이설(투찰)_양곡부두(투찰)-0.31%_봉무지방산업단지도로(투찰)②+0.250%_왜관-태평건설 2" xfId="1664" xr:uid="{151C0BE1-04BE-4703-8ACE-E47E4C55C5A7}"/>
    <cellStyle name="_대곡이설(투찰)_양곡부두(투찰)-0.31%_왜관-태평건설" xfId="257" xr:uid="{00000000-0005-0000-0000-000000010000}"/>
    <cellStyle name="_대곡이설(투찰)_양곡부두(투찰)-0.31%_왜관-태평건설 2" xfId="1665" xr:uid="{8D35D92F-17F6-4BC6-86A9-C09615743327}"/>
    <cellStyle name="_대곡이설(투찰)_양곡부두(투찰)-0.31%_합덕-신례원(2공구)투찰" xfId="258" xr:uid="{00000000-0005-0000-0000-000001010000}"/>
    <cellStyle name="_대곡이설(투찰)_양곡부두(투찰)-0.31%_합덕-신례원(2공구)투찰 2" xfId="1666" xr:uid="{3F43CCE8-AFA1-4D24-9FD3-ED9DB2FA8510}"/>
    <cellStyle name="_대곡이설(투찰)_양곡부두(투찰)-0.31%_합덕-신례원(2공구)투찰_경찰서-터미널간도로(투찰)②" xfId="259" xr:uid="{00000000-0005-0000-0000-000002010000}"/>
    <cellStyle name="_대곡이설(투찰)_양곡부두(투찰)-0.31%_합덕-신례원(2공구)투찰_경찰서-터미널간도로(투찰)② 2" xfId="1667" xr:uid="{52F56FA1-F1C0-466F-8511-491F975E03C8}"/>
    <cellStyle name="_대곡이설(투찰)_양곡부두(투찰)-0.31%_합덕-신례원(2공구)투찰_경찰서-터미널간도로(투찰)②_마현생창(동양고속)" xfId="260" xr:uid="{00000000-0005-0000-0000-000003010000}"/>
    <cellStyle name="_대곡이설(투찰)_양곡부두(투찰)-0.31%_합덕-신례원(2공구)투찰_경찰서-터미널간도로(투찰)②_마현생창(동양고속) 2" xfId="1668" xr:uid="{852CC7FD-155E-4485-A9BD-A0C858C046D9}"/>
    <cellStyle name="_대곡이설(투찰)_양곡부두(투찰)-0.31%_합덕-신례원(2공구)투찰_경찰서-터미널간도로(투찰)②_마현생창(동양고속)_왜관-태평건설" xfId="261" xr:uid="{00000000-0005-0000-0000-000004010000}"/>
    <cellStyle name="_대곡이설(투찰)_양곡부두(투찰)-0.31%_합덕-신례원(2공구)투찰_경찰서-터미널간도로(투찰)②_마현생창(동양고속)_왜관-태평건설 2" xfId="1669" xr:uid="{8779A4A8-2942-43C6-9524-EFA984BA92F9}"/>
    <cellStyle name="_대곡이설(투찰)_양곡부두(투찰)-0.31%_합덕-신례원(2공구)투찰_경찰서-터미널간도로(투찰)②_왜관-태평건설" xfId="262" xr:uid="{00000000-0005-0000-0000-000005010000}"/>
    <cellStyle name="_대곡이설(투찰)_양곡부두(투찰)-0.31%_합덕-신례원(2공구)투찰_경찰서-터미널간도로(투찰)②_왜관-태평건설 2" xfId="1670" xr:uid="{ADCEDE37-8640-427D-BB30-6927D2A28902}"/>
    <cellStyle name="_대곡이설(투찰)_양곡부두(투찰)-0.31%_합덕-신례원(2공구)투찰_마현생창(동양고속)" xfId="263" xr:uid="{00000000-0005-0000-0000-000006010000}"/>
    <cellStyle name="_대곡이설(투찰)_양곡부두(투찰)-0.31%_합덕-신례원(2공구)투찰_마현생창(동양고속) 2" xfId="1671" xr:uid="{3FD0CDB0-444B-4C11-BC59-0362A3994015}"/>
    <cellStyle name="_대곡이설(투찰)_양곡부두(투찰)-0.31%_합덕-신례원(2공구)투찰_마현생창(동양고속)_왜관-태평건설" xfId="264" xr:uid="{00000000-0005-0000-0000-000007010000}"/>
    <cellStyle name="_대곡이설(투찰)_양곡부두(투찰)-0.31%_합덕-신례원(2공구)투찰_마현생창(동양고속)_왜관-태평건설 2" xfId="1672" xr:uid="{42A363E9-4567-42F0-814B-4027AEBF501F}"/>
    <cellStyle name="_대곡이설(투찰)_양곡부두(투찰)-0.31%_합덕-신례원(2공구)투찰_봉무지방산업단지도로(투찰)②" xfId="265" xr:uid="{00000000-0005-0000-0000-000008010000}"/>
    <cellStyle name="_대곡이설(투찰)_양곡부두(투찰)-0.31%_합덕-신례원(2공구)투찰_봉무지방산업단지도로(투찰)② 2" xfId="1673" xr:uid="{67DF76CA-27B1-4E2B-8E34-BBD47BECB6BE}"/>
    <cellStyle name="_대곡이설(투찰)_양곡부두(투찰)-0.31%_합덕-신례원(2공구)투찰_봉무지방산업단지도로(투찰)②_마현생창(동양고속)" xfId="266" xr:uid="{00000000-0005-0000-0000-000009010000}"/>
    <cellStyle name="_대곡이설(투찰)_양곡부두(투찰)-0.31%_합덕-신례원(2공구)투찰_봉무지방산업단지도로(투찰)②_마현생창(동양고속) 2" xfId="1674" xr:uid="{E08A8A51-0BD2-45F2-A481-4ABECBEDA867}"/>
    <cellStyle name="_대곡이설(투찰)_양곡부두(투찰)-0.31%_합덕-신례원(2공구)투찰_봉무지방산업단지도로(투찰)②_마현생창(동양고속)_왜관-태평건설" xfId="267" xr:uid="{00000000-0005-0000-0000-00000A010000}"/>
    <cellStyle name="_대곡이설(투찰)_양곡부두(투찰)-0.31%_합덕-신례원(2공구)투찰_봉무지방산업단지도로(투찰)②_마현생창(동양고속)_왜관-태평건설 2" xfId="1675" xr:uid="{D330B3CD-FF9A-4406-B2BC-6848AE990BDF}"/>
    <cellStyle name="_대곡이설(투찰)_양곡부두(투찰)-0.31%_합덕-신례원(2공구)투찰_봉무지방산업단지도로(투찰)②_왜관-태평건설" xfId="268" xr:uid="{00000000-0005-0000-0000-00000B010000}"/>
    <cellStyle name="_대곡이설(투찰)_양곡부두(투찰)-0.31%_합덕-신례원(2공구)투찰_봉무지방산업단지도로(투찰)②_왜관-태평건설 2" xfId="1676" xr:uid="{42D98D9E-9878-496D-BA22-81F6BB8D1113}"/>
    <cellStyle name="_대곡이설(투찰)_양곡부두(투찰)-0.31%_합덕-신례원(2공구)투찰_봉무지방산업단지도로(투찰)②+0.250%" xfId="269" xr:uid="{00000000-0005-0000-0000-00000C010000}"/>
    <cellStyle name="_대곡이설(투찰)_양곡부두(투찰)-0.31%_합덕-신례원(2공구)투찰_봉무지방산업단지도로(투찰)②+0.250% 2" xfId="1677" xr:uid="{A81BB6C1-B97F-4935-B528-EE087CD1C2C1}"/>
    <cellStyle name="_대곡이설(투찰)_양곡부두(투찰)-0.31%_합덕-신례원(2공구)투찰_봉무지방산업단지도로(투찰)②+0.250%_마현생창(동양고속)" xfId="270" xr:uid="{00000000-0005-0000-0000-00000D010000}"/>
    <cellStyle name="_대곡이설(투찰)_양곡부두(투찰)-0.31%_합덕-신례원(2공구)투찰_봉무지방산업단지도로(투찰)②+0.250%_마현생창(동양고속) 2" xfId="1678" xr:uid="{91C9A7B9-9679-45C9-8C30-7EB7C9821CF5}"/>
    <cellStyle name="_대곡이설(투찰)_양곡부두(투찰)-0.31%_합덕-신례원(2공구)투찰_봉무지방산업단지도로(투찰)②+0.250%_마현생창(동양고속)_왜관-태평건설" xfId="271" xr:uid="{00000000-0005-0000-0000-00000E010000}"/>
    <cellStyle name="_대곡이설(투찰)_양곡부두(투찰)-0.31%_합덕-신례원(2공구)투찰_봉무지방산업단지도로(투찰)②+0.250%_마현생창(동양고속)_왜관-태평건설 2" xfId="1679" xr:uid="{33A0BD95-939E-43EC-841D-8BFD78B73D06}"/>
    <cellStyle name="_대곡이설(투찰)_양곡부두(투찰)-0.31%_합덕-신례원(2공구)투찰_봉무지방산업단지도로(투찰)②+0.250%_왜관-태평건설" xfId="272" xr:uid="{00000000-0005-0000-0000-00000F010000}"/>
    <cellStyle name="_대곡이설(투찰)_양곡부두(투찰)-0.31%_합덕-신례원(2공구)투찰_봉무지방산업단지도로(투찰)②+0.250%_왜관-태평건설 2" xfId="1680" xr:uid="{679128EA-23AB-47AD-9637-7C5E640E23EE}"/>
    <cellStyle name="_대곡이설(투찰)_양곡부두(투찰)-0.31%_합덕-신례원(2공구)투찰_왜관-태평건설" xfId="273" xr:uid="{00000000-0005-0000-0000-000010010000}"/>
    <cellStyle name="_대곡이설(투찰)_양곡부두(투찰)-0.31%_합덕-신례원(2공구)투찰_왜관-태평건설 2" xfId="1681" xr:uid="{F530495E-6C8D-46DD-B721-AE92EE9E8EDE}"/>
    <cellStyle name="_대곡이설(투찰)_양곡부두(투찰)-0.31%_합덕-신례원(2공구)투찰_합덕-신례원(2공구)투찰" xfId="274" xr:uid="{00000000-0005-0000-0000-000011010000}"/>
    <cellStyle name="_대곡이설(투찰)_양곡부두(투찰)-0.31%_합덕-신례원(2공구)투찰_합덕-신례원(2공구)투찰 2" xfId="1682" xr:uid="{A7BA378F-723E-4612-A6A3-D47F8FE3A572}"/>
    <cellStyle name="_대곡이설(투찰)_양곡부두(투찰)-0.31%_합덕-신례원(2공구)투찰_합덕-신례원(2공구)투찰_경찰서-터미널간도로(투찰)②" xfId="275" xr:uid="{00000000-0005-0000-0000-000012010000}"/>
    <cellStyle name="_대곡이설(투찰)_양곡부두(투찰)-0.31%_합덕-신례원(2공구)투찰_합덕-신례원(2공구)투찰_경찰서-터미널간도로(투찰)② 2" xfId="1683" xr:uid="{52219482-753E-4B99-9D95-680DB170E182}"/>
    <cellStyle name="_대곡이설(투찰)_양곡부두(투찰)-0.31%_합덕-신례원(2공구)투찰_합덕-신례원(2공구)투찰_경찰서-터미널간도로(투찰)②_마현생창(동양고속)" xfId="276" xr:uid="{00000000-0005-0000-0000-000013010000}"/>
    <cellStyle name="_대곡이설(투찰)_양곡부두(투찰)-0.31%_합덕-신례원(2공구)투찰_합덕-신례원(2공구)투찰_경찰서-터미널간도로(투찰)②_마현생창(동양고속) 2" xfId="1684" xr:uid="{F82C4C57-B980-47A0-83AE-4188BB60BAD4}"/>
    <cellStyle name="_대곡이설(투찰)_양곡부두(투찰)-0.31%_합덕-신례원(2공구)투찰_합덕-신례원(2공구)투찰_경찰서-터미널간도로(투찰)②_마현생창(동양고속)_왜관-태평건설" xfId="277" xr:uid="{00000000-0005-0000-0000-000014010000}"/>
    <cellStyle name="_대곡이설(투찰)_양곡부두(투찰)-0.31%_합덕-신례원(2공구)투찰_합덕-신례원(2공구)투찰_경찰서-터미널간도로(투찰)②_마현생창(동양고속)_왜관-태평건설 2" xfId="1685" xr:uid="{D1A4D4C2-0C23-4B8F-9AF2-9FEAB67283BF}"/>
    <cellStyle name="_대곡이설(투찰)_양곡부두(투찰)-0.31%_합덕-신례원(2공구)투찰_합덕-신례원(2공구)투찰_경찰서-터미널간도로(투찰)②_왜관-태평건설" xfId="278" xr:uid="{00000000-0005-0000-0000-000015010000}"/>
    <cellStyle name="_대곡이설(투찰)_양곡부두(투찰)-0.31%_합덕-신례원(2공구)투찰_합덕-신례원(2공구)투찰_경찰서-터미널간도로(투찰)②_왜관-태평건설 2" xfId="1686" xr:uid="{B2BEF2D5-0529-40E0-9303-C9D208D30309}"/>
    <cellStyle name="_대곡이설(투찰)_양곡부두(투찰)-0.31%_합덕-신례원(2공구)투찰_합덕-신례원(2공구)투찰_마현생창(동양고속)" xfId="279" xr:uid="{00000000-0005-0000-0000-000016010000}"/>
    <cellStyle name="_대곡이설(투찰)_양곡부두(투찰)-0.31%_합덕-신례원(2공구)투찰_합덕-신례원(2공구)투찰_마현생창(동양고속) 2" xfId="1687" xr:uid="{C076FE04-E74F-414D-A43B-5C9770843BB0}"/>
    <cellStyle name="_대곡이설(투찰)_양곡부두(투찰)-0.31%_합덕-신례원(2공구)투찰_합덕-신례원(2공구)투찰_마현생창(동양고속)_왜관-태평건설" xfId="280" xr:uid="{00000000-0005-0000-0000-000017010000}"/>
    <cellStyle name="_대곡이설(투찰)_양곡부두(투찰)-0.31%_합덕-신례원(2공구)투찰_합덕-신례원(2공구)투찰_마현생창(동양고속)_왜관-태평건설 2" xfId="1688" xr:uid="{3BE93543-8F9F-49F4-A003-FF3C314F2BD1}"/>
    <cellStyle name="_대곡이설(투찰)_양곡부두(투찰)-0.31%_합덕-신례원(2공구)투찰_합덕-신례원(2공구)투찰_봉무지방산업단지도로(투찰)②" xfId="281" xr:uid="{00000000-0005-0000-0000-000018010000}"/>
    <cellStyle name="_대곡이설(투찰)_양곡부두(투찰)-0.31%_합덕-신례원(2공구)투찰_합덕-신례원(2공구)투찰_봉무지방산업단지도로(투찰)② 2" xfId="1689" xr:uid="{58320E6B-B033-491D-9D80-EE08589061F5}"/>
    <cellStyle name="_대곡이설(투찰)_양곡부두(투찰)-0.31%_합덕-신례원(2공구)투찰_합덕-신례원(2공구)투찰_봉무지방산업단지도로(투찰)②_마현생창(동양고속)" xfId="282" xr:uid="{00000000-0005-0000-0000-000019010000}"/>
    <cellStyle name="_대곡이설(투찰)_양곡부두(투찰)-0.31%_합덕-신례원(2공구)투찰_합덕-신례원(2공구)투찰_봉무지방산업단지도로(투찰)②_마현생창(동양고속) 2" xfId="1690" xr:uid="{CDD2D820-6B40-4428-9A62-AB149248BC74}"/>
    <cellStyle name="_대곡이설(투찰)_양곡부두(투찰)-0.31%_합덕-신례원(2공구)투찰_합덕-신례원(2공구)투찰_봉무지방산업단지도로(투찰)②_마현생창(동양고속)_왜관-태평건설" xfId="283" xr:uid="{00000000-0005-0000-0000-00001A010000}"/>
    <cellStyle name="_대곡이설(투찰)_양곡부두(투찰)-0.31%_합덕-신례원(2공구)투찰_합덕-신례원(2공구)투찰_봉무지방산업단지도로(투찰)②_마현생창(동양고속)_왜관-태평건설 2" xfId="1691" xr:uid="{7040BC30-CBB8-44B6-A80D-4E5F954F2DC2}"/>
    <cellStyle name="_대곡이설(투찰)_양곡부두(투찰)-0.31%_합덕-신례원(2공구)투찰_합덕-신례원(2공구)투찰_봉무지방산업단지도로(투찰)②_왜관-태평건설" xfId="284" xr:uid="{00000000-0005-0000-0000-00001B010000}"/>
    <cellStyle name="_대곡이설(투찰)_양곡부두(투찰)-0.31%_합덕-신례원(2공구)투찰_합덕-신례원(2공구)투찰_봉무지방산업단지도로(투찰)②_왜관-태평건설 2" xfId="1692" xr:uid="{5EDE1AB8-0B90-4212-954F-707A82AA157F}"/>
    <cellStyle name="_대곡이설(투찰)_양곡부두(투찰)-0.31%_합덕-신례원(2공구)투찰_합덕-신례원(2공구)투찰_봉무지방산업단지도로(투찰)②+0.250%" xfId="285" xr:uid="{00000000-0005-0000-0000-00001C010000}"/>
    <cellStyle name="_대곡이설(투찰)_양곡부두(투찰)-0.31%_합덕-신례원(2공구)투찰_합덕-신례원(2공구)투찰_봉무지방산업단지도로(투찰)②+0.250% 2" xfId="1693" xr:uid="{EC3822D4-D933-4D95-83CE-1E366A62E386}"/>
    <cellStyle name="_대곡이설(투찰)_양곡부두(투찰)-0.31%_합덕-신례원(2공구)투찰_합덕-신례원(2공구)투찰_봉무지방산업단지도로(투찰)②+0.250%_마현생창(동양고속)" xfId="286" xr:uid="{00000000-0005-0000-0000-00001D010000}"/>
    <cellStyle name="_대곡이설(투찰)_양곡부두(투찰)-0.31%_합덕-신례원(2공구)투찰_합덕-신례원(2공구)투찰_봉무지방산업단지도로(투찰)②+0.250%_마현생창(동양고속) 2" xfId="1694" xr:uid="{A43CEB51-B9AE-46C0-A3BE-EF70C957BEAB}"/>
    <cellStyle name="_대곡이설(투찰)_양곡부두(투찰)-0.31%_합덕-신례원(2공구)투찰_합덕-신례원(2공구)투찰_봉무지방산업단지도로(투찰)②+0.250%_마현생창(동양고속)_왜관-태평건설" xfId="287" xr:uid="{00000000-0005-0000-0000-00001E010000}"/>
    <cellStyle name="_대곡이설(투찰)_양곡부두(투찰)-0.31%_합덕-신례원(2공구)투찰_합덕-신례원(2공구)투찰_봉무지방산업단지도로(투찰)②+0.250%_마현생창(동양고속)_왜관-태평건설 2" xfId="1695" xr:uid="{692286F0-7584-4DD5-810B-878047D0D91E}"/>
    <cellStyle name="_대곡이설(투찰)_양곡부두(투찰)-0.31%_합덕-신례원(2공구)투찰_합덕-신례원(2공구)투찰_봉무지방산업단지도로(투찰)②+0.250%_왜관-태평건설" xfId="288" xr:uid="{00000000-0005-0000-0000-00001F010000}"/>
    <cellStyle name="_대곡이설(투찰)_양곡부두(투찰)-0.31%_합덕-신례원(2공구)투찰_합덕-신례원(2공구)투찰_봉무지방산업단지도로(투찰)②+0.250%_왜관-태평건설 2" xfId="1696" xr:uid="{644F06C1-5ED9-4D69-9C51-987DCB4CD000}"/>
    <cellStyle name="_대곡이설(투찰)_양곡부두(투찰)-0.31%_합덕-신례원(2공구)투찰_합덕-신례원(2공구)투찰_왜관-태평건설" xfId="289" xr:uid="{00000000-0005-0000-0000-000020010000}"/>
    <cellStyle name="_대곡이설(투찰)_양곡부두(투찰)-0.31%_합덕-신례원(2공구)투찰_합덕-신례원(2공구)투찰_왜관-태평건설 2" xfId="1697" xr:uid="{A23E236A-9610-46A4-A711-E73B0CC4CDB7}"/>
    <cellStyle name="_대곡이설(투찰)_왜관-태평건설" xfId="290" xr:uid="{00000000-0005-0000-0000-000021010000}"/>
    <cellStyle name="_대곡이설(투찰)_왜관-태평건설 2" xfId="1698" xr:uid="{1720AEF7-61CD-46D6-B391-75FD18F0A92F}"/>
    <cellStyle name="_대곡이설(투찰)_창원상수도(토목)투찰" xfId="291" xr:uid="{00000000-0005-0000-0000-000022010000}"/>
    <cellStyle name="_대곡이설(투찰)_창원상수도(토목)투찰 2" xfId="1699" xr:uid="{83923C46-E9ED-402D-8606-8B65F9793628}"/>
    <cellStyle name="_대곡이설(투찰)_창원상수도(토목)투찰_경찰서-터미널간도로(투찰)②" xfId="292" xr:uid="{00000000-0005-0000-0000-000023010000}"/>
    <cellStyle name="_대곡이설(투찰)_창원상수도(토목)투찰_경찰서-터미널간도로(투찰)② 2" xfId="1700" xr:uid="{3492493A-47A5-4EC3-907F-3B60CA79291A}"/>
    <cellStyle name="_대곡이설(투찰)_창원상수도(토목)투찰_경찰서-터미널간도로(투찰)②_마현생창(동양고속)" xfId="293" xr:uid="{00000000-0005-0000-0000-000024010000}"/>
    <cellStyle name="_대곡이설(투찰)_창원상수도(토목)투찰_경찰서-터미널간도로(투찰)②_마현생창(동양고속) 2" xfId="1701" xr:uid="{D99915DD-1547-4ED3-9813-A8666862E1A6}"/>
    <cellStyle name="_대곡이설(투찰)_창원상수도(토목)투찰_경찰서-터미널간도로(투찰)②_마현생창(동양고속)_왜관-태평건설" xfId="294" xr:uid="{00000000-0005-0000-0000-000025010000}"/>
    <cellStyle name="_대곡이설(투찰)_창원상수도(토목)투찰_경찰서-터미널간도로(투찰)②_마현생창(동양고속)_왜관-태평건설 2" xfId="1702" xr:uid="{C67A81D4-1E08-4511-A84B-A373C5314316}"/>
    <cellStyle name="_대곡이설(투찰)_창원상수도(토목)투찰_경찰서-터미널간도로(투찰)②_왜관-태평건설" xfId="295" xr:uid="{00000000-0005-0000-0000-000026010000}"/>
    <cellStyle name="_대곡이설(투찰)_창원상수도(토목)투찰_경찰서-터미널간도로(투찰)②_왜관-태평건설 2" xfId="1703" xr:uid="{DC83EE93-1632-4427-A932-0F6CD7ADF4EF}"/>
    <cellStyle name="_대곡이설(투찰)_창원상수도(토목)투찰_마현생창(동양고속)" xfId="296" xr:uid="{00000000-0005-0000-0000-000027010000}"/>
    <cellStyle name="_대곡이설(투찰)_창원상수도(토목)투찰_마현생창(동양고속) 2" xfId="1704" xr:uid="{D12BD129-70B8-428F-9C92-271AB7F4AB01}"/>
    <cellStyle name="_대곡이설(투찰)_창원상수도(토목)투찰_마현생창(동양고속)_왜관-태평건설" xfId="297" xr:uid="{00000000-0005-0000-0000-000028010000}"/>
    <cellStyle name="_대곡이설(투찰)_창원상수도(토목)투찰_마현생창(동양고속)_왜관-태평건설 2" xfId="1705" xr:uid="{0D783E2C-47F6-4586-889E-6FD29EDAA7FF}"/>
    <cellStyle name="_대곡이설(투찰)_창원상수도(토목)투찰_봉무지방산업단지도로(투찰)②" xfId="298" xr:uid="{00000000-0005-0000-0000-000029010000}"/>
    <cellStyle name="_대곡이설(투찰)_창원상수도(토목)투찰_봉무지방산업단지도로(투찰)② 2" xfId="1706" xr:uid="{E01B930B-BD2D-4027-A034-C8AD14B1A305}"/>
    <cellStyle name="_대곡이설(투찰)_창원상수도(토목)투찰_봉무지방산업단지도로(투찰)②_마현생창(동양고속)" xfId="299" xr:uid="{00000000-0005-0000-0000-00002A010000}"/>
    <cellStyle name="_대곡이설(투찰)_창원상수도(토목)투찰_봉무지방산업단지도로(투찰)②_마현생창(동양고속) 2" xfId="1707" xr:uid="{82E89288-0958-4203-B655-8CC88952BB63}"/>
    <cellStyle name="_대곡이설(투찰)_창원상수도(토목)투찰_봉무지방산업단지도로(투찰)②_마현생창(동양고속)_왜관-태평건설" xfId="300" xr:uid="{00000000-0005-0000-0000-00002B010000}"/>
    <cellStyle name="_대곡이설(투찰)_창원상수도(토목)투찰_봉무지방산업단지도로(투찰)②_마현생창(동양고속)_왜관-태평건설 2" xfId="1708" xr:uid="{9F6FE167-5E71-466E-880C-0E4399BAC81D}"/>
    <cellStyle name="_대곡이설(투찰)_창원상수도(토목)투찰_봉무지방산업단지도로(투찰)②_왜관-태평건설" xfId="301" xr:uid="{00000000-0005-0000-0000-00002C010000}"/>
    <cellStyle name="_대곡이설(투찰)_창원상수도(토목)투찰_봉무지방산업단지도로(투찰)②_왜관-태평건설 2" xfId="1709" xr:uid="{DC999C09-C0A3-4F7B-B621-E5F664B47B42}"/>
    <cellStyle name="_대곡이설(투찰)_창원상수도(토목)투찰_봉무지방산업단지도로(투찰)②+0.250%" xfId="302" xr:uid="{00000000-0005-0000-0000-00002D010000}"/>
    <cellStyle name="_대곡이설(투찰)_창원상수도(토목)투찰_봉무지방산업단지도로(투찰)②+0.250% 2" xfId="1710" xr:uid="{3F271F49-1711-4607-82CC-D21F9BC4F3DB}"/>
    <cellStyle name="_대곡이설(투찰)_창원상수도(토목)투찰_봉무지방산업단지도로(투찰)②+0.250%_마현생창(동양고속)" xfId="303" xr:uid="{00000000-0005-0000-0000-00002E010000}"/>
    <cellStyle name="_대곡이설(투찰)_창원상수도(토목)투찰_봉무지방산업단지도로(투찰)②+0.250%_마현생창(동양고속) 2" xfId="1711" xr:uid="{9F21D8FA-AA92-436B-B999-652BD8AF3FCB}"/>
    <cellStyle name="_대곡이설(투찰)_창원상수도(토목)투찰_봉무지방산업단지도로(투찰)②+0.250%_마현생창(동양고속)_왜관-태평건설" xfId="304" xr:uid="{00000000-0005-0000-0000-00002F010000}"/>
    <cellStyle name="_대곡이설(투찰)_창원상수도(토목)투찰_봉무지방산업단지도로(투찰)②+0.250%_마현생창(동양고속)_왜관-태평건설 2" xfId="1712" xr:uid="{C43803CB-F246-485C-90AA-7E171BB6EC5F}"/>
    <cellStyle name="_대곡이설(투찰)_창원상수도(토목)투찰_봉무지방산업단지도로(투찰)②+0.250%_왜관-태평건설" xfId="305" xr:uid="{00000000-0005-0000-0000-000030010000}"/>
    <cellStyle name="_대곡이설(투찰)_창원상수도(토목)투찰_봉무지방산업단지도로(투찰)②+0.250%_왜관-태평건설 2" xfId="1713" xr:uid="{E4CCD007-61A6-4A04-B7FF-499011D23BE3}"/>
    <cellStyle name="_대곡이설(투찰)_창원상수도(토목)투찰_왜관-태평건설" xfId="306" xr:uid="{00000000-0005-0000-0000-000031010000}"/>
    <cellStyle name="_대곡이설(투찰)_창원상수도(토목)투찰_왜관-태평건설 2" xfId="1714" xr:uid="{D60EE1F6-E8FD-4B9F-A632-CE5BD758C909}"/>
    <cellStyle name="_대곡이설(투찰)_창원상수도(토목)투찰_합덕-신례원(2공구)투찰" xfId="307" xr:uid="{00000000-0005-0000-0000-000032010000}"/>
    <cellStyle name="_대곡이설(투찰)_창원상수도(토목)투찰_합덕-신례원(2공구)투찰 2" xfId="1715" xr:uid="{45CD2BDA-4F48-4A17-9CC5-9B51ADE48B4D}"/>
    <cellStyle name="_대곡이설(투찰)_창원상수도(토목)투찰_합덕-신례원(2공구)투찰_경찰서-터미널간도로(투찰)②" xfId="308" xr:uid="{00000000-0005-0000-0000-000033010000}"/>
    <cellStyle name="_대곡이설(투찰)_창원상수도(토목)투찰_합덕-신례원(2공구)투찰_경찰서-터미널간도로(투찰)② 2" xfId="1716" xr:uid="{201143F7-BE79-435E-9DF4-D3D7F9E33BBB}"/>
    <cellStyle name="_대곡이설(투찰)_창원상수도(토목)투찰_합덕-신례원(2공구)투찰_경찰서-터미널간도로(투찰)②_마현생창(동양고속)" xfId="309" xr:uid="{00000000-0005-0000-0000-000034010000}"/>
    <cellStyle name="_대곡이설(투찰)_창원상수도(토목)투찰_합덕-신례원(2공구)투찰_경찰서-터미널간도로(투찰)②_마현생창(동양고속) 2" xfId="1717" xr:uid="{ED907F70-F3B7-4B45-A923-2EB390CB1FD6}"/>
    <cellStyle name="_대곡이설(투찰)_창원상수도(토목)투찰_합덕-신례원(2공구)투찰_경찰서-터미널간도로(투찰)②_마현생창(동양고속)_왜관-태평건설" xfId="310" xr:uid="{00000000-0005-0000-0000-000035010000}"/>
    <cellStyle name="_대곡이설(투찰)_창원상수도(토목)투찰_합덕-신례원(2공구)투찰_경찰서-터미널간도로(투찰)②_마현생창(동양고속)_왜관-태평건설 2" xfId="1718" xr:uid="{7EA6821E-C2F1-4BE7-B10B-DAC09C2602BB}"/>
    <cellStyle name="_대곡이설(투찰)_창원상수도(토목)투찰_합덕-신례원(2공구)투찰_경찰서-터미널간도로(투찰)②_왜관-태평건설" xfId="311" xr:uid="{00000000-0005-0000-0000-000036010000}"/>
    <cellStyle name="_대곡이설(투찰)_창원상수도(토목)투찰_합덕-신례원(2공구)투찰_경찰서-터미널간도로(투찰)②_왜관-태평건설 2" xfId="1719" xr:uid="{6564F276-3CCE-419F-B77B-655CDBA2E13F}"/>
    <cellStyle name="_대곡이설(투찰)_창원상수도(토목)투찰_합덕-신례원(2공구)투찰_마현생창(동양고속)" xfId="312" xr:uid="{00000000-0005-0000-0000-000037010000}"/>
    <cellStyle name="_대곡이설(투찰)_창원상수도(토목)투찰_합덕-신례원(2공구)투찰_마현생창(동양고속) 2" xfId="1720" xr:uid="{12A2C6DF-907E-4771-84E3-EB4D0A5F9FF7}"/>
    <cellStyle name="_대곡이설(투찰)_창원상수도(토목)투찰_합덕-신례원(2공구)투찰_마현생창(동양고속)_왜관-태평건설" xfId="313" xr:uid="{00000000-0005-0000-0000-000038010000}"/>
    <cellStyle name="_대곡이설(투찰)_창원상수도(토목)투찰_합덕-신례원(2공구)투찰_마현생창(동양고속)_왜관-태평건설 2" xfId="1721" xr:uid="{CFDE11F6-EF2C-4C49-B7AD-E80B02E5FAC5}"/>
    <cellStyle name="_대곡이설(투찰)_창원상수도(토목)투찰_합덕-신례원(2공구)투찰_봉무지방산업단지도로(투찰)②" xfId="314" xr:uid="{00000000-0005-0000-0000-000039010000}"/>
    <cellStyle name="_대곡이설(투찰)_창원상수도(토목)투찰_합덕-신례원(2공구)투찰_봉무지방산업단지도로(투찰)② 2" xfId="1722" xr:uid="{919BAA9D-782C-4CCD-BFE8-3A87B8E3AB7F}"/>
    <cellStyle name="_대곡이설(투찰)_창원상수도(토목)투찰_합덕-신례원(2공구)투찰_봉무지방산업단지도로(투찰)②_마현생창(동양고속)" xfId="315" xr:uid="{00000000-0005-0000-0000-00003A010000}"/>
    <cellStyle name="_대곡이설(투찰)_창원상수도(토목)투찰_합덕-신례원(2공구)투찰_봉무지방산업단지도로(투찰)②_마현생창(동양고속) 2" xfId="1723" xr:uid="{57323590-814E-4CDF-9FC3-BEB0EFBE9D03}"/>
    <cellStyle name="_대곡이설(투찰)_창원상수도(토목)투찰_합덕-신례원(2공구)투찰_봉무지방산업단지도로(투찰)②_마현생창(동양고속)_왜관-태평건설" xfId="316" xr:uid="{00000000-0005-0000-0000-00003B010000}"/>
    <cellStyle name="_대곡이설(투찰)_창원상수도(토목)투찰_합덕-신례원(2공구)투찰_봉무지방산업단지도로(투찰)②_마현생창(동양고속)_왜관-태평건설 2" xfId="1724" xr:uid="{C08F8663-7806-47CD-B1DF-25FBCA3C3987}"/>
    <cellStyle name="_대곡이설(투찰)_창원상수도(토목)투찰_합덕-신례원(2공구)투찰_봉무지방산업단지도로(투찰)②_왜관-태평건설" xfId="317" xr:uid="{00000000-0005-0000-0000-00003C010000}"/>
    <cellStyle name="_대곡이설(투찰)_창원상수도(토목)투찰_합덕-신례원(2공구)투찰_봉무지방산업단지도로(투찰)②_왜관-태평건설 2" xfId="1725" xr:uid="{F0C887B0-828A-4C3F-8FFE-B5D44A7409D4}"/>
    <cellStyle name="_대곡이설(투찰)_창원상수도(토목)투찰_합덕-신례원(2공구)투찰_봉무지방산업단지도로(투찰)②+0.250%" xfId="318" xr:uid="{00000000-0005-0000-0000-00003D010000}"/>
    <cellStyle name="_대곡이설(투찰)_창원상수도(토목)투찰_합덕-신례원(2공구)투찰_봉무지방산업단지도로(투찰)②+0.250% 2" xfId="1726" xr:uid="{23E44944-23BE-4CD7-9CD4-2EA52F62597D}"/>
    <cellStyle name="_대곡이설(투찰)_창원상수도(토목)투찰_합덕-신례원(2공구)투찰_봉무지방산업단지도로(투찰)②+0.250%_마현생창(동양고속)" xfId="319" xr:uid="{00000000-0005-0000-0000-00003E010000}"/>
    <cellStyle name="_대곡이설(투찰)_창원상수도(토목)투찰_합덕-신례원(2공구)투찰_봉무지방산업단지도로(투찰)②+0.250%_마현생창(동양고속) 2" xfId="1727" xr:uid="{98F2E794-0294-4381-BE9E-F7C5A642A344}"/>
    <cellStyle name="_대곡이설(투찰)_창원상수도(토목)투찰_합덕-신례원(2공구)투찰_봉무지방산업단지도로(투찰)②+0.250%_마현생창(동양고속)_왜관-태평건설" xfId="320" xr:uid="{00000000-0005-0000-0000-00003F010000}"/>
    <cellStyle name="_대곡이설(투찰)_창원상수도(토목)투찰_합덕-신례원(2공구)투찰_봉무지방산업단지도로(투찰)②+0.250%_마현생창(동양고속)_왜관-태평건설 2" xfId="1728" xr:uid="{738AB980-4015-4A9A-90D0-73E7EB732535}"/>
    <cellStyle name="_대곡이설(투찰)_창원상수도(토목)투찰_합덕-신례원(2공구)투찰_봉무지방산업단지도로(투찰)②+0.250%_왜관-태평건설" xfId="321" xr:uid="{00000000-0005-0000-0000-000040010000}"/>
    <cellStyle name="_대곡이설(투찰)_창원상수도(토목)투찰_합덕-신례원(2공구)투찰_봉무지방산업단지도로(투찰)②+0.250%_왜관-태평건설 2" xfId="1729" xr:uid="{F23339AC-193E-454F-BE14-CDD544F20076}"/>
    <cellStyle name="_대곡이설(투찰)_창원상수도(토목)투찰_합덕-신례원(2공구)투찰_왜관-태평건설" xfId="322" xr:uid="{00000000-0005-0000-0000-000041010000}"/>
    <cellStyle name="_대곡이설(투찰)_창원상수도(토목)투찰_합덕-신례원(2공구)투찰_왜관-태평건설 2" xfId="1730" xr:uid="{7C0E3552-DA86-4D65-8BA4-4D7B47D96A36}"/>
    <cellStyle name="_대곡이설(투찰)_창원상수도(토목)투찰_합덕-신례원(2공구)투찰_합덕-신례원(2공구)투찰" xfId="323" xr:uid="{00000000-0005-0000-0000-000042010000}"/>
    <cellStyle name="_대곡이설(투찰)_창원상수도(토목)투찰_합덕-신례원(2공구)투찰_합덕-신례원(2공구)투찰 2" xfId="1731" xr:uid="{3D0749BA-7F6E-4B27-9BCF-3EC24040E0F3}"/>
    <cellStyle name="_대곡이설(투찰)_창원상수도(토목)투찰_합덕-신례원(2공구)투찰_합덕-신례원(2공구)투찰_경찰서-터미널간도로(투찰)②" xfId="324" xr:uid="{00000000-0005-0000-0000-000043010000}"/>
    <cellStyle name="_대곡이설(투찰)_창원상수도(토목)투찰_합덕-신례원(2공구)투찰_합덕-신례원(2공구)투찰_경찰서-터미널간도로(투찰)② 2" xfId="1732" xr:uid="{167A5B8D-E753-4A7D-B285-97105FE1098A}"/>
    <cellStyle name="_대곡이설(투찰)_창원상수도(토목)투찰_합덕-신례원(2공구)투찰_합덕-신례원(2공구)투찰_경찰서-터미널간도로(투찰)②_마현생창(동양고속)" xfId="325" xr:uid="{00000000-0005-0000-0000-000044010000}"/>
    <cellStyle name="_대곡이설(투찰)_창원상수도(토목)투찰_합덕-신례원(2공구)투찰_합덕-신례원(2공구)투찰_경찰서-터미널간도로(투찰)②_마현생창(동양고속) 2" xfId="1733" xr:uid="{7CD07080-00DB-4569-AB11-605781C5DF8B}"/>
    <cellStyle name="_대곡이설(투찰)_창원상수도(토목)투찰_합덕-신례원(2공구)투찰_합덕-신례원(2공구)투찰_경찰서-터미널간도로(투찰)②_마현생창(동양고속)_왜관-태평건설" xfId="326" xr:uid="{00000000-0005-0000-0000-000045010000}"/>
    <cellStyle name="_대곡이설(투찰)_창원상수도(토목)투찰_합덕-신례원(2공구)투찰_합덕-신례원(2공구)투찰_경찰서-터미널간도로(투찰)②_마현생창(동양고속)_왜관-태평건설 2" xfId="1734" xr:uid="{393AC2F6-785D-47E8-947C-F7CE85E354E5}"/>
    <cellStyle name="_대곡이설(투찰)_창원상수도(토목)투찰_합덕-신례원(2공구)투찰_합덕-신례원(2공구)투찰_경찰서-터미널간도로(투찰)②_왜관-태평건설" xfId="327" xr:uid="{00000000-0005-0000-0000-000046010000}"/>
    <cellStyle name="_대곡이설(투찰)_창원상수도(토목)투찰_합덕-신례원(2공구)투찰_합덕-신례원(2공구)투찰_경찰서-터미널간도로(투찰)②_왜관-태평건설 2" xfId="1735" xr:uid="{FFBD4341-65AB-45F2-B71A-50BD00F104F4}"/>
    <cellStyle name="_대곡이설(투찰)_창원상수도(토목)투찰_합덕-신례원(2공구)투찰_합덕-신례원(2공구)투찰_마현생창(동양고속)" xfId="328" xr:uid="{00000000-0005-0000-0000-000047010000}"/>
    <cellStyle name="_대곡이설(투찰)_창원상수도(토목)투찰_합덕-신례원(2공구)투찰_합덕-신례원(2공구)투찰_마현생창(동양고속) 2" xfId="1736" xr:uid="{DC111F61-F5AF-4104-A697-F9940EACAF5F}"/>
    <cellStyle name="_대곡이설(투찰)_창원상수도(토목)투찰_합덕-신례원(2공구)투찰_합덕-신례원(2공구)투찰_마현생창(동양고속)_왜관-태평건설" xfId="329" xr:uid="{00000000-0005-0000-0000-000048010000}"/>
    <cellStyle name="_대곡이설(투찰)_창원상수도(토목)투찰_합덕-신례원(2공구)투찰_합덕-신례원(2공구)투찰_마현생창(동양고속)_왜관-태평건설 2" xfId="1737" xr:uid="{D37C4FCA-613F-4BCB-A468-398CDD16E43C}"/>
    <cellStyle name="_대곡이설(투찰)_창원상수도(토목)투찰_합덕-신례원(2공구)투찰_합덕-신례원(2공구)투찰_봉무지방산업단지도로(투찰)②" xfId="330" xr:uid="{00000000-0005-0000-0000-000049010000}"/>
    <cellStyle name="_대곡이설(투찰)_창원상수도(토목)투찰_합덕-신례원(2공구)투찰_합덕-신례원(2공구)투찰_봉무지방산업단지도로(투찰)② 2" xfId="1738" xr:uid="{23F824CA-9AD0-4D1F-AE8B-E4A36BE827AA}"/>
    <cellStyle name="_대곡이설(투찰)_창원상수도(토목)투찰_합덕-신례원(2공구)투찰_합덕-신례원(2공구)투찰_봉무지방산업단지도로(투찰)②_마현생창(동양고속)" xfId="331" xr:uid="{00000000-0005-0000-0000-00004A010000}"/>
    <cellStyle name="_대곡이설(투찰)_창원상수도(토목)투찰_합덕-신례원(2공구)투찰_합덕-신례원(2공구)투찰_봉무지방산업단지도로(투찰)②_마현생창(동양고속) 2" xfId="1739" xr:uid="{8DD50E31-39F4-47F6-A914-CEDD93095A64}"/>
    <cellStyle name="_대곡이설(투찰)_창원상수도(토목)투찰_합덕-신례원(2공구)투찰_합덕-신례원(2공구)투찰_봉무지방산업단지도로(투찰)②_마현생창(동양고속)_왜관-태평건설" xfId="332" xr:uid="{00000000-0005-0000-0000-00004B010000}"/>
    <cellStyle name="_대곡이설(투찰)_창원상수도(토목)투찰_합덕-신례원(2공구)투찰_합덕-신례원(2공구)투찰_봉무지방산업단지도로(투찰)②_마현생창(동양고속)_왜관-태평건설 2" xfId="1740" xr:uid="{07D325E0-75D9-46DE-BFE5-C5F972A9A2FC}"/>
    <cellStyle name="_대곡이설(투찰)_창원상수도(토목)투찰_합덕-신례원(2공구)투찰_합덕-신례원(2공구)투찰_봉무지방산업단지도로(투찰)②_왜관-태평건설" xfId="333" xr:uid="{00000000-0005-0000-0000-00004C010000}"/>
    <cellStyle name="_대곡이설(투찰)_창원상수도(토목)투찰_합덕-신례원(2공구)투찰_합덕-신례원(2공구)투찰_봉무지방산업단지도로(투찰)②_왜관-태평건설 2" xfId="1741" xr:uid="{E7441248-B7AD-44D6-B0CC-0DF66D52EEDE}"/>
    <cellStyle name="_대곡이설(투찰)_창원상수도(토목)투찰_합덕-신례원(2공구)투찰_합덕-신례원(2공구)투찰_봉무지방산업단지도로(투찰)②+0.250%" xfId="334" xr:uid="{00000000-0005-0000-0000-00004D010000}"/>
    <cellStyle name="_대곡이설(투찰)_창원상수도(토목)투찰_합덕-신례원(2공구)투찰_합덕-신례원(2공구)투찰_봉무지방산업단지도로(투찰)②+0.250% 2" xfId="1742" xr:uid="{EF392498-0678-45C6-9CA0-BCB34C16D1CE}"/>
    <cellStyle name="_대곡이설(투찰)_창원상수도(토목)투찰_합덕-신례원(2공구)투찰_합덕-신례원(2공구)투찰_봉무지방산업단지도로(투찰)②+0.250%_마현생창(동양고속)" xfId="335" xr:uid="{00000000-0005-0000-0000-00004E010000}"/>
    <cellStyle name="_대곡이설(투찰)_창원상수도(토목)투찰_합덕-신례원(2공구)투찰_합덕-신례원(2공구)투찰_봉무지방산업단지도로(투찰)②+0.250%_마현생창(동양고속) 2" xfId="1743" xr:uid="{A661A23B-F774-4E5E-B1BA-06C6706675CF}"/>
    <cellStyle name="_대곡이설(투찰)_창원상수도(토목)투찰_합덕-신례원(2공구)투찰_합덕-신례원(2공구)투찰_봉무지방산업단지도로(투찰)②+0.250%_마현생창(동양고속)_왜관-태평건설" xfId="336" xr:uid="{00000000-0005-0000-0000-00004F010000}"/>
    <cellStyle name="_대곡이설(투찰)_창원상수도(토목)투찰_합덕-신례원(2공구)투찰_합덕-신례원(2공구)투찰_봉무지방산업단지도로(투찰)②+0.250%_마현생창(동양고속)_왜관-태평건설 2" xfId="1744" xr:uid="{FEAA4EFE-FC4C-4E76-A933-868021E854C8}"/>
    <cellStyle name="_대곡이설(투찰)_창원상수도(토목)투찰_합덕-신례원(2공구)투찰_합덕-신례원(2공구)투찰_봉무지방산업단지도로(투찰)②+0.250%_왜관-태평건설" xfId="337" xr:uid="{00000000-0005-0000-0000-000050010000}"/>
    <cellStyle name="_대곡이설(투찰)_창원상수도(토목)투찰_합덕-신례원(2공구)투찰_합덕-신례원(2공구)투찰_봉무지방산업단지도로(투찰)②+0.250%_왜관-태평건설 2" xfId="1745" xr:uid="{21B69874-4D6D-4913-A577-40CBB197C194}"/>
    <cellStyle name="_대곡이설(투찰)_창원상수도(토목)투찰_합덕-신례원(2공구)투찰_합덕-신례원(2공구)투찰_왜관-태평건설" xfId="338" xr:uid="{00000000-0005-0000-0000-000051010000}"/>
    <cellStyle name="_대곡이설(투찰)_창원상수도(토목)투찰_합덕-신례원(2공구)투찰_합덕-신례원(2공구)투찰_왜관-태평건설 2" xfId="1746" xr:uid="{5CE55EDE-E147-47D8-8CAF-A391A63D8596}"/>
    <cellStyle name="_대곡이설(투찰)_합덕-신례원(2공구)투찰" xfId="339" xr:uid="{00000000-0005-0000-0000-000052010000}"/>
    <cellStyle name="_대곡이설(투찰)_합덕-신례원(2공구)투찰 2" xfId="1747" xr:uid="{1167EE57-94BD-469B-85CA-4B9A339622B5}"/>
    <cellStyle name="_대곡이설(투찰)_합덕-신례원(2공구)투찰_경찰서-터미널간도로(투찰)②" xfId="340" xr:uid="{00000000-0005-0000-0000-000053010000}"/>
    <cellStyle name="_대곡이설(투찰)_합덕-신례원(2공구)투찰_경찰서-터미널간도로(투찰)② 2" xfId="1748" xr:uid="{489B8D65-3EBF-42BC-A76E-BA2397E4AE7A}"/>
    <cellStyle name="_대곡이설(투찰)_합덕-신례원(2공구)투찰_경찰서-터미널간도로(투찰)②_마현생창(동양고속)" xfId="341" xr:uid="{00000000-0005-0000-0000-000054010000}"/>
    <cellStyle name="_대곡이설(투찰)_합덕-신례원(2공구)투찰_경찰서-터미널간도로(투찰)②_마현생창(동양고속) 2" xfId="1749" xr:uid="{12498D8F-C0F7-40C0-ADF0-D3082445670A}"/>
    <cellStyle name="_대곡이설(투찰)_합덕-신례원(2공구)투찰_경찰서-터미널간도로(투찰)②_마현생창(동양고속)_왜관-태평건설" xfId="342" xr:uid="{00000000-0005-0000-0000-000055010000}"/>
    <cellStyle name="_대곡이설(투찰)_합덕-신례원(2공구)투찰_경찰서-터미널간도로(투찰)②_마현생창(동양고속)_왜관-태평건설 2" xfId="1750" xr:uid="{90C9588A-BAE4-4F09-BFF0-5841DEE2472E}"/>
    <cellStyle name="_대곡이설(투찰)_합덕-신례원(2공구)투찰_경찰서-터미널간도로(투찰)②_왜관-태평건설" xfId="343" xr:uid="{00000000-0005-0000-0000-000056010000}"/>
    <cellStyle name="_대곡이설(투찰)_합덕-신례원(2공구)투찰_경찰서-터미널간도로(투찰)②_왜관-태평건설 2" xfId="1751" xr:uid="{864CDC12-9D1C-46C8-B663-A4499DBE77AC}"/>
    <cellStyle name="_대곡이설(투찰)_합덕-신례원(2공구)투찰_마현생창(동양고속)" xfId="344" xr:uid="{00000000-0005-0000-0000-000057010000}"/>
    <cellStyle name="_대곡이설(투찰)_합덕-신례원(2공구)투찰_마현생창(동양고속) 2" xfId="1752" xr:uid="{690D4359-9221-43AA-B2FC-1D32540D56E3}"/>
    <cellStyle name="_대곡이설(투찰)_합덕-신례원(2공구)투찰_마현생창(동양고속)_왜관-태평건설" xfId="345" xr:uid="{00000000-0005-0000-0000-000058010000}"/>
    <cellStyle name="_대곡이설(투찰)_합덕-신례원(2공구)투찰_마현생창(동양고속)_왜관-태평건설 2" xfId="1753" xr:uid="{7ED24D18-4896-431E-8D9A-B872E07F2871}"/>
    <cellStyle name="_대곡이설(투찰)_합덕-신례원(2공구)투찰_봉무지방산업단지도로(투찰)②" xfId="346" xr:uid="{00000000-0005-0000-0000-000059010000}"/>
    <cellStyle name="_대곡이설(투찰)_합덕-신례원(2공구)투찰_봉무지방산업단지도로(투찰)② 2" xfId="1754" xr:uid="{0F046169-8232-4BBD-BDB8-D9DFDBF668AB}"/>
    <cellStyle name="_대곡이설(투찰)_합덕-신례원(2공구)투찰_봉무지방산업단지도로(투찰)②_마현생창(동양고속)" xfId="347" xr:uid="{00000000-0005-0000-0000-00005A010000}"/>
    <cellStyle name="_대곡이설(투찰)_합덕-신례원(2공구)투찰_봉무지방산업단지도로(투찰)②_마현생창(동양고속) 2" xfId="1755" xr:uid="{824026E7-1D29-446E-B933-97C133D33C7E}"/>
    <cellStyle name="_대곡이설(투찰)_합덕-신례원(2공구)투찰_봉무지방산업단지도로(투찰)②_마현생창(동양고속)_왜관-태평건설" xfId="348" xr:uid="{00000000-0005-0000-0000-00005B010000}"/>
    <cellStyle name="_대곡이설(투찰)_합덕-신례원(2공구)투찰_봉무지방산업단지도로(투찰)②_마현생창(동양고속)_왜관-태평건설 2" xfId="1756" xr:uid="{96E4BA7A-55EF-449A-8274-2799EAA659D6}"/>
    <cellStyle name="_대곡이설(투찰)_합덕-신례원(2공구)투찰_봉무지방산업단지도로(투찰)②_왜관-태평건설" xfId="349" xr:uid="{00000000-0005-0000-0000-00005C010000}"/>
    <cellStyle name="_대곡이설(투찰)_합덕-신례원(2공구)투찰_봉무지방산업단지도로(투찰)②_왜관-태평건설 2" xfId="1757" xr:uid="{C646E770-A9CF-432B-94EF-520141DB8E95}"/>
    <cellStyle name="_대곡이설(투찰)_합덕-신례원(2공구)투찰_봉무지방산업단지도로(투찰)②+0.250%" xfId="350" xr:uid="{00000000-0005-0000-0000-00005D010000}"/>
    <cellStyle name="_대곡이설(투찰)_합덕-신례원(2공구)투찰_봉무지방산업단지도로(투찰)②+0.250% 2" xfId="1758" xr:uid="{397EDEFF-8BA2-4FE8-87B8-AD232D89A5CA}"/>
    <cellStyle name="_대곡이설(투찰)_합덕-신례원(2공구)투찰_봉무지방산업단지도로(투찰)②+0.250%_마현생창(동양고속)" xfId="351" xr:uid="{00000000-0005-0000-0000-00005E010000}"/>
    <cellStyle name="_대곡이설(투찰)_합덕-신례원(2공구)투찰_봉무지방산업단지도로(투찰)②+0.250%_마현생창(동양고속) 2" xfId="1759" xr:uid="{BE4741EF-B5E5-4A75-B203-B25C445D37D5}"/>
    <cellStyle name="_대곡이설(투찰)_합덕-신례원(2공구)투찰_봉무지방산업단지도로(투찰)②+0.250%_마현생창(동양고속)_왜관-태평건설" xfId="352" xr:uid="{00000000-0005-0000-0000-00005F010000}"/>
    <cellStyle name="_대곡이설(투찰)_합덕-신례원(2공구)투찰_봉무지방산업단지도로(투찰)②+0.250%_마현생창(동양고속)_왜관-태평건설 2" xfId="1760" xr:uid="{A87C7259-FF06-4033-A81C-20A9F8B0DC7B}"/>
    <cellStyle name="_대곡이설(투찰)_합덕-신례원(2공구)투찰_봉무지방산업단지도로(투찰)②+0.250%_왜관-태평건설" xfId="353" xr:uid="{00000000-0005-0000-0000-000060010000}"/>
    <cellStyle name="_대곡이설(투찰)_합덕-신례원(2공구)투찰_봉무지방산업단지도로(투찰)②+0.250%_왜관-태평건설 2" xfId="1761" xr:uid="{CF0A0386-D5DE-45AD-8624-DF32BA6D27A9}"/>
    <cellStyle name="_대곡이설(투찰)_합덕-신례원(2공구)투찰_왜관-태평건설" xfId="354" xr:uid="{00000000-0005-0000-0000-000061010000}"/>
    <cellStyle name="_대곡이설(투찰)_합덕-신례원(2공구)투찰_왜관-태평건설 2" xfId="1762" xr:uid="{6ABFCB43-C279-4F01-9C26-EBB77694860D}"/>
    <cellStyle name="_대곡이설(투찰)_합덕-신례원(2공구)투찰_합덕-신례원(2공구)투찰" xfId="355" xr:uid="{00000000-0005-0000-0000-000062010000}"/>
    <cellStyle name="_대곡이설(투찰)_합덕-신례원(2공구)투찰_합덕-신례원(2공구)투찰 2" xfId="1763" xr:uid="{2B8B26C5-5C80-4EEB-BC37-C8E9BA5E9B43}"/>
    <cellStyle name="_대곡이설(투찰)_합덕-신례원(2공구)투찰_합덕-신례원(2공구)투찰_경찰서-터미널간도로(투찰)②" xfId="356" xr:uid="{00000000-0005-0000-0000-000063010000}"/>
    <cellStyle name="_대곡이설(투찰)_합덕-신례원(2공구)투찰_합덕-신례원(2공구)투찰_경찰서-터미널간도로(투찰)② 2" xfId="1764" xr:uid="{08B54F04-7320-4FFF-BB49-F0A56573392F}"/>
    <cellStyle name="_대곡이설(투찰)_합덕-신례원(2공구)투찰_합덕-신례원(2공구)투찰_경찰서-터미널간도로(투찰)②_마현생창(동양고속)" xfId="357" xr:uid="{00000000-0005-0000-0000-000064010000}"/>
    <cellStyle name="_대곡이설(투찰)_합덕-신례원(2공구)투찰_합덕-신례원(2공구)투찰_경찰서-터미널간도로(투찰)②_마현생창(동양고속) 2" xfId="1765" xr:uid="{3A4E695C-927F-4AEE-814F-A140B960FDBD}"/>
    <cellStyle name="_대곡이설(투찰)_합덕-신례원(2공구)투찰_합덕-신례원(2공구)투찰_경찰서-터미널간도로(투찰)②_마현생창(동양고속)_왜관-태평건설" xfId="358" xr:uid="{00000000-0005-0000-0000-000065010000}"/>
    <cellStyle name="_대곡이설(투찰)_합덕-신례원(2공구)투찰_합덕-신례원(2공구)투찰_경찰서-터미널간도로(투찰)②_마현생창(동양고속)_왜관-태평건설 2" xfId="1766" xr:uid="{378A7900-2703-44FD-99FE-04732C480DEA}"/>
    <cellStyle name="_대곡이설(투찰)_합덕-신례원(2공구)투찰_합덕-신례원(2공구)투찰_경찰서-터미널간도로(투찰)②_왜관-태평건설" xfId="359" xr:uid="{00000000-0005-0000-0000-000066010000}"/>
    <cellStyle name="_대곡이설(투찰)_합덕-신례원(2공구)투찰_합덕-신례원(2공구)투찰_경찰서-터미널간도로(투찰)②_왜관-태평건설 2" xfId="1767" xr:uid="{5929D3B9-9710-4EB6-AF47-BAE34C195FC1}"/>
    <cellStyle name="_대곡이설(투찰)_합덕-신례원(2공구)투찰_합덕-신례원(2공구)투찰_마현생창(동양고속)" xfId="360" xr:uid="{00000000-0005-0000-0000-000067010000}"/>
    <cellStyle name="_대곡이설(투찰)_합덕-신례원(2공구)투찰_합덕-신례원(2공구)투찰_마현생창(동양고속) 2" xfId="1768" xr:uid="{3EA2F26C-6A1E-442D-B300-DD27A34EE5D0}"/>
    <cellStyle name="_대곡이설(투찰)_합덕-신례원(2공구)투찰_합덕-신례원(2공구)투찰_마현생창(동양고속)_왜관-태평건설" xfId="361" xr:uid="{00000000-0005-0000-0000-000068010000}"/>
    <cellStyle name="_대곡이설(투찰)_합덕-신례원(2공구)투찰_합덕-신례원(2공구)투찰_마현생창(동양고속)_왜관-태평건설 2" xfId="1769" xr:uid="{C97E4E34-7EE1-4FB3-8A7E-8AF1FFA6F491}"/>
    <cellStyle name="_대곡이설(투찰)_합덕-신례원(2공구)투찰_합덕-신례원(2공구)투찰_봉무지방산업단지도로(투찰)②" xfId="362" xr:uid="{00000000-0005-0000-0000-000069010000}"/>
    <cellStyle name="_대곡이설(투찰)_합덕-신례원(2공구)투찰_합덕-신례원(2공구)투찰_봉무지방산업단지도로(투찰)② 2" xfId="1770" xr:uid="{FC7BE66F-AFF5-4F69-9970-DCDA0C0CD421}"/>
    <cellStyle name="_대곡이설(투찰)_합덕-신례원(2공구)투찰_합덕-신례원(2공구)투찰_봉무지방산업단지도로(투찰)②_마현생창(동양고속)" xfId="363" xr:uid="{00000000-0005-0000-0000-00006A010000}"/>
    <cellStyle name="_대곡이설(투찰)_합덕-신례원(2공구)투찰_합덕-신례원(2공구)투찰_봉무지방산업단지도로(투찰)②_마현생창(동양고속) 2" xfId="1771" xr:uid="{B39BD9BC-8333-4303-AAEC-EBFF3546CF55}"/>
    <cellStyle name="_대곡이설(투찰)_합덕-신례원(2공구)투찰_합덕-신례원(2공구)투찰_봉무지방산업단지도로(투찰)②_마현생창(동양고속)_왜관-태평건설" xfId="364" xr:uid="{00000000-0005-0000-0000-00006B010000}"/>
    <cellStyle name="_대곡이설(투찰)_합덕-신례원(2공구)투찰_합덕-신례원(2공구)투찰_봉무지방산업단지도로(투찰)②_마현생창(동양고속)_왜관-태평건설 2" xfId="1772" xr:uid="{E130E9D7-4582-4BAD-983A-E71EBAD76FF3}"/>
    <cellStyle name="_대곡이설(투찰)_합덕-신례원(2공구)투찰_합덕-신례원(2공구)투찰_봉무지방산업단지도로(투찰)②_왜관-태평건설" xfId="365" xr:uid="{00000000-0005-0000-0000-00006C010000}"/>
    <cellStyle name="_대곡이설(투찰)_합덕-신례원(2공구)투찰_합덕-신례원(2공구)투찰_봉무지방산업단지도로(투찰)②_왜관-태평건설 2" xfId="1773" xr:uid="{76F534DB-8F56-42A9-9EB6-44765DC72ECD}"/>
    <cellStyle name="_대곡이설(투찰)_합덕-신례원(2공구)투찰_합덕-신례원(2공구)투찰_봉무지방산업단지도로(투찰)②+0.250%" xfId="366" xr:uid="{00000000-0005-0000-0000-00006D010000}"/>
    <cellStyle name="_대곡이설(투찰)_합덕-신례원(2공구)투찰_합덕-신례원(2공구)투찰_봉무지방산업단지도로(투찰)②+0.250% 2" xfId="1774" xr:uid="{641749E9-D92A-4B14-BF39-02C24A6C29CB}"/>
    <cellStyle name="_대곡이설(투찰)_합덕-신례원(2공구)투찰_합덕-신례원(2공구)투찰_봉무지방산업단지도로(투찰)②+0.250%_마현생창(동양고속)" xfId="367" xr:uid="{00000000-0005-0000-0000-00006E010000}"/>
    <cellStyle name="_대곡이설(투찰)_합덕-신례원(2공구)투찰_합덕-신례원(2공구)투찰_봉무지방산업단지도로(투찰)②+0.250%_마현생창(동양고속) 2" xfId="1775" xr:uid="{6EAA1B2B-A9BA-46FC-A4AA-940F84AEEEE5}"/>
    <cellStyle name="_대곡이설(투찰)_합덕-신례원(2공구)투찰_합덕-신례원(2공구)투찰_봉무지방산업단지도로(투찰)②+0.250%_마현생창(동양고속)_왜관-태평건설" xfId="368" xr:uid="{00000000-0005-0000-0000-00006F010000}"/>
    <cellStyle name="_대곡이설(투찰)_합덕-신례원(2공구)투찰_합덕-신례원(2공구)투찰_봉무지방산업단지도로(투찰)②+0.250%_마현생창(동양고속)_왜관-태평건설 2" xfId="1776" xr:uid="{C62D37D9-AE39-4A73-AA9A-B60A55A3391E}"/>
    <cellStyle name="_대곡이설(투찰)_합덕-신례원(2공구)투찰_합덕-신례원(2공구)투찰_봉무지방산업단지도로(투찰)②+0.250%_왜관-태평건설" xfId="369" xr:uid="{00000000-0005-0000-0000-000070010000}"/>
    <cellStyle name="_대곡이설(투찰)_합덕-신례원(2공구)투찰_합덕-신례원(2공구)투찰_봉무지방산업단지도로(투찰)②+0.250%_왜관-태평건설 2" xfId="1777" xr:uid="{89A6328A-3243-47EB-B6BC-4D5370494631}"/>
    <cellStyle name="_대곡이설(투찰)_합덕-신례원(2공구)투찰_합덕-신례원(2공구)투찰_왜관-태평건설" xfId="370" xr:uid="{00000000-0005-0000-0000-000071010000}"/>
    <cellStyle name="_대곡이설(투찰)_합덕-신례원(2공구)투찰_합덕-신례원(2공구)투찰_왜관-태평건설 2" xfId="1778" xr:uid="{EC763FAD-432B-48A6-810F-D647AD2DE24C}"/>
    <cellStyle name="_도고천품의안11" xfId="371" xr:uid="{00000000-0005-0000-0000-000072010000}"/>
    <cellStyle name="_도고천품의안11 2" xfId="1779" xr:uid="{6C886E57-EA5F-4DA8-9F44-282F83E41A0E}"/>
    <cellStyle name="_도고천품의안11_1" xfId="372" xr:uid="{00000000-0005-0000-0000-000073010000}"/>
    <cellStyle name="_도고천품의안11_1 2" xfId="1780" xr:uid="{81C4A3D7-9BFE-425A-A518-E796C1873294}"/>
    <cellStyle name="_도고천품의안11_광주평동투찰" xfId="373" xr:uid="{00000000-0005-0000-0000-000074010000}"/>
    <cellStyle name="_도고천품의안11_광주평동투찰 2" xfId="1781" xr:uid="{E1CEAE92-917D-441F-B408-5E5D9C1D8AB8}"/>
    <cellStyle name="_도고천품의안11_광주평동품의1" xfId="374" xr:uid="{00000000-0005-0000-0000-000075010000}"/>
    <cellStyle name="_도고천품의안11_광주평동품의1 2" xfId="1782" xr:uid="{E863CE34-0390-4AF2-AE13-BFE3AF7BCC4B}"/>
    <cellStyle name="_도고천품의안11_송학하수품의(설계넣고)" xfId="375" xr:uid="{00000000-0005-0000-0000-000076010000}"/>
    <cellStyle name="_도고천품의안11_송학하수품의(설계넣고) 2" xfId="1783" xr:uid="{DF236379-6A23-4B96-A94F-77A61DB5370B}"/>
    <cellStyle name="_도덕-고흥도로(투찰)" xfId="376" xr:uid="{00000000-0005-0000-0000-000077010000}"/>
    <cellStyle name="_두계변전소하도급" xfId="377" xr:uid="{00000000-0005-0000-0000-000078010000}"/>
    <cellStyle name="_매정견적보고" xfId="378" xr:uid="{00000000-0005-0000-0000-000079010000}"/>
    <cellStyle name="_명암지도로투찰2" xfId="379" xr:uid="{00000000-0005-0000-0000-00007A010000}"/>
    <cellStyle name="_명암지도로투찰2 2" xfId="1784" xr:uid="{5923E1D9-3A6A-476F-8005-89ED46CAB6B6}"/>
    <cellStyle name="_무창(전자입찰용)" xfId="380" xr:uid="{00000000-0005-0000-0000-00007B010000}"/>
    <cellStyle name="_무창(전자입찰용) 2" xfId="1785" xr:uid="{A2083964-0F93-4D69-8560-025D8885E515}"/>
    <cellStyle name="_무창(전자입찰용)_왜관-태평건설" xfId="381" xr:uid="{00000000-0005-0000-0000-00007C010000}"/>
    <cellStyle name="_무창(전자입찰용)_왜관-태평건설 2" xfId="1786" xr:uid="{08E807EA-D5E0-4BE7-8333-3A19CDA32E05}"/>
    <cellStyle name="_부대입찰양식②" xfId="382" xr:uid="{00000000-0005-0000-0000-00007D010000}"/>
    <cellStyle name="_부대입찰양식② 2" xfId="1787" xr:uid="{5595D54F-6731-4C16-A759-3EE34B12ACF6}"/>
    <cellStyle name="_부대입찰양식②_경찰서-터미널간도로(투찰)②" xfId="383" xr:uid="{00000000-0005-0000-0000-00007E010000}"/>
    <cellStyle name="_부대입찰양식②_경찰서-터미널간도로(투찰)② 2" xfId="1788" xr:uid="{73AEE73E-A9EE-422F-9CB7-CE0B4AC8D417}"/>
    <cellStyle name="_부대입찰양식②_경찰서-터미널간도로(투찰)②_마현생창(동양고속)" xfId="384" xr:uid="{00000000-0005-0000-0000-00007F010000}"/>
    <cellStyle name="_부대입찰양식②_경찰서-터미널간도로(투찰)②_마현생창(동양고속) 2" xfId="1789" xr:uid="{5F8676BD-4863-4DFF-ABCC-90F4ACF2E7AD}"/>
    <cellStyle name="_부대입찰양식②_경찰서-터미널간도로(투찰)②_마현생창(동양고속)_왜관-태평건설" xfId="385" xr:uid="{00000000-0005-0000-0000-000080010000}"/>
    <cellStyle name="_부대입찰양식②_경찰서-터미널간도로(투찰)②_마현생창(동양고속)_왜관-태평건설 2" xfId="1790" xr:uid="{E309EF3A-D337-4160-A71C-0D6C24BF281A}"/>
    <cellStyle name="_부대입찰양식②_경찰서-터미널간도로(투찰)②_왜관-태평건설" xfId="386" xr:uid="{00000000-0005-0000-0000-000081010000}"/>
    <cellStyle name="_부대입찰양식②_경찰서-터미널간도로(투찰)②_왜관-태평건설 2" xfId="1791" xr:uid="{07E3DCBD-DD3C-43DE-A403-CE95C627ECBF}"/>
    <cellStyle name="_부대입찰양식②_마현생창(동양고속)" xfId="387" xr:uid="{00000000-0005-0000-0000-000082010000}"/>
    <cellStyle name="_부대입찰양식②_마현생창(동양고속) 2" xfId="1792" xr:uid="{A8CD315F-4E36-454B-9AE4-DC8D7B4DE266}"/>
    <cellStyle name="_부대입찰양식②_마현생창(동양고속)_왜관-태평건설" xfId="388" xr:uid="{00000000-0005-0000-0000-000083010000}"/>
    <cellStyle name="_부대입찰양식②_마현생창(동양고속)_왜관-태평건설 2" xfId="1793" xr:uid="{DC03144E-267E-4F40-A6AB-486C2E0C2E64}"/>
    <cellStyle name="_부대입찰양식②_봉무지방산업단지도로(투찰)②" xfId="389" xr:uid="{00000000-0005-0000-0000-000084010000}"/>
    <cellStyle name="_부대입찰양식②_봉무지방산업단지도로(투찰)② 2" xfId="1794" xr:uid="{C8D54520-8E11-4BE9-85CD-2EC01EDE4341}"/>
    <cellStyle name="_부대입찰양식②_봉무지방산업단지도로(투찰)②_마현생창(동양고속)" xfId="390" xr:uid="{00000000-0005-0000-0000-000085010000}"/>
    <cellStyle name="_부대입찰양식②_봉무지방산업단지도로(투찰)②_마현생창(동양고속) 2" xfId="1795" xr:uid="{244106F8-DEE1-4630-A4C6-44E03556046D}"/>
    <cellStyle name="_부대입찰양식②_봉무지방산업단지도로(투찰)②_마현생창(동양고속)_왜관-태평건설" xfId="391" xr:uid="{00000000-0005-0000-0000-000086010000}"/>
    <cellStyle name="_부대입찰양식②_봉무지방산업단지도로(투찰)②_마현생창(동양고속)_왜관-태평건설 2" xfId="1796" xr:uid="{F4E5012F-B753-4D40-9256-D962C487C0F7}"/>
    <cellStyle name="_부대입찰양식②_봉무지방산업단지도로(투찰)②_왜관-태평건설" xfId="392" xr:uid="{00000000-0005-0000-0000-000087010000}"/>
    <cellStyle name="_부대입찰양식②_봉무지방산업단지도로(투찰)②_왜관-태평건설 2" xfId="1797" xr:uid="{F02123A4-41FE-4668-AF97-A43ACCD5B753}"/>
    <cellStyle name="_부대입찰양식②_봉무지방산업단지도로(투찰)②+0.250%" xfId="393" xr:uid="{00000000-0005-0000-0000-000088010000}"/>
    <cellStyle name="_부대입찰양식②_봉무지방산업단지도로(투찰)②+0.250% 2" xfId="1798" xr:uid="{71709C63-B718-4309-A76E-05C692B4D4F1}"/>
    <cellStyle name="_부대입찰양식②_봉무지방산업단지도로(투찰)②+0.250%_마현생창(동양고속)" xfId="394" xr:uid="{00000000-0005-0000-0000-000089010000}"/>
    <cellStyle name="_부대입찰양식②_봉무지방산업단지도로(투찰)②+0.250%_마현생창(동양고속) 2" xfId="1799" xr:uid="{2BB9ADDF-0326-40EC-BC63-9CB4A4200911}"/>
    <cellStyle name="_부대입찰양식②_봉무지방산업단지도로(투찰)②+0.250%_마현생창(동양고속)_왜관-태평건설" xfId="395" xr:uid="{00000000-0005-0000-0000-00008A010000}"/>
    <cellStyle name="_부대입찰양식②_봉무지방산업단지도로(투찰)②+0.250%_마현생창(동양고속)_왜관-태평건설 2" xfId="1800" xr:uid="{94FCDF91-F4DC-4330-9983-CC7F7038944F}"/>
    <cellStyle name="_부대입찰양식②_봉무지방산업단지도로(투찰)②+0.250%_왜관-태평건설" xfId="396" xr:uid="{00000000-0005-0000-0000-00008B010000}"/>
    <cellStyle name="_부대입찰양식②_봉무지방산업단지도로(투찰)②+0.250%_왜관-태평건설 2" xfId="1801" xr:uid="{A6B86FEA-DD6D-4913-B227-181FDE058270}"/>
    <cellStyle name="_부대입찰양식②_왜관-태평건설" xfId="397" xr:uid="{00000000-0005-0000-0000-00008C010000}"/>
    <cellStyle name="_부대입찰양식②_왜관-태평건설 2" xfId="1802" xr:uid="{E6B57850-780E-4AAC-912A-028530C75A7A}"/>
    <cellStyle name="_부대입찰양식②_합덕-신례원(2공구)투찰" xfId="398" xr:uid="{00000000-0005-0000-0000-00008D010000}"/>
    <cellStyle name="_부대입찰양식②_합덕-신례원(2공구)투찰 2" xfId="1803" xr:uid="{F5A45046-B5E9-4BB6-BEF6-E3BB6F813E9B}"/>
    <cellStyle name="_부대입찰양식②_합덕-신례원(2공구)투찰_경찰서-터미널간도로(투찰)②" xfId="399" xr:uid="{00000000-0005-0000-0000-00008E010000}"/>
    <cellStyle name="_부대입찰양식②_합덕-신례원(2공구)투찰_경찰서-터미널간도로(투찰)② 2" xfId="1804" xr:uid="{AEEF60EE-526A-4C96-BAC4-E65CEE011E1D}"/>
    <cellStyle name="_부대입찰양식②_합덕-신례원(2공구)투찰_경찰서-터미널간도로(투찰)②_마현생창(동양고속)" xfId="400" xr:uid="{00000000-0005-0000-0000-00008F010000}"/>
    <cellStyle name="_부대입찰양식②_합덕-신례원(2공구)투찰_경찰서-터미널간도로(투찰)②_마현생창(동양고속) 2" xfId="1805" xr:uid="{D4444C28-1B44-47D4-AB58-C2F74A919E6D}"/>
    <cellStyle name="_부대입찰양식②_합덕-신례원(2공구)투찰_경찰서-터미널간도로(투찰)②_마현생창(동양고속)_왜관-태평건설" xfId="401" xr:uid="{00000000-0005-0000-0000-000090010000}"/>
    <cellStyle name="_부대입찰양식②_합덕-신례원(2공구)투찰_경찰서-터미널간도로(투찰)②_마현생창(동양고속)_왜관-태평건설 2" xfId="1806" xr:uid="{D1FF38B3-0777-4CCC-9282-463867B1624E}"/>
    <cellStyle name="_부대입찰양식②_합덕-신례원(2공구)투찰_경찰서-터미널간도로(투찰)②_왜관-태평건설" xfId="402" xr:uid="{00000000-0005-0000-0000-000091010000}"/>
    <cellStyle name="_부대입찰양식②_합덕-신례원(2공구)투찰_경찰서-터미널간도로(투찰)②_왜관-태평건설 2" xfId="1807" xr:uid="{A1E2B7E1-8FA6-40B8-956A-AFBD51D1344E}"/>
    <cellStyle name="_부대입찰양식②_합덕-신례원(2공구)투찰_마현생창(동양고속)" xfId="403" xr:uid="{00000000-0005-0000-0000-000092010000}"/>
    <cellStyle name="_부대입찰양식②_합덕-신례원(2공구)투찰_마현생창(동양고속) 2" xfId="1808" xr:uid="{7BF495DA-CC7C-4D38-92CC-F32F2AEF673B}"/>
    <cellStyle name="_부대입찰양식②_합덕-신례원(2공구)투찰_마현생창(동양고속)_왜관-태평건설" xfId="404" xr:uid="{00000000-0005-0000-0000-000093010000}"/>
    <cellStyle name="_부대입찰양식②_합덕-신례원(2공구)투찰_마현생창(동양고속)_왜관-태평건설 2" xfId="1809" xr:uid="{B047B691-F644-4542-8C6B-D4205C666B10}"/>
    <cellStyle name="_부대입찰양식②_합덕-신례원(2공구)투찰_봉무지방산업단지도로(투찰)②" xfId="405" xr:uid="{00000000-0005-0000-0000-000094010000}"/>
    <cellStyle name="_부대입찰양식②_합덕-신례원(2공구)투찰_봉무지방산업단지도로(투찰)② 2" xfId="1810" xr:uid="{90B77C29-DF53-48FC-9363-26C00DC4981E}"/>
    <cellStyle name="_부대입찰양식②_합덕-신례원(2공구)투찰_봉무지방산업단지도로(투찰)②_마현생창(동양고속)" xfId="406" xr:uid="{00000000-0005-0000-0000-000095010000}"/>
    <cellStyle name="_부대입찰양식②_합덕-신례원(2공구)투찰_봉무지방산업단지도로(투찰)②_마현생창(동양고속) 2" xfId="1811" xr:uid="{B820B9BF-C7DD-40DC-8FF7-F52B088B1CB0}"/>
    <cellStyle name="_부대입찰양식②_합덕-신례원(2공구)투찰_봉무지방산업단지도로(투찰)②_마현생창(동양고속)_왜관-태평건설" xfId="407" xr:uid="{00000000-0005-0000-0000-000096010000}"/>
    <cellStyle name="_부대입찰양식②_합덕-신례원(2공구)투찰_봉무지방산업단지도로(투찰)②_마현생창(동양고속)_왜관-태평건설 2" xfId="1812" xr:uid="{8B5450BA-C643-4DB9-8F75-03024D5C15C8}"/>
    <cellStyle name="_부대입찰양식②_합덕-신례원(2공구)투찰_봉무지방산업단지도로(투찰)②_왜관-태평건설" xfId="408" xr:uid="{00000000-0005-0000-0000-000097010000}"/>
    <cellStyle name="_부대입찰양식②_합덕-신례원(2공구)투찰_봉무지방산업단지도로(투찰)②_왜관-태평건설 2" xfId="1813" xr:uid="{BDBAC84C-D983-4290-809C-D1FAD277203E}"/>
    <cellStyle name="_부대입찰양식②_합덕-신례원(2공구)투찰_봉무지방산업단지도로(투찰)②+0.250%" xfId="409" xr:uid="{00000000-0005-0000-0000-000098010000}"/>
    <cellStyle name="_부대입찰양식②_합덕-신례원(2공구)투찰_봉무지방산업단지도로(투찰)②+0.250% 2" xfId="1814" xr:uid="{E01159DE-1030-42EB-82CB-FACDB514CCBB}"/>
    <cellStyle name="_부대입찰양식②_합덕-신례원(2공구)투찰_봉무지방산업단지도로(투찰)②+0.250%_마현생창(동양고속)" xfId="410" xr:uid="{00000000-0005-0000-0000-000099010000}"/>
    <cellStyle name="_부대입찰양식②_합덕-신례원(2공구)투찰_봉무지방산업단지도로(투찰)②+0.250%_마현생창(동양고속) 2" xfId="1815" xr:uid="{ACC38C93-476B-46AF-BDD1-F807888CC863}"/>
    <cellStyle name="_부대입찰양식②_합덕-신례원(2공구)투찰_봉무지방산업단지도로(투찰)②+0.250%_마현생창(동양고속)_왜관-태평건설" xfId="411" xr:uid="{00000000-0005-0000-0000-00009A010000}"/>
    <cellStyle name="_부대입찰양식②_합덕-신례원(2공구)투찰_봉무지방산업단지도로(투찰)②+0.250%_마현생창(동양고속)_왜관-태평건설 2" xfId="1816" xr:uid="{374AA88B-399A-4DFA-9C8D-74E2494A5D34}"/>
    <cellStyle name="_부대입찰양식②_합덕-신례원(2공구)투찰_봉무지방산업단지도로(투찰)②+0.250%_왜관-태평건설" xfId="412" xr:uid="{00000000-0005-0000-0000-00009B010000}"/>
    <cellStyle name="_부대입찰양식②_합덕-신례원(2공구)투찰_봉무지방산업단지도로(투찰)②+0.250%_왜관-태평건설 2" xfId="1817" xr:uid="{86DA26F1-A367-4428-853C-4999D2884C26}"/>
    <cellStyle name="_부대입찰양식②_합덕-신례원(2공구)투찰_왜관-태평건설" xfId="413" xr:uid="{00000000-0005-0000-0000-00009C010000}"/>
    <cellStyle name="_부대입찰양식②_합덕-신례원(2공구)투찰_왜관-태평건설 2" xfId="1818" xr:uid="{15B0D21C-7E91-482D-A869-626DBA2EA1F0}"/>
    <cellStyle name="_부대입찰양식②_합덕-신례원(2공구)투찰_합덕-신례원(2공구)투찰" xfId="414" xr:uid="{00000000-0005-0000-0000-00009D010000}"/>
    <cellStyle name="_부대입찰양식②_합덕-신례원(2공구)투찰_합덕-신례원(2공구)투찰 2" xfId="1819" xr:uid="{079840A1-8FFA-4BE3-B3B5-B0EA04AEC228}"/>
    <cellStyle name="_부대입찰양식②_합덕-신례원(2공구)투찰_합덕-신례원(2공구)투찰_경찰서-터미널간도로(투찰)②" xfId="415" xr:uid="{00000000-0005-0000-0000-00009E010000}"/>
    <cellStyle name="_부대입찰양식②_합덕-신례원(2공구)투찰_합덕-신례원(2공구)투찰_경찰서-터미널간도로(투찰)② 2" xfId="1820" xr:uid="{1D6EA911-DFA5-4B0E-9E7A-0D10A1340846}"/>
    <cellStyle name="_부대입찰양식②_합덕-신례원(2공구)투찰_합덕-신례원(2공구)투찰_경찰서-터미널간도로(투찰)②_마현생창(동양고속)" xfId="416" xr:uid="{00000000-0005-0000-0000-00009F010000}"/>
    <cellStyle name="_부대입찰양식②_합덕-신례원(2공구)투찰_합덕-신례원(2공구)투찰_경찰서-터미널간도로(투찰)②_마현생창(동양고속) 2" xfId="1821" xr:uid="{49CF6E51-DEE0-47C5-956E-EA12BF35F9EB}"/>
    <cellStyle name="_부대입찰양식②_합덕-신례원(2공구)투찰_합덕-신례원(2공구)투찰_경찰서-터미널간도로(투찰)②_마현생창(동양고속)_왜관-태평건설" xfId="417" xr:uid="{00000000-0005-0000-0000-0000A0010000}"/>
    <cellStyle name="_부대입찰양식②_합덕-신례원(2공구)투찰_합덕-신례원(2공구)투찰_경찰서-터미널간도로(투찰)②_마현생창(동양고속)_왜관-태평건설 2" xfId="1822" xr:uid="{72FF6B05-51CC-4944-ACAF-3E98949B1A94}"/>
    <cellStyle name="_부대입찰양식②_합덕-신례원(2공구)투찰_합덕-신례원(2공구)투찰_경찰서-터미널간도로(투찰)②_왜관-태평건설" xfId="418" xr:uid="{00000000-0005-0000-0000-0000A1010000}"/>
    <cellStyle name="_부대입찰양식②_합덕-신례원(2공구)투찰_합덕-신례원(2공구)투찰_경찰서-터미널간도로(투찰)②_왜관-태평건설 2" xfId="1823" xr:uid="{45B57BAC-84CE-4ECC-8544-71F9074249BC}"/>
    <cellStyle name="_부대입찰양식②_합덕-신례원(2공구)투찰_합덕-신례원(2공구)투찰_마현생창(동양고속)" xfId="419" xr:uid="{00000000-0005-0000-0000-0000A2010000}"/>
    <cellStyle name="_부대입찰양식②_합덕-신례원(2공구)투찰_합덕-신례원(2공구)투찰_마현생창(동양고속) 2" xfId="1824" xr:uid="{1897455F-6950-4747-9BCD-AA1FAF99529C}"/>
    <cellStyle name="_부대입찰양식②_합덕-신례원(2공구)투찰_합덕-신례원(2공구)투찰_마현생창(동양고속)_왜관-태평건설" xfId="420" xr:uid="{00000000-0005-0000-0000-0000A3010000}"/>
    <cellStyle name="_부대입찰양식②_합덕-신례원(2공구)투찰_합덕-신례원(2공구)투찰_마현생창(동양고속)_왜관-태평건설 2" xfId="1825" xr:uid="{2EAFA544-A7F1-4EE8-A6BD-63BC94255E6B}"/>
    <cellStyle name="_부대입찰양식②_합덕-신례원(2공구)투찰_합덕-신례원(2공구)투찰_봉무지방산업단지도로(투찰)②" xfId="421" xr:uid="{00000000-0005-0000-0000-0000A4010000}"/>
    <cellStyle name="_부대입찰양식②_합덕-신례원(2공구)투찰_합덕-신례원(2공구)투찰_봉무지방산업단지도로(투찰)② 2" xfId="1826" xr:uid="{EB8F5692-95D9-4F5D-8E68-DFA0E33A10C0}"/>
    <cellStyle name="_부대입찰양식②_합덕-신례원(2공구)투찰_합덕-신례원(2공구)투찰_봉무지방산업단지도로(투찰)②_마현생창(동양고속)" xfId="422" xr:uid="{00000000-0005-0000-0000-0000A5010000}"/>
    <cellStyle name="_부대입찰양식②_합덕-신례원(2공구)투찰_합덕-신례원(2공구)투찰_봉무지방산업단지도로(투찰)②_마현생창(동양고속) 2" xfId="1827" xr:uid="{02F8D97F-EACB-42D4-A898-50B7C930E9C2}"/>
    <cellStyle name="_부대입찰양식②_합덕-신례원(2공구)투찰_합덕-신례원(2공구)투찰_봉무지방산업단지도로(투찰)②_마현생창(동양고속)_왜관-태평건설" xfId="423" xr:uid="{00000000-0005-0000-0000-0000A6010000}"/>
    <cellStyle name="_부대입찰양식②_합덕-신례원(2공구)투찰_합덕-신례원(2공구)투찰_봉무지방산업단지도로(투찰)②_마현생창(동양고속)_왜관-태평건설 2" xfId="1828" xr:uid="{2443298B-D8E7-4467-A8D9-68A96B3BA302}"/>
    <cellStyle name="_부대입찰양식②_합덕-신례원(2공구)투찰_합덕-신례원(2공구)투찰_봉무지방산업단지도로(투찰)②_왜관-태평건설" xfId="424" xr:uid="{00000000-0005-0000-0000-0000A7010000}"/>
    <cellStyle name="_부대입찰양식②_합덕-신례원(2공구)투찰_합덕-신례원(2공구)투찰_봉무지방산업단지도로(투찰)②_왜관-태평건설 2" xfId="1829" xr:uid="{4064933B-46D5-461C-BB0E-9ADECA14F911}"/>
    <cellStyle name="_부대입찰양식②_합덕-신례원(2공구)투찰_합덕-신례원(2공구)투찰_봉무지방산업단지도로(투찰)②+0.250%" xfId="425" xr:uid="{00000000-0005-0000-0000-0000A8010000}"/>
    <cellStyle name="_부대입찰양식②_합덕-신례원(2공구)투찰_합덕-신례원(2공구)투찰_봉무지방산업단지도로(투찰)②+0.250% 2" xfId="1830" xr:uid="{E98778AB-A99D-444B-88A6-67B945D5D192}"/>
    <cellStyle name="_부대입찰양식②_합덕-신례원(2공구)투찰_합덕-신례원(2공구)투찰_봉무지방산업단지도로(투찰)②+0.250%_마현생창(동양고속)" xfId="426" xr:uid="{00000000-0005-0000-0000-0000A9010000}"/>
    <cellStyle name="_부대입찰양식②_합덕-신례원(2공구)투찰_합덕-신례원(2공구)투찰_봉무지방산업단지도로(투찰)②+0.250%_마현생창(동양고속) 2" xfId="1831" xr:uid="{F293D936-237E-4B56-902B-57A31ED01FC6}"/>
    <cellStyle name="_부대입찰양식②_합덕-신례원(2공구)투찰_합덕-신례원(2공구)투찰_봉무지방산업단지도로(투찰)②+0.250%_마현생창(동양고속)_왜관-태평건설" xfId="427" xr:uid="{00000000-0005-0000-0000-0000AA010000}"/>
    <cellStyle name="_부대입찰양식②_합덕-신례원(2공구)투찰_합덕-신례원(2공구)투찰_봉무지방산업단지도로(투찰)②+0.250%_마현생창(동양고속)_왜관-태평건설 2" xfId="1832" xr:uid="{140166AE-220A-4FAD-B078-9D60021AD2ED}"/>
    <cellStyle name="_부대입찰양식②_합덕-신례원(2공구)투찰_합덕-신례원(2공구)투찰_봉무지방산업단지도로(투찰)②+0.250%_왜관-태평건설" xfId="428" xr:uid="{00000000-0005-0000-0000-0000AB010000}"/>
    <cellStyle name="_부대입찰양식②_합덕-신례원(2공구)투찰_합덕-신례원(2공구)투찰_봉무지방산업단지도로(투찰)②+0.250%_왜관-태평건설 2" xfId="1833" xr:uid="{C3E1BEC9-3D6F-4E0D-A108-12CE63F75108}"/>
    <cellStyle name="_부대입찰양식②_합덕-신례원(2공구)투찰_합덕-신례원(2공구)투찰_왜관-태평건설" xfId="429" xr:uid="{00000000-0005-0000-0000-0000AC010000}"/>
    <cellStyle name="_부대입찰양식②_합덕-신례원(2공구)투찰_합덕-신례원(2공구)투찰_왜관-태평건설 2" xfId="1834" xr:uid="{9BCC4B16-66DF-40FD-8801-8A99218722BE}"/>
    <cellStyle name="_부대입찰확약서" xfId="430" xr:uid="{00000000-0005-0000-0000-0000AD010000}"/>
    <cellStyle name="_부평배수지(투찰)" xfId="431" xr:uid="{00000000-0005-0000-0000-0000AE010000}"/>
    <cellStyle name="_부평배수지(투찰) 2" xfId="1835" xr:uid="{C4C7CF7D-2808-4F63-9956-413B92BFEE67}"/>
    <cellStyle name="_부평배수지(투찰)_경찰서-터미널간도로(투찰)②" xfId="432" xr:uid="{00000000-0005-0000-0000-0000AF010000}"/>
    <cellStyle name="_부평배수지(투찰)_경찰서-터미널간도로(투찰)② 2" xfId="1836" xr:uid="{1C986D98-D603-46C9-B9A0-05EA35DE97B6}"/>
    <cellStyle name="_부평배수지(투찰)_경찰서-터미널간도로(투찰)②_마현생창(동양고속)" xfId="433" xr:uid="{00000000-0005-0000-0000-0000B0010000}"/>
    <cellStyle name="_부평배수지(투찰)_경찰서-터미널간도로(투찰)②_마현생창(동양고속) 2" xfId="1837" xr:uid="{64112DA8-8008-4133-A7E4-E0B60F58288D}"/>
    <cellStyle name="_부평배수지(투찰)_경찰서-터미널간도로(투찰)②_마현생창(동양고속)_왜관-태평건설" xfId="434" xr:uid="{00000000-0005-0000-0000-0000B1010000}"/>
    <cellStyle name="_부평배수지(투찰)_경찰서-터미널간도로(투찰)②_마현생창(동양고속)_왜관-태평건설 2" xfId="1838" xr:uid="{4EBB49BF-35B9-4ABB-9FD5-DE4FB4905329}"/>
    <cellStyle name="_부평배수지(투찰)_경찰서-터미널간도로(투찰)②_왜관-태평건설" xfId="435" xr:uid="{00000000-0005-0000-0000-0000B2010000}"/>
    <cellStyle name="_부평배수지(투찰)_경찰서-터미널간도로(투찰)②_왜관-태평건설 2" xfId="1839" xr:uid="{43904D2B-EFF0-4065-9C4D-7760CBD3DE94}"/>
    <cellStyle name="_부평배수지(투찰)_마현생창(동양고속)" xfId="436" xr:uid="{00000000-0005-0000-0000-0000B3010000}"/>
    <cellStyle name="_부평배수지(투찰)_마현생창(동양고속) 2" xfId="1840" xr:uid="{A557AE2A-5287-47CA-9CFA-FFB4759FAFDF}"/>
    <cellStyle name="_부평배수지(투찰)_마현생창(동양고속)_왜관-태평건설" xfId="437" xr:uid="{00000000-0005-0000-0000-0000B4010000}"/>
    <cellStyle name="_부평배수지(투찰)_마현생창(동양고속)_왜관-태평건설 2" xfId="1841" xr:uid="{3790AD7A-E6D5-4305-9E8D-BBDC293C0E08}"/>
    <cellStyle name="_부평배수지(투찰)_봉무지방산업단지도로(투찰)②" xfId="438" xr:uid="{00000000-0005-0000-0000-0000B5010000}"/>
    <cellStyle name="_부평배수지(투찰)_봉무지방산업단지도로(투찰)② 2" xfId="1842" xr:uid="{D500A356-0772-4697-BF86-C2A4BD7B275D}"/>
    <cellStyle name="_부평배수지(투찰)_봉무지방산업단지도로(투찰)②_마현생창(동양고속)" xfId="439" xr:uid="{00000000-0005-0000-0000-0000B6010000}"/>
    <cellStyle name="_부평배수지(투찰)_봉무지방산업단지도로(투찰)②_마현생창(동양고속) 2" xfId="1843" xr:uid="{6C152E47-A75A-4EA9-87E3-B0C4E1D8ED53}"/>
    <cellStyle name="_부평배수지(투찰)_봉무지방산업단지도로(투찰)②_마현생창(동양고속)_왜관-태평건설" xfId="440" xr:uid="{00000000-0005-0000-0000-0000B7010000}"/>
    <cellStyle name="_부평배수지(투찰)_봉무지방산업단지도로(투찰)②_마현생창(동양고속)_왜관-태평건설 2" xfId="1844" xr:uid="{58C25A20-6367-4FA2-8828-2D6E31D0CBBC}"/>
    <cellStyle name="_부평배수지(투찰)_봉무지방산업단지도로(투찰)②_왜관-태평건설" xfId="441" xr:uid="{00000000-0005-0000-0000-0000B8010000}"/>
    <cellStyle name="_부평배수지(투찰)_봉무지방산업단지도로(투찰)②_왜관-태평건설 2" xfId="1845" xr:uid="{E7C4AACF-7D52-489C-82DF-2AD7C03FF448}"/>
    <cellStyle name="_부평배수지(투찰)_봉무지방산업단지도로(투찰)②+0.250%" xfId="442" xr:uid="{00000000-0005-0000-0000-0000B9010000}"/>
    <cellStyle name="_부평배수지(투찰)_봉무지방산업단지도로(투찰)②+0.250% 2" xfId="1846" xr:uid="{67DC0D63-64EB-46A8-A4A9-A704F1CCA913}"/>
    <cellStyle name="_부평배수지(투찰)_봉무지방산업단지도로(투찰)②+0.250%_마현생창(동양고속)" xfId="443" xr:uid="{00000000-0005-0000-0000-0000BA010000}"/>
    <cellStyle name="_부평배수지(투찰)_봉무지방산업단지도로(투찰)②+0.250%_마현생창(동양고속) 2" xfId="1847" xr:uid="{9106AA38-824A-4C4B-966F-A9A32C6A507A}"/>
    <cellStyle name="_부평배수지(투찰)_봉무지방산업단지도로(투찰)②+0.250%_마현생창(동양고속)_왜관-태평건설" xfId="444" xr:uid="{00000000-0005-0000-0000-0000BB010000}"/>
    <cellStyle name="_부평배수지(투찰)_봉무지방산업단지도로(투찰)②+0.250%_마현생창(동양고속)_왜관-태평건설 2" xfId="1848" xr:uid="{BCA8CB00-1DAE-45E1-B680-88F01B0D1F3C}"/>
    <cellStyle name="_부평배수지(투찰)_봉무지방산업단지도로(투찰)②+0.250%_왜관-태평건설" xfId="445" xr:uid="{00000000-0005-0000-0000-0000BC010000}"/>
    <cellStyle name="_부평배수지(투찰)_봉무지방산업단지도로(투찰)②+0.250%_왜관-태평건설 2" xfId="1849" xr:uid="{C923A388-9DE1-488C-8375-7C1CFB3A8DF3}"/>
    <cellStyle name="_부평배수지(투찰)_왜관-태평건설" xfId="446" xr:uid="{00000000-0005-0000-0000-0000BD010000}"/>
    <cellStyle name="_부평배수지(투찰)_왜관-태평건설 2" xfId="1850" xr:uid="{3E56C416-4778-4F54-9A6D-3ECD68D06C42}"/>
    <cellStyle name="_부평배수지(투찰)_합덕-신례원(2공구)투찰" xfId="447" xr:uid="{00000000-0005-0000-0000-0000BE010000}"/>
    <cellStyle name="_부평배수지(투찰)_합덕-신례원(2공구)투찰 2" xfId="1851" xr:uid="{966543C1-C0C3-4B09-AFEF-ADC8F2FCFC61}"/>
    <cellStyle name="_부평배수지(투찰)_합덕-신례원(2공구)투찰_경찰서-터미널간도로(투찰)②" xfId="448" xr:uid="{00000000-0005-0000-0000-0000BF010000}"/>
    <cellStyle name="_부평배수지(투찰)_합덕-신례원(2공구)투찰_경찰서-터미널간도로(투찰)② 2" xfId="1852" xr:uid="{A8511F26-9258-48B9-8DAE-507FA34F3AAA}"/>
    <cellStyle name="_부평배수지(투찰)_합덕-신례원(2공구)투찰_경찰서-터미널간도로(투찰)②_마현생창(동양고속)" xfId="449" xr:uid="{00000000-0005-0000-0000-0000C0010000}"/>
    <cellStyle name="_부평배수지(투찰)_합덕-신례원(2공구)투찰_경찰서-터미널간도로(투찰)②_마현생창(동양고속) 2" xfId="1853" xr:uid="{9CAE766B-1658-4AF4-BC88-50A0B4A84271}"/>
    <cellStyle name="_부평배수지(투찰)_합덕-신례원(2공구)투찰_경찰서-터미널간도로(투찰)②_마현생창(동양고속)_왜관-태평건설" xfId="450" xr:uid="{00000000-0005-0000-0000-0000C1010000}"/>
    <cellStyle name="_부평배수지(투찰)_합덕-신례원(2공구)투찰_경찰서-터미널간도로(투찰)②_마현생창(동양고속)_왜관-태평건설 2" xfId="1854" xr:uid="{441F352E-7AD1-492F-9471-C64AABA0151F}"/>
    <cellStyle name="_부평배수지(투찰)_합덕-신례원(2공구)투찰_경찰서-터미널간도로(투찰)②_왜관-태평건설" xfId="451" xr:uid="{00000000-0005-0000-0000-0000C2010000}"/>
    <cellStyle name="_부평배수지(투찰)_합덕-신례원(2공구)투찰_경찰서-터미널간도로(투찰)②_왜관-태평건설 2" xfId="1855" xr:uid="{B02240F2-306F-4A3B-B151-D94E3C3F9F60}"/>
    <cellStyle name="_부평배수지(투찰)_합덕-신례원(2공구)투찰_마현생창(동양고속)" xfId="452" xr:uid="{00000000-0005-0000-0000-0000C3010000}"/>
    <cellStyle name="_부평배수지(투찰)_합덕-신례원(2공구)투찰_마현생창(동양고속) 2" xfId="1856" xr:uid="{CD911C5B-5C7B-4F25-83CF-D0AC67EFB648}"/>
    <cellStyle name="_부평배수지(투찰)_합덕-신례원(2공구)투찰_마현생창(동양고속)_왜관-태평건설" xfId="453" xr:uid="{00000000-0005-0000-0000-0000C4010000}"/>
    <cellStyle name="_부평배수지(투찰)_합덕-신례원(2공구)투찰_마현생창(동양고속)_왜관-태평건설 2" xfId="1857" xr:uid="{F5DB85CD-629B-4E61-9674-35DA68651898}"/>
    <cellStyle name="_부평배수지(투찰)_합덕-신례원(2공구)투찰_봉무지방산업단지도로(투찰)②" xfId="454" xr:uid="{00000000-0005-0000-0000-0000C5010000}"/>
    <cellStyle name="_부평배수지(투찰)_합덕-신례원(2공구)투찰_봉무지방산업단지도로(투찰)② 2" xfId="1858" xr:uid="{F3F2AFC5-6D8F-4614-9745-07ADAAB91CBB}"/>
    <cellStyle name="_부평배수지(투찰)_합덕-신례원(2공구)투찰_봉무지방산업단지도로(투찰)②_마현생창(동양고속)" xfId="455" xr:uid="{00000000-0005-0000-0000-0000C6010000}"/>
    <cellStyle name="_부평배수지(투찰)_합덕-신례원(2공구)투찰_봉무지방산업단지도로(투찰)②_마현생창(동양고속) 2" xfId="1859" xr:uid="{456ED6AF-5495-4FD6-96EE-0FDEF5807162}"/>
    <cellStyle name="_부평배수지(투찰)_합덕-신례원(2공구)투찰_봉무지방산업단지도로(투찰)②_마현생창(동양고속)_왜관-태평건설" xfId="456" xr:uid="{00000000-0005-0000-0000-0000C7010000}"/>
    <cellStyle name="_부평배수지(투찰)_합덕-신례원(2공구)투찰_봉무지방산업단지도로(투찰)②_마현생창(동양고속)_왜관-태평건설 2" xfId="1860" xr:uid="{778CFEDA-4415-4FFA-8C23-E562B7241B33}"/>
    <cellStyle name="_부평배수지(투찰)_합덕-신례원(2공구)투찰_봉무지방산업단지도로(투찰)②_왜관-태평건설" xfId="457" xr:uid="{00000000-0005-0000-0000-0000C8010000}"/>
    <cellStyle name="_부평배수지(투찰)_합덕-신례원(2공구)투찰_봉무지방산업단지도로(투찰)②_왜관-태평건설 2" xfId="1861" xr:uid="{EAE6E926-0ED3-4EFB-830E-2B6624125BC2}"/>
    <cellStyle name="_부평배수지(투찰)_합덕-신례원(2공구)투찰_봉무지방산업단지도로(투찰)②+0.250%" xfId="458" xr:uid="{00000000-0005-0000-0000-0000C9010000}"/>
    <cellStyle name="_부평배수지(투찰)_합덕-신례원(2공구)투찰_봉무지방산업단지도로(투찰)②+0.250% 2" xfId="1862" xr:uid="{9C92D6B1-F6DF-4000-9F56-19C01EF9B1FD}"/>
    <cellStyle name="_부평배수지(투찰)_합덕-신례원(2공구)투찰_봉무지방산업단지도로(투찰)②+0.250%_마현생창(동양고속)" xfId="459" xr:uid="{00000000-0005-0000-0000-0000CA010000}"/>
    <cellStyle name="_부평배수지(투찰)_합덕-신례원(2공구)투찰_봉무지방산업단지도로(투찰)②+0.250%_마현생창(동양고속) 2" xfId="1863" xr:uid="{CA14BC9A-CF29-43C4-980D-734B0FCA5539}"/>
    <cellStyle name="_부평배수지(투찰)_합덕-신례원(2공구)투찰_봉무지방산업단지도로(투찰)②+0.250%_마현생창(동양고속)_왜관-태평건설" xfId="460" xr:uid="{00000000-0005-0000-0000-0000CB010000}"/>
    <cellStyle name="_부평배수지(투찰)_합덕-신례원(2공구)투찰_봉무지방산업단지도로(투찰)②+0.250%_마현생창(동양고속)_왜관-태평건설 2" xfId="1864" xr:uid="{196EED67-A04F-44CC-9B80-0253FB4E83AF}"/>
    <cellStyle name="_부평배수지(투찰)_합덕-신례원(2공구)투찰_봉무지방산업단지도로(투찰)②+0.250%_왜관-태평건설" xfId="461" xr:uid="{00000000-0005-0000-0000-0000CC010000}"/>
    <cellStyle name="_부평배수지(투찰)_합덕-신례원(2공구)투찰_봉무지방산업단지도로(투찰)②+0.250%_왜관-태평건설 2" xfId="1865" xr:uid="{F3A0914E-94EF-4001-BA8E-8F713BE3F1C6}"/>
    <cellStyle name="_부평배수지(투찰)_합덕-신례원(2공구)투찰_왜관-태평건설" xfId="462" xr:uid="{00000000-0005-0000-0000-0000CD010000}"/>
    <cellStyle name="_부평배수지(투찰)_합덕-신례원(2공구)투찰_왜관-태평건설 2" xfId="1866" xr:uid="{0816BFBA-44E9-4042-BB10-B7E5892B06C9}"/>
    <cellStyle name="_부평배수지(투찰)_합덕-신례원(2공구)투찰_합덕-신례원(2공구)투찰" xfId="463" xr:uid="{00000000-0005-0000-0000-0000CE010000}"/>
    <cellStyle name="_부평배수지(투찰)_합덕-신례원(2공구)투찰_합덕-신례원(2공구)투찰 2" xfId="1867" xr:uid="{BC483785-2338-4FC4-8C32-43DB1CDD876C}"/>
    <cellStyle name="_부평배수지(투찰)_합덕-신례원(2공구)투찰_합덕-신례원(2공구)투찰_경찰서-터미널간도로(투찰)②" xfId="464" xr:uid="{00000000-0005-0000-0000-0000CF010000}"/>
    <cellStyle name="_부평배수지(투찰)_합덕-신례원(2공구)투찰_합덕-신례원(2공구)투찰_경찰서-터미널간도로(투찰)② 2" xfId="1868" xr:uid="{1D852E9B-D59C-4516-B597-6B28D0974D27}"/>
    <cellStyle name="_부평배수지(투찰)_합덕-신례원(2공구)투찰_합덕-신례원(2공구)투찰_경찰서-터미널간도로(투찰)②_마현생창(동양고속)" xfId="465" xr:uid="{00000000-0005-0000-0000-0000D0010000}"/>
    <cellStyle name="_부평배수지(투찰)_합덕-신례원(2공구)투찰_합덕-신례원(2공구)투찰_경찰서-터미널간도로(투찰)②_마현생창(동양고속) 2" xfId="1869" xr:uid="{675D67CC-25F0-4747-A122-0E2C1F3BC491}"/>
    <cellStyle name="_부평배수지(투찰)_합덕-신례원(2공구)투찰_합덕-신례원(2공구)투찰_경찰서-터미널간도로(투찰)②_마현생창(동양고속)_왜관-태평건설" xfId="466" xr:uid="{00000000-0005-0000-0000-0000D1010000}"/>
    <cellStyle name="_부평배수지(투찰)_합덕-신례원(2공구)투찰_합덕-신례원(2공구)투찰_경찰서-터미널간도로(투찰)②_마현생창(동양고속)_왜관-태평건설 2" xfId="1870" xr:uid="{34D9654B-0EFD-4365-9C23-FE1D89D91E6E}"/>
    <cellStyle name="_부평배수지(투찰)_합덕-신례원(2공구)투찰_합덕-신례원(2공구)투찰_경찰서-터미널간도로(투찰)②_왜관-태평건설" xfId="467" xr:uid="{00000000-0005-0000-0000-0000D2010000}"/>
    <cellStyle name="_부평배수지(투찰)_합덕-신례원(2공구)투찰_합덕-신례원(2공구)투찰_경찰서-터미널간도로(투찰)②_왜관-태평건설 2" xfId="1871" xr:uid="{F7AA2941-6C61-4762-BDD5-E5095AC467F6}"/>
    <cellStyle name="_부평배수지(투찰)_합덕-신례원(2공구)투찰_합덕-신례원(2공구)투찰_마현생창(동양고속)" xfId="468" xr:uid="{00000000-0005-0000-0000-0000D3010000}"/>
    <cellStyle name="_부평배수지(투찰)_합덕-신례원(2공구)투찰_합덕-신례원(2공구)투찰_마현생창(동양고속) 2" xfId="1872" xr:uid="{F6B89F77-46A6-4857-9FB8-E44CFF9D63D4}"/>
    <cellStyle name="_부평배수지(투찰)_합덕-신례원(2공구)투찰_합덕-신례원(2공구)투찰_마현생창(동양고속)_왜관-태평건설" xfId="469" xr:uid="{00000000-0005-0000-0000-0000D4010000}"/>
    <cellStyle name="_부평배수지(투찰)_합덕-신례원(2공구)투찰_합덕-신례원(2공구)투찰_마현생창(동양고속)_왜관-태평건설 2" xfId="1873" xr:uid="{8612F916-7504-4026-9234-2BFC15CCE8B4}"/>
    <cellStyle name="_부평배수지(투찰)_합덕-신례원(2공구)투찰_합덕-신례원(2공구)투찰_봉무지방산업단지도로(투찰)②" xfId="470" xr:uid="{00000000-0005-0000-0000-0000D5010000}"/>
    <cellStyle name="_부평배수지(투찰)_합덕-신례원(2공구)투찰_합덕-신례원(2공구)투찰_봉무지방산업단지도로(투찰)② 2" xfId="1874" xr:uid="{90D77C70-2F14-4B18-9F5B-96D7EB1C55F5}"/>
    <cellStyle name="_부평배수지(투찰)_합덕-신례원(2공구)투찰_합덕-신례원(2공구)투찰_봉무지방산업단지도로(투찰)②_마현생창(동양고속)" xfId="471" xr:uid="{00000000-0005-0000-0000-0000D6010000}"/>
    <cellStyle name="_부평배수지(투찰)_합덕-신례원(2공구)투찰_합덕-신례원(2공구)투찰_봉무지방산업단지도로(투찰)②_마현생창(동양고속) 2" xfId="1875" xr:uid="{59F8E149-E6E4-4661-9F75-A4F159041A45}"/>
    <cellStyle name="_부평배수지(투찰)_합덕-신례원(2공구)투찰_합덕-신례원(2공구)투찰_봉무지방산업단지도로(투찰)②_마현생창(동양고속)_왜관-태평건설" xfId="472" xr:uid="{00000000-0005-0000-0000-0000D7010000}"/>
    <cellStyle name="_부평배수지(투찰)_합덕-신례원(2공구)투찰_합덕-신례원(2공구)투찰_봉무지방산업단지도로(투찰)②_마현생창(동양고속)_왜관-태평건설 2" xfId="1876" xr:uid="{198D50FF-D4A3-44AF-9E64-3389E84F40AC}"/>
    <cellStyle name="_부평배수지(투찰)_합덕-신례원(2공구)투찰_합덕-신례원(2공구)투찰_봉무지방산업단지도로(투찰)②_왜관-태평건설" xfId="473" xr:uid="{00000000-0005-0000-0000-0000D8010000}"/>
    <cellStyle name="_부평배수지(투찰)_합덕-신례원(2공구)투찰_합덕-신례원(2공구)투찰_봉무지방산업단지도로(투찰)②_왜관-태평건설 2" xfId="1877" xr:uid="{02697641-F518-4EFD-96D9-E2E736852186}"/>
    <cellStyle name="_부평배수지(투찰)_합덕-신례원(2공구)투찰_합덕-신례원(2공구)투찰_봉무지방산업단지도로(투찰)②+0.250%" xfId="474" xr:uid="{00000000-0005-0000-0000-0000D9010000}"/>
    <cellStyle name="_부평배수지(투찰)_합덕-신례원(2공구)투찰_합덕-신례원(2공구)투찰_봉무지방산업단지도로(투찰)②+0.250% 2" xfId="1878" xr:uid="{114DA8FD-5386-4CD7-AC5D-CF553EB2BE0C}"/>
    <cellStyle name="_부평배수지(투찰)_합덕-신례원(2공구)투찰_합덕-신례원(2공구)투찰_봉무지방산업단지도로(투찰)②+0.250%_마현생창(동양고속)" xfId="475" xr:uid="{00000000-0005-0000-0000-0000DA010000}"/>
    <cellStyle name="_부평배수지(투찰)_합덕-신례원(2공구)투찰_합덕-신례원(2공구)투찰_봉무지방산업단지도로(투찰)②+0.250%_마현생창(동양고속) 2" xfId="1879" xr:uid="{A29AD86B-FA1D-413F-9E31-7B29833A8230}"/>
    <cellStyle name="_부평배수지(투찰)_합덕-신례원(2공구)투찰_합덕-신례원(2공구)투찰_봉무지방산업단지도로(투찰)②+0.250%_마현생창(동양고속)_왜관-태평건설" xfId="476" xr:uid="{00000000-0005-0000-0000-0000DB010000}"/>
    <cellStyle name="_부평배수지(투찰)_합덕-신례원(2공구)투찰_합덕-신례원(2공구)투찰_봉무지방산업단지도로(투찰)②+0.250%_마현생창(동양고속)_왜관-태평건설 2" xfId="1880" xr:uid="{77DA977C-1F09-4861-8B60-B58B7ADBDCD4}"/>
    <cellStyle name="_부평배수지(투찰)_합덕-신례원(2공구)투찰_합덕-신례원(2공구)투찰_봉무지방산업단지도로(투찰)②+0.250%_왜관-태평건설" xfId="477" xr:uid="{00000000-0005-0000-0000-0000DC010000}"/>
    <cellStyle name="_부평배수지(투찰)_합덕-신례원(2공구)투찰_합덕-신례원(2공구)투찰_봉무지방산업단지도로(투찰)②+0.250%_왜관-태평건설 2" xfId="1881" xr:uid="{22249A83-A614-4DE4-A682-EDAC24A28EC7}"/>
    <cellStyle name="_부평배수지(투찰)_합덕-신례원(2공구)투찰_합덕-신례원(2공구)투찰_왜관-태평건설" xfId="478" xr:uid="{00000000-0005-0000-0000-0000DD010000}"/>
    <cellStyle name="_부평배수지(투찰)_합덕-신례원(2공구)투찰_합덕-신례원(2공구)투찰_왜관-태평건설 2" xfId="1882" xr:uid="{4CB8CA83-8379-4FC5-AF2B-42938CB33E10}"/>
    <cellStyle name="_사동초중" xfId="479" xr:uid="{00000000-0005-0000-0000-0000DE010000}"/>
    <cellStyle name="_서라벌고 내역서" xfId="480" xr:uid="{00000000-0005-0000-0000-0000DF010000}"/>
    <cellStyle name="_설계추정2(토목)대림" xfId="481" xr:uid="{00000000-0005-0000-0000-0000E0010000}"/>
    <cellStyle name="_소화펌프" xfId="482" xr:uid="{00000000-0005-0000-0000-0000E1010000}"/>
    <cellStyle name="_송학하수품의(설계넣고)" xfId="483" xr:uid="{00000000-0005-0000-0000-0000E2010000}"/>
    <cellStyle name="_송학하수품의(설계넣고) 2" xfId="1883" xr:uid="{9203139C-B828-4B46-81DF-2E442959587B}"/>
    <cellStyle name="_신태백(가실행)" xfId="484" xr:uid="{00000000-0005-0000-0000-0000E3010000}"/>
    <cellStyle name="_신태백(가실행) 2" xfId="1884" xr:uid="{061401CA-D02C-4D65-84C7-18910AD3F719}"/>
    <cellStyle name="_신태백(가실행)_1" xfId="485" xr:uid="{00000000-0005-0000-0000-0000E4010000}"/>
    <cellStyle name="_신태백(가실행)_1 2" xfId="1885" xr:uid="{46C054D9-A843-41CC-AAD5-1F097ECAD2B5}"/>
    <cellStyle name="_신태백(가실행)_1_경찰서-터미널간도로(투찰)②" xfId="486" xr:uid="{00000000-0005-0000-0000-0000E5010000}"/>
    <cellStyle name="_신태백(가실행)_1_경찰서-터미널간도로(투찰)② 2" xfId="1886" xr:uid="{A017D198-CF89-4FF0-8462-636E0952F2D8}"/>
    <cellStyle name="_신태백(가실행)_1_경찰서-터미널간도로(투찰)②_마현생창(동양고속)" xfId="487" xr:uid="{00000000-0005-0000-0000-0000E6010000}"/>
    <cellStyle name="_신태백(가실행)_1_경찰서-터미널간도로(투찰)②_마현생창(동양고속) 2" xfId="1887" xr:uid="{59CEF41C-7D27-42F8-95E3-C76395464596}"/>
    <cellStyle name="_신태백(가실행)_1_경찰서-터미널간도로(투찰)②_마현생창(동양고속)_왜관-태평건설" xfId="488" xr:uid="{00000000-0005-0000-0000-0000E7010000}"/>
    <cellStyle name="_신태백(가실행)_1_경찰서-터미널간도로(투찰)②_마현생창(동양고속)_왜관-태평건설 2" xfId="1888" xr:uid="{0EF48902-9E3C-4E90-BF66-8BB08D2831D6}"/>
    <cellStyle name="_신태백(가실행)_1_경찰서-터미널간도로(투찰)②_왜관-태평건설" xfId="489" xr:uid="{00000000-0005-0000-0000-0000E8010000}"/>
    <cellStyle name="_신태백(가실행)_1_경찰서-터미널간도로(투찰)②_왜관-태평건설 2" xfId="1889" xr:uid="{59DC6D71-93F3-4B01-908A-50982C80301D}"/>
    <cellStyle name="_신태백(가실행)_1_마현생창(동양고속)" xfId="490" xr:uid="{00000000-0005-0000-0000-0000E9010000}"/>
    <cellStyle name="_신태백(가실행)_1_마현생창(동양고속) 2" xfId="1890" xr:uid="{E4B88355-5F78-4CA6-B84E-B97DA69DD19D}"/>
    <cellStyle name="_신태백(가실행)_1_마현생창(동양고속)_왜관-태평건설" xfId="491" xr:uid="{00000000-0005-0000-0000-0000EA010000}"/>
    <cellStyle name="_신태백(가실행)_1_마현생창(동양고속)_왜관-태평건설 2" xfId="1891" xr:uid="{D2B2CF6C-0A80-4128-AB74-B043B61C817E}"/>
    <cellStyle name="_신태백(가실행)_1_봉무지방산업단지도로(투찰)②" xfId="492" xr:uid="{00000000-0005-0000-0000-0000EB010000}"/>
    <cellStyle name="_신태백(가실행)_1_봉무지방산업단지도로(투찰)② 2" xfId="1892" xr:uid="{4A4567DA-F315-4BC6-BC24-EFE1731122D8}"/>
    <cellStyle name="_신태백(가실행)_1_봉무지방산업단지도로(투찰)②_마현생창(동양고속)" xfId="493" xr:uid="{00000000-0005-0000-0000-0000EC010000}"/>
    <cellStyle name="_신태백(가실행)_1_봉무지방산업단지도로(투찰)②_마현생창(동양고속) 2" xfId="1893" xr:uid="{16DBD222-44E1-4922-A97C-E99992BF83F7}"/>
    <cellStyle name="_신태백(가실행)_1_봉무지방산업단지도로(투찰)②_마현생창(동양고속)_왜관-태평건설" xfId="494" xr:uid="{00000000-0005-0000-0000-0000ED010000}"/>
    <cellStyle name="_신태백(가실행)_1_봉무지방산업단지도로(투찰)②_마현생창(동양고속)_왜관-태평건설 2" xfId="1894" xr:uid="{7A3C97A9-EAB1-402F-B705-7349A1D00CCC}"/>
    <cellStyle name="_신태백(가실행)_1_봉무지방산업단지도로(투찰)②_왜관-태평건설" xfId="495" xr:uid="{00000000-0005-0000-0000-0000EE010000}"/>
    <cellStyle name="_신태백(가실행)_1_봉무지방산업단지도로(투찰)②_왜관-태평건설 2" xfId="1895" xr:uid="{6A528534-A615-4AC2-88F8-B585C80A8589}"/>
    <cellStyle name="_신태백(가실행)_1_봉무지방산업단지도로(투찰)②+0.250%" xfId="496" xr:uid="{00000000-0005-0000-0000-0000EF010000}"/>
    <cellStyle name="_신태백(가실행)_1_봉무지방산업단지도로(투찰)②+0.250% 2" xfId="1896" xr:uid="{780A0552-1E2F-46A7-857C-C38014C2F905}"/>
    <cellStyle name="_신태백(가실행)_1_봉무지방산업단지도로(투찰)②+0.250%_마현생창(동양고속)" xfId="497" xr:uid="{00000000-0005-0000-0000-0000F0010000}"/>
    <cellStyle name="_신태백(가실행)_1_봉무지방산업단지도로(투찰)②+0.250%_마현생창(동양고속) 2" xfId="1897" xr:uid="{39B9DB39-FBCA-49E0-BA46-A745C7FF934B}"/>
    <cellStyle name="_신태백(가실행)_1_봉무지방산업단지도로(투찰)②+0.250%_마현생창(동양고속)_왜관-태평건설" xfId="498" xr:uid="{00000000-0005-0000-0000-0000F1010000}"/>
    <cellStyle name="_신태백(가실행)_1_봉무지방산업단지도로(투찰)②+0.250%_마현생창(동양고속)_왜관-태평건설 2" xfId="1898" xr:uid="{693E37CA-4762-42E2-9B61-7FA34C9AE59B}"/>
    <cellStyle name="_신태백(가실행)_1_봉무지방산업단지도로(투찰)②+0.250%_왜관-태평건설" xfId="499" xr:uid="{00000000-0005-0000-0000-0000F2010000}"/>
    <cellStyle name="_신태백(가실행)_1_봉무지방산업단지도로(투찰)②+0.250%_왜관-태평건설 2" xfId="1899" xr:uid="{1770F507-074E-45E2-A435-3C1C76C58C0F}"/>
    <cellStyle name="_신태백(가실행)_1_왜관-태평건설" xfId="500" xr:uid="{00000000-0005-0000-0000-0000F3010000}"/>
    <cellStyle name="_신태백(가실행)_1_왜관-태평건설 2" xfId="1900" xr:uid="{CA155458-AFB0-44E5-8667-2130C7B70ADB}"/>
    <cellStyle name="_신태백(가실행)_1_합덕-신례원(2공구)투찰" xfId="501" xr:uid="{00000000-0005-0000-0000-0000F4010000}"/>
    <cellStyle name="_신태백(가실행)_1_합덕-신례원(2공구)투찰 2" xfId="1901" xr:uid="{20CE42F5-90F4-4C2B-8A5C-86DD4766EF82}"/>
    <cellStyle name="_신태백(가실행)_1_합덕-신례원(2공구)투찰_경찰서-터미널간도로(투찰)②" xfId="502" xr:uid="{00000000-0005-0000-0000-0000F5010000}"/>
    <cellStyle name="_신태백(가실행)_1_합덕-신례원(2공구)투찰_경찰서-터미널간도로(투찰)② 2" xfId="1902" xr:uid="{9D889126-05CD-4AB6-993E-6ECBFF792EFB}"/>
    <cellStyle name="_신태백(가실행)_1_합덕-신례원(2공구)투찰_경찰서-터미널간도로(투찰)②_마현생창(동양고속)" xfId="503" xr:uid="{00000000-0005-0000-0000-0000F6010000}"/>
    <cellStyle name="_신태백(가실행)_1_합덕-신례원(2공구)투찰_경찰서-터미널간도로(투찰)②_마현생창(동양고속) 2" xfId="1903" xr:uid="{C7BC954B-B9B5-4BEB-982C-5A626983C560}"/>
    <cellStyle name="_신태백(가실행)_1_합덕-신례원(2공구)투찰_경찰서-터미널간도로(투찰)②_마현생창(동양고속)_왜관-태평건설" xfId="504" xr:uid="{00000000-0005-0000-0000-0000F7010000}"/>
    <cellStyle name="_신태백(가실행)_1_합덕-신례원(2공구)투찰_경찰서-터미널간도로(투찰)②_마현생창(동양고속)_왜관-태평건설 2" xfId="1904" xr:uid="{857E7C5B-2CD4-4759-A60C-DA80E9C36D81}"/>
    <cellStyle name="_신태백(가실행)_1_합덕-신례원(2공구)투찰_경찰서-터미널간도로(투찰)②_왜관-태평건설" xfId="505" xr:uid="{00000000-0005-0000-0000-0000F8010000}"/>
    <cellStyle name="_신태백(가실행)_1_합덕-신례원(2공구)투찰_경찰서-터미널간도로(투찰)②_왜관-태평건설 2" xfId="1905" xr:uid="{5B48A2C0-1220-457C-BD42-70DA95A51AB8}"/>
    <cellStyle name="_신태백(가실행)_1_합덕-신례원(2공구)투찰_마현생창(동양고속)" xfId="506" xr:uid="{00000000-0005-0000-0000-0000F9010000}"/>
    <cellStyle name="_신태백(가실행)_1_합덕-신례원(2공구)투찰_마현생창(동양고속) 2" xfId="1906" xr:uid="{D98CF0AC-8C8A-4570-AFE2-8F64EF1E449F}"/>
    <cellStyle name="_신태백(가실행)_1_합덕-신례원(2공구)투찰_마현생창(동양고속)_왜관-태평건설" xfId="507" xr:uid="{00000000-0005-0000-0000-0000FA010000}"/>
    <cellStyle name="_신태백(가실행)_1_합덕-신례원(2공구)투찰_마현생창(동양고속)_왜관-태평건설 2" xfId="1907" xr:uid="{DE088BD9-A21A-438D-8B2B-3FDC5D3C9432}"/>
    <cellStyle name="_신태백(가실행)_1_합덕-신례원(2공구)투찰_봉무지방산업단지도로(투찰)②" xfId="508" xr:uid="{00000000-0005-0000-0000-0000FB010000}"/>
    <cellStyle name="_신태백(가실행)_1_합덕-신례원(2공구)투찰_봉무지방산업단지도로(투찰)② 2" xfId="1908" xr:uid="{B3202BCC-6E6A-4019-8E7C-CB3085024A15}"/>
    <cellStyle name="_신태백(가실행)_1_합덕-신례원(2공구)투찰_봉무지방산업단지도로(투찰)②_마현생창(동양고속)" xfId="509" xr:uid="{00000000-0005-0000-0000-0000FC010000}"/>
    <cellStyle name="_신태백(가실행)_1_합덕-신례원(2공구)투찰_봉무지방산업단지도로(투찰)②_마현생창(동양고속) 2" xfId="1909" xr:uid="{120BFF37-754B-48C2-AA49-6C48E1F2B2B7}"/>
    <cellStyle name="_신태백(가실행)_1_합덕-신례원(2공구)투찰_봉무지방산업단지도로(투찰)②_마현생창(동양고속)_왜관-태평건설" xfId="510" xr:uid="{00000000-0005-0000-0000-0000FD010000}"/>
    <cellStyle name="_신태백(가실행)_1_합덕-신례원(2공구)투찰_봉무지방산업단지도로(투찰)②_마현생창(동양고속)_왜관-태평건설 2" xfId="1910" xr:uid="{51665E70-91D4-4C7F-9098-0F278B2004C3}"/>
    <cellStyle name="_신태백(가실행)_1_합덕-신례원(2공구)투찰_봉무지방산업단지도로(투찰)②_왜관-태평건설" xfId="511" xr:uid="{00000000-0005-0000-0000-0000FE010000}"/>
    <cellStyle name="_신태백(가실행)_1_합덕-신례원(2공구)투찰_봉무지방산업단지도로(투찰)②_왜관-태평건설 2" xfId="1911" xr:uid="{B99F2394-4933-43E2-BC94-6B6F24581132}"/>
    <cellStyle name="_신태백(가실행)_1_합덕-신례원(2공구)투찰_봉무지방산업단지도로(투찰)②+0.250%" xfId="512" xr:uid="{00000000-0005-0000-0000-0000FF010000}"/>
    <cellStyle name="_신태백(가실행)_1_합덕-신례원(2공구)투찰_봉무지방산업단지도로(투찰)②+0.250% 2" xfId="1912" xr:uid="{E7D3D591-4717-43C1-BDC2-81623CD6E3BF}"/>
    <cellStyle name="_신태백(가실행)_1_합덕-신례원(2공구)투찰_봉무지방산업단지도로(투찰)②+0.250%_마현생창(동양고속)" xfId="513" xr:uid="{00000000-0005-0000-0000-000000020000}"/>
    <cellStyle name="_신태백(가실행)_1_합덕-신례원(2공구)투찰_봉무지방산업단지도로(투찰)②+0.250%_마현생창(동양고속) 2" xfId="1913" xr:uid="{ABEC5481-62E9-4D27-86CB-8AE0C84282D2}"/>
    <cellStyle name="_신태백(가실행)_1_합덕-신례원(2공구)투찰_봉무지방산업단지도로(투찰)②+0.250%_마현생창(동양고속)_왜관-태평건설" xfId="514" xr:uid="{00000000-0005-0000-0000-000001020000}"/>
    <cellStyle name="_신태백(가실행)_1_합덕-신례원(2공구)투찰_봉무지방산업단지도로(투찰)②+0.250%_마현생창(동양고속)_왜관-태평건설 2" xfId="1914" xr:uid="{352CDE8D-3BE6-4D91-8D16-86E2DE614A96}"/>
    <cellStyle name="_신태백(가실행)_1_합덕-신례원(2공구)투찰_봉무지방산업단지도로(투찰)②+0.250%_왜관-태평건설" xfId="515" xr:uid="{00000000-0005-0000-0000-000002020000}"/>
    <cellStyle name="_신태백(가실행)_1_합덕-신례원(2공구)투찰_봉무지방산업단지도로(투찰)②+0.250%_왜관-태평건설 2" xfId="1915" xr:uid="{C63F75BB-512A-4A71-ADCA-B8DAA9A03D1D}"/>
    <cellStyle name="_신태백(가실행)_1_합덕-신례원(2공구)투찰_왜관-태평건설" xfId="516" xr:uid="{00000000-0005-0000-0000-000003020000}"/>
    <cellStyle name="_신태백(가실행)_1_합덕-신례원(2공구)투찰_왜관-태평건설 2" xfId="1916" xr:uid="{26676BAC-FA39-466E-B1FA-56025302E363}"/>
    <cellStyle name="_신태백(가실행)_1_합덕-신례원(2공구)투찰_합덕-신례원(2공구)투찰" xfId="517" xr:uid="{00000000-0005-0000-0000-000004020000}"/>
    <cellStyle name="_신태백(가실행)_1_합덕-신례원(2공구)투찰_합덕-신례원(2공구)투찰 2" xfId="1917" xr:uid="{1E4B6E8E-04B4-4BD7-A072-6DABE8561F23}"/>
    <cellStyle name="_신태백(가실행)_1_합덕-신례원(2공구)투찰_합덕-신례원(2공구)투찰_경찰서-터미널간도로(투찰)②" xfId="518" xr:uid="{00000000-0005-0000-0000-000005020000}"/>
    <cellStyle name="_신태백(가실행)_1_합덕-신례원(2공구)투찰_합덕-신례원(2공구)투찰_경찰서-터미널간도로(투찰)② 2" xfId="1918" xr:uid="{94C0DB38-6066-4F04-8195-BFC6D3B9CB73}"/>
    <cellStyle name="_신태백(가실행)_1_합덕-신례원(2공구)투찰_합덕-신례원(2공구)투찰_경찰서-터미널간도로(투찰)②_마현생창(동양고속)" xfId="519" xr:uid="{00000000-0005-0000-0000-000006020000}"/>
    <cellStyle name="_신태백(가실행)_1_합덕-신례원(2공구)투찰_합덕-신례원(2공구)투찰_경찰서-터미널간도로(투찰)②_마현생창(동양고속) 2" xfId="1919" xr:uid="{00AB1165-CE38-4F91-8C40-EDA92E150AC1}"/>
    <cellStyle name="_신태백(가실행)_1_합덕-신례원(2공구)투찰_합덕-신례원(2공구)투찰_경찰서-터미널간도로(투찰)②_마현생창(동양고속)_왜관-태평건설" xfId="520" xr:uid="{00000000-0005-0000-0000-000007020000}"/>
    <cellStyle name="_신태백(가실행)_1_합덕-신례원(2공구)투찰_합덕-신례원(2공구)투찰_경찰서-터미널간도로(투찰)②_마현생창(동양고속)_왜관-태평건설 2" xfId="1920" xr:uid="{54C15705-F8C3-4892-BF81-930C77774C0C}"/>
    <cellStyle name="_신태백(가실행)_1_합덕-신례원(2공구)투찰_합덕-신례원(2공구)투찰_경찰서-터미널간도로(투찰)②_왜관-태평건설" xfId="521" xr:uid="{00000000-0005-0000-0000-000008020000}"/>
    <cellStyle name="_신태백(가실행)_1_합덕-신례원(2공구)투찰_합덕-신례원(2공구)투찰_경찰서-터미널간도로(투찰)②_왜관-태평건설 2" xfId="1921" xr:uid="{D6C948CC-3844-478F-9A6E-B74F07E314B9}"/>
    <cellStyle name="_신태백(가실행)_1_합덕-신례원(2공구)투찰_합덕-신례원(2공구)투찰_마현생창(동양고속)" xfId="522" xr:uid="{00000000-0005-0000-0000-000009020000}"/>
    <cellStyle name="_신태백(가실행)_1_합덕-신례원(2공구)투찰_합덕-신례원(2공구)투찰_마현생창(동양고속) 2" xfId="1922" xr:uid="{DD2B4F30-78F9-423E-9D20-7BCAD722B755}"/>
    <cellStyle name="_신태백(가실행)_1_합덕-신례원(2공구)투찰_합덕-신례원(2공구)투찰_마현생창(동양고속)_왜관-태평건설" xfId="523" xr:uid="{00000000-0005-0000-0000-00000A020000}"/>
    <cellStyle name="_신태백(가실행)_1_합덕-신례원(2공구)투찰_합덕-신례원(2공구)투찰_마현생창(동양고속)_왜관-태평건설 2" xfId="1923" xr:uid="{FD0531F6-C9F7-40D6-9113-A41DBCD264FA}"/>
    <cellStyle name="_신태백(가실행)_1_합덕-신례원(2공구)투찰_합덕-신례원(2공구)투찰_봉무지방산업단지도로(투찰)②" xfId="524" xr:uid="{00000000-0005-0000-0000-00000B020000}"/>
    <cellStyle name="_신태백(가실행)_1_합덕-신례원(2공구)투찰_합덕-신례원(2공구)투찰_봉무지방산업단지도로(투찰)② 2" xfId="1924" xr:uid="{A8688672-2953-4771-B2D9-2A5060BC3A1D}"/>
    <cellStyle name="_신태백(가실행)_1_합덕-신례원(2공구)투찰_합덕-신례원(2공구)투찰_봉무지방산업단지도로(투찰)②_마현생창(동양고속)" xfId="525" xr:uid="{00000000-0005-0000-0000-00000C020000}"/>
    <cellStyle name="_신태백(가실행)_1_합덕-신례원(2공구)투찰_합덕-신례원(2공구)투찰_봉무지방산업단지도로(투찰)②_마현생창(동양고속) 2" xfId="1925" xr:uid="{7592A907-BDE9-42BA-848D-C01FBFF0F380}"/>
    <cellStyle name="_신태백(가실행)_1_합덕-신례원(2공구)투찰_합덕-신례원(2공구)투찰_봉무지방산업단지도로(투찰)②_마현생창(동양고속)_왜관-태평건설" xfId="526" xr:uid="{00000000-0005-0000-0000-00000D020000}"/>
    <cellStyle name="_신태백(가실행)_1_합덕-신례원(2공구)투찰_합덕-신례원(2공구)투찰_봉무지방산업단지도로(투찰)②_마현생창(동양고속)_왜관-태평건설 2" xfId="1926" xr:uid="{2A79AF1F-2A64-47C1-9996-C38968FA0005}"/>
    <cellStyle name="_신태백(가실행)_1_합덕-신례원(2공구)투찰_합덕-신례원(2공구)투찰_봉무지방산업단지도로(투찰)②_왜관-태평건설" xfId="527" xr:uid="{00000000-0005-0000-0000-00000E020000}"/>
    <cellStyle name="_신태백(가실행)_1_합덕-신례원(2공구)투찰_합덕-신례원(2공구)투찰_봉무지방산업단지도로(투찰)②_왜관-태평건설 2" xfId="1927" xr:uid="{5E6B935A-F1EE-4FF9-A133-3D9A2FEAD6CC}"/>
    <cellStyle name="_신태백(가실행)_1_합덕-신례원(2공구)투찰_합덕-신례원(2공구)투찰_봉무지방산업단지도로(투찰)②+0.250%" xfId="528" xr:uid="{00000000-0005-0000-0000-00000F020000}"/>
    <cellStyle name="_신태백(가실행)_1_합덕-신례원(2공구)투찰_합덕-신례원(2공구)투찰_봉무지방산업단지도로(투찰)②+0.250% 2" xfId="1928" xr:uid="{F9F1D65D-E24D-47D2-8612-9E13377E4383}"/>
    <cellStyle name="_신태백(가실행)_1_합덕-신례원(2공구)투찰_합덕-신례원(2공구)투찰_봉무지방산업단지도로(투찰)②+0.250%_마현생창(동양고속)" xfId="529" xr:uid="{00000000-0005-0000-0000-000010020000}"/>
    <cellStyle name="_신태백(가실행)_1_합덕-신례원(2공구)투찰_합덕-신례원(2공구)투찰_봉무지방산업단지도로(투찰)②+0.250%_마현생창(동양고속) 2" xfId="1929" xr:uid="{45B1FE14-C79A-4BFF-B4E2-BC99AC8D9A3A}"/>
    <cellStyle name="_신태백(가실행)_1_합덕-신례원(2공구)투찰_합덕-신례원(2공구)투찰_봉무지방산업단지도로(투찰)②+0.250%_마현생창(동양고속)_왜관-태평건설" xfId="530" xr:uid="{00000000-0005-0000-0000-000011020000}"/>
    <cellStyle name="_신태백(가실행)_1_합덕-신례원(2공구)투찰_합덕-신례원(2공구)투찰_봉무지방산업단지도로(투찰)②+0.250%_마현생창(동양고속)_왜관-태평건설 2" xfId="1930" xr:uid="{54220DBB-50BC-487C-AB6A-D745EF4EBDB9}"/>
    <cellStyle name="_신태백(가실행)_1_합덕-신례원(2공구)투찰_합덕-신례원(2공구)투찰_봉무지방산업단지도로(투찰)②+0.250%_왜관-태평건설" xfId="531" xr:uid="{00000000-0005-0000-0000-000012020000}"/>
    <cellStyle name="_신태백(가실행)_1_합덕-신례원(2공구)투찰_합덕-신례원(2공구)투찰_봉무지방산업단지도로(투찰)②+0.250%_왜관-태평건설 2" xfId="1931" xr:uid="{0C99225F-ABC2-4784-A1A3-F5E3612B6C65}"/>
    <cellStyle name="_신태백(가실행)_1_합덕-신례원(2공구)투찰_합덕-신례원(2공구)투찰_왜관-태평건설" xfId="532" xr:uid="{00000000-0005-0000-0000-000013020000}"/>
    <cellStyle name="_신태백(가실행)_1_합덕-신례원(2공구)투찰_합덕-신례원(2공구)투찰_왜관-태평건설 2" xfId="1932" xr:uid="{90331A62-11D7-4DF2-9EC4-852633C2DD88}"/>
    <cellStyle name="_신태백(가실행)_경찰서-터미널간도로(투찰)②" xfId="533" xr:uid="{00000000-0005-0000-0000-000014020000}"/>
    <cellStyle name="_신태백(가실행)_경찰서-터미널간도로(투찰)② 2" xfId="1933" xr:uid="{0A0F1238-9E29-4F55-BE21-CCDB266B9D0A}"/>
    <cellStyle name="_신태백(가실행)_경찰서-터미널간도로(투찰)②_마현생창(동양고속)" xfId="534" xr:uid="{00000000-0005-0000-0000-000015020000}"/>
    <cellStyle name="_신태백(가실행)_경찰서-터미널간도로(투찰)②_마현생창(동양고속) 2" xfId="1934" xr:uid="{6F04EED2-CE0E-4B9F-8A64-3B99351CBB24}"/>
    <cellStyle name="_신태백(가실행)_경찰서-터미널간도로(투찰)②_마현생창(동양고속)_왜관-태평건설" xfId="535" xr:uid="{00000000-0005-0000-0000-000016020000}"/>
    <cellStyle name="_신태백(가실행)_경찰서-터미널간도로(투찰)②_마현생창(동양고속)_왜관-태평건설 2" xfId="1935" xr:uid="{E7FA103F-5BCC-4A83-80C9-CB8C67A39BD4}"/>
    <cellStyle name="_신태백(가실행)_경찰서-터미널간도로(투찰)②_왜관-태평건설" xfId="536" xr:uid="{00000000-0005-0000-0000-000017020000}"/>
    <cellStyle name="_신태백(가실행)_경찰서-터미널간도로(투찰)②_왜관-태평건설 2" xfId="1936" xr:uid="{DA1C5C05-EEA5-4BBD-A91D-93A1829C8DEB}"/>
    <cellStyle name="_신태백(가실행)_도덕-고흥도로(투찰)" xfId="537" xr:uid="{00000000-0005-0000-0000-000018020000}"/>
    <cellStyle name="_신태백(가실행)_도덕-고흥도로(투찰) 2" xfId="1937" xr:uid="{4CC4D1AF-FCBF-40A4-B7B3-63C469BB5FCA}"/>
    <cellStyle name="_신태백(가실행)_도덕-고흥도로(투찰)_경찰서-터미널간도로(투찰)②" xfId="538" xr:uid="{00000000-0005-0000-0000-000019020000}"/>
    <cellStyle name="_신태백(가실행)_도덕-고흥도로(투찰)_경찰서-터미널간도로(투찰)② 2" xfId="1938" xr:uid="{6C0F96DB-2138-4653-89FE-A29C18855444}"/>
    <cellStyle name="_신태백(가실행)_도덕-고흥도로(투찰)_경찰서-터미널간도로(투찰)②_마현생창(동양고속)" xfId="539" xr:uid="{00000000-0005-0000-0000-00001A020000}"/>
    <cellStyle name="_신태백(가실행)_도덕-고흥도로(투찰)_경찰서-터미널간도로(투찰)②_마현생창(동양고속) 2" xfId="1939" xr:uid="{005CFABE-2396-40DD-A4C0-F3A61AF3033C}"/>
    <cellStyle name="_신태백(가실행)_도덕-고흥도로(투찰)_경찰서-터미널간도로(투찰)②_마현생창(동양고속)_왜관-태평건설" xfId="540" xr:uid="{00000000-0005-0000-0000-00001B020000}"/>
    <cellStyle name="_신태백(가실행)_도덕-고흥도로(투찰)_경찰서-터미널간도로(투찰)②_마현생창(동양고속)_왜관-태평건설 2" xfId="1940" xr:uid="{4B081493-6B73-4A42-B37E-B128654E14CD}"/>
    <cellStyle name="_신태백(가실행)_도덕-고흥도로(투찰)_경찰서-터미널간도로(투찰)②_왜관-태평건설" xfId="541" xr:uid="{00000000-0005-0000-0000-00001C020000}"/>
    <cellStyle name="_신태백(가실행)_도덕-고흥도로(투찰)_경찰서-터미널간도로(투찰)②_왜관-태평건설 2" xfId="1941" xr:uid="{6D98A16F-1E5A-4272-AF5E-337B67ECD16B}"/>
    <cellStyle name="_신태백(가실행)_도덕-고흥도로(투찰)_마현생창(동양고속)" xfId="542" xr:uid="{00000000-0005-0000-0000-00001D020000}"/>
    <cellStyle name="_신태백(가실행)_도덕-고흥도로(투찰)_마현생창(동양고속) 2" xfId="1942" xr:uid="{4810B101-DECB-4A11-9776-129B0F9E73D5}"/>
    <cellStyle name="_신태백(가실행)_도덕-고흥도로(투찰)_마현생창(동양고속)_왜관-태평건설" xfId="543" xr:uid="{00000000-0005-0000-0000-00001E020000}"/>
    <cellStyle name="_신태백(가실행)_도덕-고흥도로(투찰)_마현생창(동양고속)_왜관-태평건설 2" xfId="1943" xr:uid="{43165F11-4A93-4234-A3BA-BF62DC40D60F}"/>
    <cellStyle name="_신태백(가실행)_도덕-고흥도로(투찰)_봉무지방산업단지도로(투찰)②" xfId="544" xr:uid="{00000000-0005-0000-0000-00001F020000}"/>
    <cellStyle name="_신태백(가실행)_도덕-고흥도로(투찰)_봉무지방산업단지도로(투찰)② 2" xfId="1944" xr:uid="{0F185DAA-F443-4162-AE76-EFD74E95639E}"/>
    <cellStyle name="_신태백(가실행)_도덕-고흥도로(투찰)_봉무지방산업단지도로(투찰)②_마현생창(동양고속)" xfId="545" xr:uid="{00000000-0005-0000-0000-000020020000}"/>
    <cellStyle name="_신태백(가실행)_도덕-고흥도로(투찰)_봉무지방산업단지도로(투찰)②_마현생창(동양고속) 2" xfId="1945" xr:uid="{F158CBAD-E014-41AB-8B57-201B42A616F1}"/>
    <cellStyle name="_신태백(가실행)_도덕-고흥도로(투찰)_봉무지방산업단지도로(투찰)②_마현생창(동양고속)_왜관-태평건설" xfId="546" xr:uid="{00000000-0005-0000-0000-000021020000}"/>
    <cellStyle name="_신태백(가실행)_도덕-고흥도로(투찰)_봉무지방산업단지도로(투찰)②_마현생창(동양고속)_왜관-태평건설 2" xfId="1946" xr:uid="{E78EEC14-D382-4D0F-89AE-F08CADC3C09E}"/>
    <cellStyle name="_신태백(가실행)_도덕-고흥도로(투찰)_봉무지방산업단지도로(투찰)②_왜관-태평건설" xfId="547" xr:uid="{00000000-0005-0000-0000-000022020000}"/>
    <cellStyle name="_신태백(가실행)_도덕-고흥도로(투찰)_봉무지방산업단지도로(투찰)②_왜관-태평건설 2" xfId="1947" xr:uid="{E1CEF4C7-2882-4500-945E-9F631AC3A1B5}"/>
    <cellStyle name="_신태백(가실행)_도덕-고흥도로(투찰)_봉무지방산업단지도로(투찰)②+0.250%" xfId="548" xr:uid="{00000000-0005-0000-0000-000023020000}"/>
    <cellStyle name="_신태백(가실행)_도덕-고흥도로(투찰)_봉무지방산업단지도로(투찰)②+0.250% 2" xfId="1948" xr:uid="{372F7601-C9BF-4B7F-B382-D25AF044DA8D}"/>
    <cellStyle name="_신태백(가실행)_도덕-고흥도로(투찰)_봉무지방산업단지도로(투찰)②+0.250%_마현생창(동양고속)" xfId="549" xr:uid="{00000000-0005-0000-0000-000024020000}"/>
    <cellStyle name="_신태백(가실행)_도덕-고흥도로(투찰)_봉무지방산업단지도로(투찰)②+0.250%_마현생창(동양고속) 2" xfId="1949" xr:uid="{3058A0E1-1491-4CB6-A766-880C50EBF461}"/>
    <cellStyle name="_신태백(가실행)_도덕-고흥도로(투찰)_봉무지방산업단지도로(투찰)②+0.250%_마현생창(동양고속)_왜관-태평건설" xfId="550" xr:uid="{00000000-0005-0000-0000-000025020000}"/>
    <cellStyle name="_신태백(가실행)_도덕-고흥도로(투찰)_봉무지방산업단지도로(투찰)②+0.250%_마현생창(동양고속)_왜관-태평건설 2" xfId="1950" xr:uid="{F545C165-04FC-4019-A028-5740EEC6887C}"/>
    <cellStyle name="_신태백(가실행)_도덕-고흥도로(투찰)_봉무지방산업단지도로(투찰)②+0.250%_왜관-태평건설" xfId="551" xr:uid="{00000000-0005-0000-0000-000026020000}"/>
    <cellStyle name="_신태백(가실행)_도덕-고흥도로(투찰)_봉무지방산업단지도로(투찰)②+0.250%_왜관-태평건설 2" xfId="1951" xr:uid="{D7915F82-A158-41CB-84B1-14DB1E6CA8A5}"/>
    <cellStyle name="_신태백(가실행)_도덕-고흥도로(투찰)_왜관-태평건설" xfId="552" xr:uid="{00000000-0005-0000-0000-000027020000}"/>
    <cellStyle name="_신태백(가실행)_도덕-고흥도로(투찰)_왜관-태평건설 2" xfId="1952" xr:uid="{0FB6B78F-A607-4319-BAFB-4C3E7AE5FF27}"/>
    <cellStyle name="_신태백(가실행)_도덕-고흥도로(투찰)_합덕-신례원(2공구)투찰" xfId="553" xr:uid="{00000000-0005-0000-0000-000028020000}"/>
    <cellStyle name="_신태백(가실행)_도덕-고흥도로(투찰)_합덕-신례원(2공구)투찰 2" xfId="1953" xr:uid="{30EF0C18-0025-4B67-9B6F-518FCAD57D7A}"/>
    <cellStyle name="_신태백(가실행)_도덕-고흥도로(투찰)_합덕-신례원(2공구)투찰_경찰서-터미널간도로(투찰)②" xfId="554" xr:uid="{00000000-0005-0000-0000-000029020000}"/>
    <cellStyle name="_신태백(가실행)_도덕-고흥도로(투찰)_합덕-신례원(2공구)투찰_경찰서-터미널간도로(투찰)② 2" xfId="1954" xr:uid="{88A86A1D-8508-470C-B6AE-E8F414F05828}"/>
    <cellStyle name="_신태백(가실행)_도덕-고흥도로(투찰)_합덕-신례원(2공구)투찰_경찰서-터미널간도로(투찰)②_마현생창(동양고속)" xfId="555" xr:uid="{00000000-0005-0000-0000-00002A020000}"/>
    <cellStyle name="_신태백(가실행)_도덕-고흥도로(투찰)_합덕-신례원(2공구)투찰_경찰서-터미널간도로(투찰)②_마현생창(동양고속) 2" xfId="1955" xr:uid="{BC849454-C183-460D-B729-37C0B73BCCB1}"/>
    <cellStyle name="_신태백(가실행)_도덕-고흥도로(투찰)_합덕-신례원(2공구)투찰_경찰서-터미널간도로(투찰)②_마현생창(동양고속)_왜관-태평건설" xfId="556" xr:uid="{00000000-0005-0000-0000-00002B020000}"/>
    <cellStyle name="_신태백(가실행)_도덕-고흥도로(투찰)_합덕-신례원(2공구)투찰_경찰서-터미널간도로(투찰)②_마현생창(동양고속)_왜관-태평건설 2" xfId="1956" xr:uid="{10CA0E2E-51C2-47DF-9E16-36F486EB336D}"/>
    <cellStyle name="_신태백(가실행)_도덕-고흥도로(투찰)_합덕-신례원(2공구)투찰_경찰서-터미널간도로(투찰)②_왜관-태평건설" xfId="557" xr:uid="{00000000-0005-0000-0000-00002C020000}"/>
    <cellStyle name="_신태백(가실행)_도덕-고흥도로(투찰)_합덕-신례원(2공구)투찰_경찰서-터미널간도로(투찰)②_왜관-태평건설 2" xfId="1957" xr:uid="{A631DF11-9BD2-4134-9DBC-B5B508D5ACF4}"/>
    <cellStyle name="_신태백(가실행)_도덕-고흥도로(투찰)_합덕-신례원(2공구)투찰_마현생창(동양고속)" xfId="558" xr:uid="{00000000-0005-0000-0000-00002D020000}"/>
    <cellStyle name="_신태백(가실행)_도덕-고흥도로(투찰)_합덕-신례원(2공구)투찰_마현생창(동양고속) 2" xfId="1958" xr:uid="{93675B13-1FCA-4952-B84A-940DEA553075}"/>
    <cellStyle name="_신태백(가실행)_도덕-고흥도로(투찰)_합덕-신례원(2공구)투찰_마현생창(동양고속)_왜관-태평건설" xfId="559" xr:uid="{00000000-0005-0000-0000-00002E020000}"/>
    <cellStyle name="_신태백(가실행)_도덕-고흥도로(투찰)_합덕-신례원(2공구)투찰_마현생창(동양고속)_왜관-태평건설 2" xfId="1959" xr:uid="{A15FEFA2-6BF2-4AD8-91EF-EAD47EE9E138}"/>
    <cellStyle name="_신태백(가실행)_도덕-고흥도로(투찰)_합덕-신례원(2공구)투찰_봉무지방산업단지도로(투찰)②" xfId="560" xr:uid="{00000000-0005-0000-0000-00002F020000}"/>
    <cellStyle name="_신태백(가실행)_도덕-고흥도로(투찰)_합덕-신례원(2공구)투찰_봉무지방산업단지도로(투찰)② 2" xfId="1960" xr:uid="{C81DA8E3-F11F-4B9A-9CA1-087F70875308}"/>
    <cellStyle name="_신태백(가실행)_도덕-고흥도로(투찰)_합덕-신례원(2공구)투찰_봉무지방산업단지도로(투찰)②_마현생창(동양고속)" xfId="561" xr:uid="{00000000-0005-0000-0000-000030020000}"/>
    <cellStyle name="_신태백(가실행)_도덕-고흥도로(투찰)_합덕-신례원(2공구)투찰_봉무지방산업단지도로(투찰)②_마현생창(동양고속) 2" xfId="1961" xr:uid="{82BBBCDB-E94D-47D3-A40B-A0F74007F314}"/>
    <cellStyle name="_신태백(가실행)_도덕-고흥도로(투찰)_합덕-신례원(2공구)투찰_봉무지방산업단지도로(투찰)②_마현생창(동양고속)_왜관-태평건설" xfId="562" xr:uid="{00000000-0005-0000-0000-000031020000}"/>
    <cellStyle name="_신태백(가실행)_도덕-고흥도로(투찰)_합덕-신례원(2공구)투찰_봉무지방산업단지도로(투찰)②_마현생창(동양고속)_왜관-태평건설 2" xfId="1962" xr:uid="{6A9798A9-F96B-4467-831A-900392A0DFAA}"/>
    <cellStyle name="_신태백(가실행)_도덕-고흥도로(투찰)_합덕-신례원(2공구)투찰_봉무지방산업단지도로(투찰)②_왜관-태평건설" xfId="563" xr:uid="{00000000-0005-0000-0000-000032020000}"/>
    <cellStyle name="_신태백(가실행)_도덕-고흥도로(투찰)_합덕-신례원(2공구)투찰_봉무지방산업단지도로(투찰)②_왜관-태평건설 2" xfId="1963" xr:uid="{93265C1A-59EC-4E68-9E8F-0FB2664A3AAA}"/>
    <cellStyle name="_신태백(가실행)_도덕-고흥도로(투찰)_합덕-신례원(2공구)투찰_봉무지방산업단지도로(투찰)②+0.250%" xfId="564" xr:uid="{00000000-0005-0000-0000-000033020000}"/>
    <cellStyle name="_신태백(가실행)_도덕-고흥도로(투찰)_합덕-신례원(2공구)투찰_봉무지방산업단지도로(투찰)②+0.250% 2" xfId="1964" xr:uid="{736C8B2F-E689-4E0E-B0EF-C3F98AC2DCDF}"/>
    <cellStyle name="_신태백(가실행)_도덕-고흥도로(투찰)_합덕-신례원(2공구)투찰_봉무지방산업단지도로(투찰)②+0.250%_마현생창(동양고속)" xfId="565" xr:uid="{00000000-0005-0000-0000-000034020000}"/>
    <cellStyle name="_신태백(가실행)_도덕-고흥도로(투찰)_합덕-신례원(2공구)투찰_봉무지방산업단지도로(투찰)②+0.250%_마현생창(동양고속) 2" xfId="1965" xr:uid="{3BD01E7B-5080-4D46-A4A8-10444B3348A3}"/>
    <cellStyle name="_신태백(가실행)_도덕-고흥도로(투찰)_합덕-신례원(2공구)투찰_봉무지방산업단지도로(투찰)②+0.250%_마현생창(동양고속)_왜관-태평건설" xfId="566" xr:uid="{00000000-0005-0000-0000-000035020000}"/>
    <cellStyle name="_신태백(가실행)_도덕-고흥도로(투찰)_합덕-신례원(2공구)투찰_봉무지방산업단지도로(투찰)②+0.250%_마현생창(동양고속)_왜관-태평건설 2" xfId="1966" xr:uid="{FE8B2571-D0EE-4497-890A-8A695E094C11}"/>
    <cellStyle name="_신태백(가실행)_도덕-고흥도로(투찰)_합덕-신례원(2공구)투찰_봉무지방산업단지도로(투찰)②+0.250%_왜관-태평건설" xfId="567" xr:uid="{00000000-0005-0000-0000-000036020000}"/>
    <cellStyle name="_신태백(가실행)_도덕-고흥도로(투찰)_합덕-신례원(2공구)투찰_봉무지방산업단지도로(투찰)②+0.250%_왜관-태평건설 2" xfId="1967" xr:uid="{4F9F73D8-35BF-4242-99A6-DB97672BB8D2}"/>
    <cellStyle name="_신태백(가실행)_도덕-고흥도로(투찰)_합덕-신례원(2공구)투찰_왜관-태평건설" xfId="568" xr:uid="{00000000-0005-0000-0000-000037020000}"/>
    <cellStyle name="_신태백(가실행)_도덕-고흥도로(투찰)_합덕-신례원(2공구)투찰_왜관-태평건설 2" xfId="1968" xr:uid="{1FB6F4BC-F31D-4EF9-B518-468105AC292C}"/>
    <cellStyle name="_신태백(가실행)_도덕-고흥도로(투찰)_합덕-신례원(2공구)투찰_합덕-신례원(2공구)투찰" xfId="569" xr:uid="{00000000-0005-0000-0000-000038020000}"/>
    <cellStyle name="_신태백(가실행)_도덕-고흥도로(투찰)_합덕-신례원(2공구)투찰_합덕-신례원(2공구)투찰 2" xfId="1969" xr:uid="{A12F9A83-25C8-437B-873A-9089D869298F}"/>
    <cellStyle name="_신태백(가실행)_도덕-고흥도로(투찰)_합덕-신례원(2공구)투찰_합덕-신례원(2공구)투찰_경찰서-터미널간도로(투찰)②" xfId="570" xr:uid="{00000000-0005-0000-0000-000039020000}"/>
    <cellStyle name="_신태백(가실행)_도덕-고흥도로(투찰)_합덕-신례원(2공구)투찰_합덕-신례원(2공구)투찰_경찰서-터미널간도로(투찰)② 2" xfId="1970" xr:uid="{C5D983B5-308B-4725-BE2C-B6298FE8B1E8}"/>
    <cellStyle name="_신태백(가실행)_도덕-고흥도로(투찰)_합덕-신례원(2공구)투찰_합덕-신례원(2공구)투찰_경찰서-터미널간도로(투찰)②_마현생창(동양고속)" xfId="571" xr:uid="{00000000-0005-0000-0000-00003A020000}"/>
    <cellStyle name="_신태백(가실행)_도덕-고흥도로(투찰)_합덕-신례원(2공구)투찰_합덕-신례원(2공구)투찰_경찰서-터미널간도로(투찰)②_마현생창(동양고속) 2" xfId="1971" xr:uid="{F18495F5-EB15-41C8-95F9-CDDF7AA338CB}"/>
    <cellStyle name="_신태백(가실행)_도덕-고흥도로(투찰)_합덕-신례원(2공구)투찰_합덕-신례원(2공구)투찰_경찰서-터미널간도로(투찰)②_마현생창(동양고속)_왜관-태평건설" xfId="572" xr:uid="{00000000-0005-0000-0000-00003B020000}"/>
    <cellStyle name="_신태백(가실행)_도덕-고흥도로(투찰)_합덕-신례원(2공구)투찰_합덕-신례원(2공구)투찰_경찰서-터미널간도로(투찰)②_마현생창(동양고속)_왜관-태평건설 2" xfId="1972" xr:uid="{71D1EC62-4473-4E10-A6CF-7CC9ED49BEA9}"/>
    <cellStyle name="_신태백(가실행)_도덕-고흥도로(투찰)_합덕-신례원(2공구)투찰_합덕-신례원(2공구)투찰_경찰서-터미널간도로(투찰)②_왜관-태평건설" xfId="573" xr:uid="{00000000-0005-0000-0000-00003C020000}"/>
    <cellStyle name="_신태백(가실행)_도덕-고흥도로(투찰)_합덕-신례원(2공구)투찰_합덕-신례원(2공구)투찰_경찰서-터미널간도로(투찰)②_왜관-태평건설 2" xfId="1973" xr:uid="{42B6D70F-2821-4222-8192-74E5E9251AC1}"/>
    <cellStyle name="_신태백(가실행)_도덕-고흥도로(투찰)_합덕-신례원(2공구)투찰_합덕-신례원(2공구)투찰_마현생창(동양고속)" xfId="574" xr:uid="{00000000-0005-0000-0000-00003D020000}"/>
    <cellStyle name="_신태백(가실행)_도덕-고흥도로(투찰)_합덕-신례원(2공구)투찰_합덕-신례원(2공구)투찰_마현생창(동양고속) 2" xfId="1974" xr:uid="{F004C252-17A6-4A64-8C93-5F0196545DC8}"/>
    <cellStyle name="_신태백(가실행)_도덕-고흥도로(투찰)_합덕-신례원(2공구)투찰_합덕-신례원(2공구)투찰_마현생창(동양고속)_왜관-태평건설" xfId="575" xr:uid="{00000000-0005-0000-0000-00003E020000}"/>
    <cellStyle name="_신태백(가실행)_도덕-고흥도로(투찰)_합덕-신례원(2공구)투찰_합덕-신례원(2공구)투찰_마현생창(동양고속)_왜관-태평건설 2" xfId="1975" xr:uid="{2FE04172-E151-4D48-8CC4-7B10650CB136}"/>
    <cellStyle name="_신태백(가실행)_도덕-고흥도로(투찰)_합덕-신례원(2공구)투찰_합덕-신례원(2공구)투찰_봉무지방산업단지도로(투찰)②" xfId="576" xr:uid="{00000000-0005-0000-0000-00003F020000}"/>
    <cellStyle name="_신태백(가실행)_도덕-고흥도로(투찰)_합덕-신례원(2공구)투찰_합덕-신례원(2공구)투찰_봉무지방산업단지도로(투찰)② 2" xfId="1976" xr:uid="{3A8E6F09-2F2D-4153-B6E8-CDDA86FCB95B}"/>
    <cellStyle name="_신태백(가실행)_도덕-고흥도로(투찰)_합덕-신례원(2공구)투찰_합덕-신례원(2공구)투찰_봉무지방산업단지도로(투찰)②_마현생창(동양고속)" xfId="577" xr:uid="{00000000-0005-0000-0000-000040020000}"/>
    <cellStyle name="_신태백(가실행)_도덕-고흥도로(투찰)_합덕-신례원(2공구)투찰_합덕-신례원(2공구)투찰_봉무지방산업단지도로(투찰)②_마현생창(동양고속) 2" xfId="1977" xr:uid="{785029DE-E1A1-4185-B917-5BA50443B575}"/>
    <cellStyle name="_신태백(가실행)_도덕-고흥도로(투찰)_합덕-신례원(2공구)투찰_합덕-신례원(2공구)투찰_봉무지방산업단지도로(투찰)②_마현생창(동양고속)_왜관-태평건설" xfId="578" xr:uid="{00000000-0005-0000-0000-000041020000}"/>
    <cellStyle name="_신태백(가실행)_도덕-고흥도로(투찰)_합덕-신례원(2공구)투찰_합덕-신례원(2공구)투찰_봉무지방산업단지도로(투찰)②_마현생창(동양고속)_왜관-태평건설 2" xfId="1978" xr:uid="{CB0C6AE8-07A1-4362-8B55-5A999F529A9E}"/>
    <cellStyle name="_신태백(가실행)_도덕-고흥도로(투찰)_합덕-신례원(2공구)투찰_합덕-신례원(2공구)투찰_봉무지방산업단지도로(투찰)②_왜관-태평건설" xfId="579" xr:uid="{00000000-0005-0000-0000-000042020000}"/>
    <cellStyle name="_신태백(가실행)_도덕-고흥도로(투찰)_합덕-신례원(2공구)투찰_합덕-신례원(2공구)투찰_봉무지방산업단지도로(투찰)②_왜관-태평건설 2" xfId="1979" xr:uid="{0EDBAE79-2178-4622-AADF-BDAC2BDA4ACA}"/>
    <cellStyle name="_신태백(가실행)_도덕-고흥도로(투찰)_합덕-신례원(2공구)투찰_합덕-신례원(2공구)투찰_봉무지방산업단지도로(투찰)②+0.250%" xfId="580" xr:uid="{00000000-0005-0000-0000-000043020000}"/>
    <cellStyle name="_신태백(가실행)_도덕-고흥도로(투찰)_합덕-신례원(2공구)투찰_합덕-신례원(2공구)투찰_봉무지방산업단지도로(투찰)②+0.250% 2" xfId="1980" xr:uid="{9999D978-9D46-468C-945E-AEEF3CF423E9}"/>
    <cellStyle name="_신태백(가실행)_도덕-고흥도로(투찰)_합덕-신례원(2공구)투찰_합덕-신례원(2공구)투찰_봉무지방산업단지도로(투찰)②+0.250%_마현생창(동양고속)" xfId="581" xr:uid="{00000000-0005-0000-0000-000044020000}"/>
    <cellStyle name="_신태백(가실행)_도덕-고흥도로(투찰)_합덕-신례원(2공구)투찰_합덕-신례원(2공구)투찰_봉무지방산업단지도로(투찰)②+0.250%_마현생창(동양고속) 2" xfId="1981" xr:uid="{257DB555-3364-4A39-AB3E-3DCD24DE6A24}"/>
    <cellStyle name="_신태백(가실행)_도덕-고흥도로(투찰)_합덕-신례원(2공구)투찰_합덕-신례원(2공구)투찰_봉무지방산업단지도로(투찰)②+0.250%_마현생창(동양고속)_왜관-태평건설" xfId="582" xr:uid="{00000000-0005-0000-0000-000045020000}"/>
    <cellStyle name="_신태백(가실행)_도덕-고흥도로(투찰)_합덕-신례원(2공구)투찰_합덕-신례원(2공구)투찰_봉무지방산업단지도로(투찰)②+0.250%_마현생창(동양고속)_왜관-태평건설 2" xfId="1982" xr:uid="{F43DE344-921D-4A29-84B3-E56FA8C2C51A}"/>
    <cellStyle name="_신태백(가실행)_도덕-고흥도로(투찰)_합덕-신례원(2공구)투찰_합덕-신례원(2공구)투찰_봉무지방산업단지도로(투찰)②+0.250%_왜관-태평건설" xfId="583" xr:uid="{00000000-0005-0000-0000-000046020000}"/>
    <cellStyle name="_신태백(가실행)_도덕-고흥도로(투찰)_합덕-신례원(2공구)투찰_합덕-신례원(2공구)투찰_봉무지방산업단지도로(투찰)②+0.250%_왜관-태평건설 2" xfId="1983" xr:uid="{33EFF7BC-1EFD-4A6C-8E4F-EA6975680D4F}"/>
    <cellStyle name="_신태백(가실행)_도덕-고흥도로(투찰)_합덕-신례원(2공구)투찰_합덕-신례원(2공구)투찰_왜관-태평건설" xfId="584" xr:uid="{00000000-0005-0000-0000-000047020000}"/>
    <cellStyle name="_신태백(가실행)_도덕-고흥도로(투찰)_합덕-신례원(2공구)투찰_합덕-신례원(2공구)투찰_왜관-태평건설 2" xfId="1984" xr:uid="{010401CF-9C13-4EB0-8150-CE223FAEF06E}"/>
    <cellStyle name="_신태백(가실행)_마현생창(동양고속)" xfId="585" xr:uid="{00000000-0005-0000-0000-000048020000}"/>
    <cellStyle name="_신태백(가실행)_마현생창(동양고속) 2" xfId="1985" xr:uid="{C28028DA-E7B4-4800-9102-D118A5A5B746}"/>
    <cellStyle name="_신태백(가실행)_마현생창(동양고속)_왜관-태평건설" xfId="586" xr:uid="{00000000-0005-0000-0000-000049020000}"/>
    <cellStyle name="_신태백(가실행)_마현생창(동양고속)_왜관-태평건설 2" xfId="1986" xr:uid="{1264E7D7-FAE9-46D8-949B-59BF557CABB5}"/>
    <cellStyle name="_신태백(가실행)_봉무지방산업단지도로(투찰)②" xfId="587" xr:uid="{00000000-0005-0000-0000-00004A020000}"/>
    <cellStyle name="_신태백(가실행)_봉무지방산업단지도로(투찰)② 2" xfId="1987" xr:uid="{7C503480-BB1C-49A7-B962-EF1EF1474EAF}"/>
    <cellStyle name="_신태백(가실행)_봉무지방산업단지도로(투찰)②_마현생창(동양고속)" xfId="588" xr:uid="{00000000-0005-0000-0000-00004B020000}"/>
    <cellStyle name="_신태백(가실행)_봉무지방산업단지도로(투찰)②_마현생창(동양고속) 2" xfId="1988" xr:uid="{01172286-1E9D-4E89-B6D9-B97A8211F2B1}"/>
    <cellStyle name="_신태백(가실행)_봉무지방산업단지도로(투찰)②_마현생창(동양고속)_왜관-태평건설" xfId="589" xr:uid="{00000000-0005-0000-0000-00004C020000}"/>
    <cellStyle name="_신태백(가실행)_봉무지방산업단지도로(투찰)②_마현생창(동양고속)_왜관-태평건설 2" xfId="1989" xr:uid="{40CDEEF9-4DD7-433E-B532-1D12772C21E2}"/>
    <cellStyle name="_신태백(가실행)_봉무지방산업단지도로(투찰)②_왜관-태평건설" xfId="590" xr:uid="{00000000-0005-0000-0000-00004D020000}"/>
    <cellStyle name="_신태백(가실행)_봉무지방산업단지도로(투찰)②_왜관-태평건설 2" xfId="1990" xr:uid="{B9814486-FA62-4560-B547-F61BAA9B3058}"/>
    <cellStyle name="_신태백(가실행)_봉무지방산업단지도로(투찰)②+0.250%" xfId="591" xr:uid="{00000000-0005-0000-0000-00004E020000}"/>
    <cellStyle name="_신태백(가실행)_봉무지방산업단지도로(투찰)②+0.250% 2" xfId="1991" xr:uid="{005956ED-76B4-400E-84F2-56B609EF039F}"/>
    <cellStyle name="_신태백(가실행)_봉무지방산업단지도로(투찰)②+0.250%_마현생창(동양고속)" xfId="592" xr:uid="{00000000-0005-0000-0000-00004F020000}"/>
    <cellStyle name="_신태백(가실행)_봉무지방산업단지도로(투찰)②+0.250%_마현생창(동양고속) 2" xfId="1992" xr:uid="{BD8AB32A-6D62-4EF0-AD06-9DA8D5C7334A}"/>
    <cellStyle name="_신태백(가실행)_봉무지방산업단지도로(투찰)②+0.250%_마현생창(동양고속)_왜관-태평건설" xfId="593" xr:uid="{00000000-0005-0000-0000-000050020000}"/>
    <cellStyle name="_신태백(가실행)_봉무지방산업단지도로(투찰)②+0.250%_마현생창(동양고속)_왜관-태평건설 2" xfId="1993" xr:uid="{0AB9B17E-D94E-4352-A6A2-6D313FC77398}"/>
    <cellStyle name="_신태백(가실행)_봉무지방산업단지도로(투찰)②+0.250%_왜관-태평건설" xfId="594" xr:uid="{00000000-0005-0000-0000-000051020000}"/>
    <cellStyle name="_신태백(가실행)_봉무지방산업단지도로(투찰)②+0.250%_왜관-태평건설 2" xfId="1994" xr:uid="{24E5724B-EC15-4B41-BCFA-8812D1457D5C}"/>
    <cellStyle name="_신태백(가실행)_안산부대(투찰)⑤" xfId="595" xr:uid="{00000000-0005-0000-0000-000052020000}"/>
    <cellStyle name="_신태백(가실행)_안산부대(투찰)⑤ 2" xfId="1995" xr:uid="{11187932-E3C6-42E5-BA46-AAD90662EF14}"/>
    <cellStyle name="_신태백(가실행)_안산부대(투찰)⑤_경찰서-터미널간도로(투찰)②" xfId="596" xr:uid="{00000000-0005-0000-0000-000053020000}"/>
    <cellStyle name="_신태백(가실행)_안산부대(투찰)⑤_경찰서-터미널간도로(투찰)② 2" xfId="1996" xr:uid="{620D5C10-7FCA-49B1-AAF0-191C1193D917}"/>
    <cellStyle name="_신태백(가실행)_안산부대(투찰)⑤_경찰서-터미널간도로(투찰)②_마현생창(동양고속)" xfId="597" xr:uid="{00000000-0005-0000-0000-000054020000}"/>
    <cellStyle name="_신태백(가실행)_안산부대(투찰)⑤_경찰서-터미널간도로(투찰)②_마현생창(동양고속) 2" xfId="1997" xr:uid="{97795F3B-2556-4DEF-8E1A-5FCB979E1ABF}"/>
    <cellStyle name="_신태백(가실행)_안산부대(투찰)⑤_경찰서-터미널간도로(투찰)②_마현생창(동양고속)_왜관-태평건설" xfId="598" xr:uid="{00000000-0005-0000-0000-000055020000}"/>
    <cellStyle name="_신태백(가실행)_안산부대(투찰)⑤_경찰서-터미널간도로(투찰)②_마현생창(동양고속)_왜관-태평건설 2" xfId="1998" xr:uid="{5F1FFDC8-B860-4B3E-9262-6789265220F9}"/>
    <cellStyle name="_신태백(가실행)_안산부대(투찰)⑤_경찰서-터미널간도로(투찰)②_왜관-태평건설" xfId="599" xr:uid="{00000000-0005-0000-0000-000056020000}"/>
    <cellStyle name="_신태백(가실행)_안산부대(투찰)⑤_경찰서-터미널간도로(투찰)②_왜관-태평건설 2" xfId="1999" xr:uid="{39C551B0-8BA3-44F5-9777-0B572A9DB0A6}"/>
    <cellStyle name="_신태백(가실행)_안산부대(투찰)⑤_마현생창(동양고속)" xfId="600" xr:uid="{00000000-0005-0000-0000-000057020000}"/>
    <cellStyle name="_신태백(가실행)_안산부대(투찰)⑤_마현생창(동양고속) 2" xfId="2000" xr:uid="{EF066F0E-1055-4FFE-824E-ACCA345F502B}"/>
    <cellStyle name="_신태백(가실행)_안산부대(투찰)⑤_마현생창(동양고속)_왜관-태평건설" xfId="601" xr:uid="{00000000-0005-0000-0000-000058020000}"/>
    <cellStyle name="_신태백(가실행)_안산부대(투찰)⑤_마현생창(동양고속)_왜관-태평건설 2" xfId="2001" xr:uid="{7F2CBA58-BC38-4C3B-841D-7205FDC0BC21}"/>
    <cellStyle name="_신태백(가실행)_안산부대(투찰)⑤_봉무지방산업단지도로(투찰)②" xfId="602" xr:uid="{00000000-0005-0000-0000-000059020000}"/>
    <cellStyle name="_신태백(가실행)_안산부대(투찰)⑤_봉무지방산업단지도로(투찰)② 2" xfId="2002" xr:uid="{C1B9CC39-C3C9-43C1-B594-4064F667046E}"/>
    <cellStyle name="_신태백(가실행)_안산부대(투찰)⑤_봉무지방산업단지도로(투찰)②_마현생창(동양고속)" xfId="603" xr:uid="{00000000-0005-0000-0000-00005A020000}"/>
    <cellStyle name="_신태백(가실행)_안산부대(투찰)⑤_봉무지방산업단지도로(투찰)②_마현생창(동양고속) 2" xfId="2003" xr:uid="{6F304D9B-0565-4650-87D1-4817CFBAE91C}"/>
    <cellStyle name="_신태백(가실행)_안산부대(투찰)⑤_봉무지방산업단지도로(투찰)②_마현생창(동양고속)_왜관-태평건설" xfId="604" xr:uid="{00000000-0005-0000-0000-00005B020000}"/>
    <cellStyle name="_신태백(가실행)_안산부대(투찰)⑤_봉무지방산업단지도로(투찰)②_마현생창(동양고속)_왜관-태평건설 2" xfId="2004" xr:uid="{F5F2649E-2902-45F9-8F3E-5DA5D6A3921A}"/>
    <cellStyle name="_신태백(가실행)_안산부대(투찰)⑤_봉무지방산업단지도로(투찰)②_왜관-태평건설" xfId="605" xr:uid="{00000000-0005-0000-0000-00005C020000}"/>
    <cellStyle name="_신태백(가실행)_안산부대(투찰)⑤_봉무지방산업단지도로(투찰)②_왜관-태평건설 2" xfId="2005" xr:uid="{AE17252C-D4CE-4014-B38D-7296171709FB}"/>
    <cellStyle name="_신태백(가실행)_안산부대(투찰)⑤_봉무지방산업단지도로(투찰)②+0.250%" xfId="606" xr:uid="{00000000-0005-0000-0000-00005D020000}"/>
    <cellStyle name="_신태백(가실행)_안산부대(투찰)⑤_봉무지방산업단지도로(투찰)②+0.250% 2" xfId="2006" xr:uid="{EC5C010E-D934-43E6-8158-25E7E3069499}"/>
    <cellStyle name="_신태백(가실행)_안산부대(투찰)⑤_봉무지방산업단지도로(투찰)②+0.250%_마현생창(동양고속)" xfId="607" xr:uid="{00000000-0005-0000-0000-00005E020000}"/>
    <cellStyle name="_신태백(가실행)_안산부대(투찰)⑤_봉무지방산업단지도로(투찰)②+0.250%_마현생창(동양고속) 2" xfId="2007" xr:uid="{F9DEC7CB-270A-4B8B-8217-FEFA77EFDCD8}"/>
    <cellStyle name="_신태백(가실행)_안산부대(투찰)⑤_봉무지방산업단지도로(투찰)②+0.250%_마현생창(동양고속)_왜관-태평건설" xfId="608" xr:uid="{00000000-0005-0000-0000-00005F020000}"/>
    <cellStyle name="_신태백(가실행)_안산부대(투찰)⑤_봉무지방산업단지도로(투찰)②+0.250%_마현생창(동양고속)_왜관-태평건설 2" xfId="2008" xr:uid="{3FE927F4-4D63-45D7-B0B0-4E23148C125B}"/>
    <cellStyle name="_신태백(가실행)_안산부대(투찰)⑤_봉무지방산업단지도로(투찰)②+0.250%_왜관-태평건설" xfId="609" xr:uid="{00000000-0005-0000-0000-000060020000}"/>
    <cellStyle name="_신태백(가실행)_안산부대(투찰)⑤_봉무지방산업단지도로(투찰)②+0.250%_왜관-태평건설 2" xfId="2009" xr:uid="{CCC999F3-1BED-4634-870B-02E17E0FEF9C}"/>
    <cellStyle name="_신태백(가실행)_안산부대(투찰)⑤_왜관-태평건설" xfId="610" xr:uid="{00000000-0005-0000-0000-000061020000}"/>
    <cellStyle name="_신태백(가실행)_안산부대(투찰)⑤_왜관-태평건설 2" xfId="2010" xr:uid="{79F2864B-C4EE-4D1C-8565-84771B04206B}"/>
    <cellStyle name="_신태백(가실행)_안산부대(투찰)⑤_합덕-신례원(2공구)투찰" xfId="611" xr:uid="{00000000-0005-0000-0000-000062020000}"/>
    <cellStyle name="_신태백(가실행)_안산부대(투찰)⑤_합덕-신례원(2공구)투찰 2" xfId="2011" xr:uid="{261FF21C-C7D3-4AE6-986A-1409CA413B04}"/>
    <cellStyle name="_신태백(가실행)_안산부대(투찰)⑤_합덕-신례원(2공구)투찰_경찰서-터미널간도로(투찰)②" xfId="612" xr:uid="{00000000-0005-0000-0000-000063020000}"/>
    <cellStyle name="_신태백(가실행)_안산부대(투찰)⑤_합덕-신례원(2공구)투찰_경찰서-터미널간도로(투찰)② 2" xfId="2012" xr:uid="{8BD7CF51-07A2-49CC-8A63-CC27ECD7B124}"/>
    <cellStyle name="_신태백(가실행)_안산부대(투찰)⑤_합덕-신례원(2공구)투찰_경찰서-터미널간도로(투찰)②_마현생창(동양고속)" xfId="613" xr:uid="{00000000-0005-0000-0000-000064020000}"/>
    <cellStyle name="_신태백(가실행)_안산부대(투찰)⑤_합덕-신례원(2공구)투찰_경찰서-터미널간도로(투찰)②_마현생창(동양고속) 2" xfId="2013" xr:uid="{1A674241-22AA-4E29-A171-B1EDF3E4A87E}"/>
    <cellStyle name="_신태백(가실행)_안산부대(투찰)⑤_합덕-신례원(2공구)투찰_경찰서-터미널간도로(투찰)②_마현생창(동양고속)_왜관-태평건설" xfId="614" xr:uid="{00000000-0005-0000-0000-000065020000}"/>
    <cellStyle name="_신태백(가실행)_안산부대(투찰)⑤_합덕-신례원(2공구)투찰_경찰서-터미널간도로(투찰)②_마현생창(동양고속)_왜관-태평건설 2" xfId="2014" xr:uid="{A2B35F05-3B7F-4136-A07C-E21A6DB64B3D}"/>
    <cellStyle name="_신태백(가실행)_안산부대(투찰)⑤_합덕-신례원(2공구)투찰_경찰서-터미널간도로(투찰)②_왜관-태평건설" xfId="615" xr:uid="{00000000-0005-0000-0000-000066020000}"/>
    <cellStyle name="_신태백(가실행)_안산부대(투찰)⑤_합덕-신례원(2공구)투찰_경찰서-터미널간도로(투찰)②_왜관-태평건설 2" xfId="2015" xr:uid="{08FCD8BD-829F-4DB4-BBB2-D05CE0B2AFFF}"/>
    <cellStyle name="_신태백(가실행)_안산부대(투찰)⑤_합덕-신례원(2공구)투찰_마현생창(동양고속)" xfId="616" xr:uid="{00000000-0005-0000-0000-000067020000}"/>
    <cellStyle name="_신태백(가실행)_안산부대(투찰)⑤_합덕-신례원(2공구)투찰_마현생창(동양고속) 2" xfId="2016" xr:uid="{2A751B26-D0EC-48C6-84B7-B851704292CE}"/>
    <cellStyle name="_신태백(가실행)_안산부대(투찰)⑤_합덕-신례원(2공구)투찰_마현생창(동양고속)_왜관-태평건설" xfId="617" xr:uid="{00000000-0005-0000-0000-000068020000}"/>
    <cellStyle name="_신태백(가실행)_안산부대(투찰)⑤_합덕-신례원(2공구)투찰_마현생창(동양고속)_왜관-태평건설 2" xfId="2017" xr:uid="{B8238015-019E-4272-AF41-CC879D3D003F}"/>
    <cellStyle name="_신태백(가실행)_안산부대(투찰)⑤_합덕-신례원(2공구)투찰_봉무지방산업단지도로(투찰)②" xfId="618" xr:uid="{00000000-0005-0000-0000-000069020000}"/>
    <cellStyle name="_신태백(가실행)_안산부대(투찰)⑤_합덕-신례원(2공구)투찰_봉무지방산업단지도로(투찰)② 2" xfId="2018" xr:uid="{90D916B4-0682-4DE1-9353-5219D36EBB64}"/>
    <cellStyle name="_신태백(가실행)_안산부대(투찰)⑤_합덕-신례원(2공구)투찰_봉무지방산업단지도로(투찰)②_마현생창(동양고속)" xfId="619" xr:uid="{00000000-0005-0000-0000-00006A020000}"/>
    <cellStyle name="_신태백(가실행)_안산부대(투찰)⑤_합덕-신례원(2공구)투찰_봉무지방산업단지도로(투찰)②_마현생창(동양고속) 2" xfId="2019" xr:uid="{0325DFEB-C03C-45E3-9F06-FAC4FAA7D5D9}"/>
    <cellStyle name="_신태백(가실행)_안산부대(투찰)⑤_합덕-신례원(2공구)투찰_봉무지방산업단지도로(투찰)②_마현생창(동양고속)_왜관-태평건설" xfId="620" xr:uid="{00000000-0005-0000-0000-00006B020000}"/>
    <cellStyle name="_신태백(가실행)_안산부대(투찰)⑤_합덕-신례원(2공구)투찰_봉무지방산업단지도로(투찰)②_마현생창(동양고속)_왜관-태평건설 2" xfId="2020" xr:uid="{7CE4E340-E9DE-4CE5-8A26-8E5E9DBC2366}"/>
    <cellStyle name="_신태백(가실행)_안산부대(투찰)⑤_합덕-신례원(2공구)투찰_봉무지방산업단지도로(투찰)②_왜관-태평건설" xfId="621" xr:uid="{00000000-0005-0000-0000-00006C020000}"/>
    <cellStyle name="_신태백(가실행)_안산부대(투찰)⑤_합덕-신례원(2공구)투찰_봉무지방산업단지도로(투찰)②_왜관-태평건설 2" xfId="2021" xr:uid="{0F3E73A3-353C-4DA6-B8BD-4874D274E597}"/>
    <cellStyle name="_신태백(가실행)_안산부대(투찰)⑤_합덕-신례원(2공구)투찰_봉무지방산업단지도로(투찰)②+0.250%" xfId="622" xr:uid="{00000000-0005-0000-0000-00006D020000}"/>
    <cellStyle name="_신태백(가실행)_안산부대(투찰)⑤_합덕-신례원(2공구)투찰_봉무지방산업단지도로(투찰)②+0.250% 2" xfId="2022" xr:uid="{9CB6DD3B-99AE-4AA7-8B25-93F2FE6945FC}"/>
    <cellStyle name="_신태백(가실행)_안산부대(투찰)⑤_합덕-신례원(2공구)투찰_봉무지방산업단지도로(투찰)②+0.250%_마현생창(동양고속)" xfId="623" xr:uid="{00000000-0005-0000-0000-00006E020000}"/>
    <cellStyle name="_신태백(가실행)_안산부대(투찰)⑤_합덕-신례원(2공구)투찰_봉무지방산업단지도로(투찰)②+0.250%_마현생창(동양고속) 2" xfId="2023" xr:uid="{F405DEC5-83D5-4E10-9347-3BBB7CACBC10}"/>
    <cellStyle name="_신태백(가실행)_안산부대(투찰)⑤_합덕-신례원(2공구)투찰_봉무지방산업단지도로(투찰)②+0.250%_마현생창(동양고속)_왜관-태평건설" xfId="624" xr:uid="{00000000-0005-0000-0000-00006F020000}"/>
    <cellStyle name="_신태백(가실행)_안산부대(투찰)⑤_합덕-신례원(2공구)투찰_봉무지방산업단지도로(투찰)②+0.250%_마현생창(동양고속)_왜관-태평건설 2" xfId="2024" xr:uid="{3D9CD9CC-96AF-4C31-82A2-A43DCA5DC46B}"/>
    <cellStyle name="_신태백(가실행)_안산부대(투찰)⑤_합덕-신례원(2공구)투찰_봉무지방산업단지도로(투찰)②+0.250%_왜관-태평건설" xfId="625" xr:uid="{00000000-0005-0000-0000-000070020000}"/>
    <cellStyle name="_신태백(가실행)_안산부대(투찰)⑤_합덕-신례원(2공구)투찰_봉무지방산업단지도로(투찰)②+0.250%_왜관-태평건설 2" xfId="2025" xr:uid="{8C72096B-EAD5-4A93-8807-A0B428389595}"/>
    <cellStyle name="_신태백(가실행)_안산부대(투찰)⑤_합덕-신례원(2공구)투찰_왜관-태평건설" xfId="626" xr:uid="{00000000-0005-0000-0000-000071020000}"/>
    <cellStyle name="_신태백(가실행)_안산부대(투찰)⑤_합덕-신례원(2공구)투찰_왜관-태평건설 2" xfId="2026" xr:uid="{182840C6-3E3E-45B0-9798-533CD73F662F}"/>
    <cellStyle name="_신태백(가실행)_안산부대(투찰)⑤_합덕-신례원(2공구)투찰_합덕-신례원(2공구)투찰" xfId="627" xr:uid="{00000000-0005-0000-0000-000072020000}"/>
    <cellStyle name="_신태백(가실행)_안산부대(투찰)⑤_합덕-신례원(2공구)투찰_합덕-신례원(2공구)투찰 2" xfId="2027" xr:uid="{E4C2BB1C-229A-46F8-9CA1-E201EF60F757}"/>
    <cellStyle name="_신태백(가실행)_안산부대(투찰)⑤_합덕-신례원(2공구)투찰_합덕-신례원(2공구)투찰_경찰서-터미널간도로(투찰)②" xfId="628" xr:uid="{00000000-0005-0000-0000-000073020000}"/>
    <cellStyle name="_신태백(가실행)_안산부대(투찰)⑤_합덕-신례원(2공구)투찰_합덕-신례원(2공구)투찰_경찰서-터미널간도로(투찰)② 2" xfId="2028" xr:uid="{6427B39B-8004-49CE-986F-58B254568EA8}"/>
    <cellStyle name="_신태백(가실행)_안산부대(투찰)⑤_합덕-신례원(2공구)투찰_합덕-신례원(2공구)투찰_경찰서-터미널간도로(투찰)②_마현생창(동양고속)" xfId="629" xr:uid="{00000000-0005-0000-0000-000074020000}"/>
    <cellStyle name="_신태백(가실행)_안산부대(투찰)⑤_합덕-신례원(2공구)투찰_합덕-신례원(2공구)투찰_경찰서-터미널간도로(투찰)②_마현생창(동양고속) 2" xfId="2029" xr:uid="{479014D9-E9FE-421E-9BDD-C8A460DBEB36}"/>
    <cellStyle name="_신태백(가실행)_안산부대(투찰)⑤_합덕-신례원(2공구)투찰_합덕-신례원(2공구)투찰_경찰서-터미널간도로(투찰)②_마현생창(동양고속)_왜관-태평건설" xfId="630" xr:uid="{00000000-0005-0000-0000-000075020000}"/>
    <cellStyle name="_신태백(가실행)_안산부대(투찰)⑤_합덕-신례원(2공구)투찰_합덕-신례원(2공구)투찰_경찰서-터미널간도로(투찰)②_마현생창(동양고속)_왜관-태평건설 2" xfId="2030" xr:uid="{AE81B2F0-CB7A-4C18-93A6-C7E45DC641AA}"/>
    <cellStyle name="_신태백(가실행)_안산부대(투찰)⑤_합덕-신례원(2공구)투찰_합덕-신례원(2공구)투찰_경찰서-터미널간도로(투찰)②_왜관-태평건설" xfId="631" xr:uid="{00000000-0005-0000-0000-000076020000}"/>
    <cellStyle name="_신태백(가실행)_안산부대(투찰)⑤_합덕-신례원(2공구)투찰_합덕-신례원(2공구)투찰_경찰서-터미널간도로(투찰)②_왜관-태평건설 2" xfId="2031" xr:uid="{763DE7D6-A191-4D6E-B5C8-122539976D98}"/>
    <cellStyle name="_신태백(가실행)_안산부대(투찰)⑤_합덕-신례원(2공구)투찰_합덕-신례원(2공구)투찰_마현생창(동양고속)" xfId="632" xr:uid="{00000000-0005-0000-0000-000077020000}"/>
    <cellStyle name="_신태백(가실행)_안산부대(투찰)⑤_합덕-신례원(2공구)투찰_합덕-신례원(2공구)투찰_마현생창(동양고속) 2" xfId="2032" xr:uid="{021833D2-D7FF-451E-A6DD-17B8F0F7A12F}"/>
    <cellStyle name="_신태백(가실행)_안산부대(투찰)⑤_합덕-신례원(2공구)투찰_합덕-신례원(2공구)투찰_마현생창(동양고속)_왜관-태평건설" xfId="633" xr:uid="{00000000-0005-0000-0000-000078020000}"/>
    <cellStyle name="_신태백(가실행)_안산부대(투찰)⑤_합덕-신례원(2공구)투찰_합덕-신례원(2공구)투찰_마현생창(동양고속)_왜관-태평건설 2" xfId="2033" xr:uid="{46F4E9CF-0ADC-4D1A-81CF-265734BD1509}"/>
    <cellStyle name="_신태백(가실행)_안산부대(투찰)⑤_합덕-신례원(2공구)투찰_합덕-신례원(2공구)투찰_봉무지방산업단지도로(투찰)②" xfId="634" xr:uid="{00000000-0005-0000-0000-000079020000}"/>
    <cellStyle name="_신태백(가실행)_안산부대(투찰)⑤_합덕-신례원(2공구)투찰_합덕-신례원(2공구)투찰_봉무지방산업단지도로(투찰)② 2" xfId="2034" xr:uid="{37F1CA56-2DD5-40E3-BDF0-851F44AACFFA}"/>
    <cellStyle name="_신태백(가실행)_안산부대(투찰)⑤_합덕-신례원(2공구)투찰_합덕-신례원(2공구)투찰_봉무지방산업단지도로(투찰)②_마현생창(동양고속)" xfId="635" xr:uid="{00000000-0005-0000-0000-00007A020000}"/>
    <cellStyle name="_신태백(가실행)_안산부대(투찰)⑤_합덕-신례원(2공구)투찰_합덕-신례원(2공구)투찰_봉무지방산업단지도로(투찰)②_마현생창(동양고속) 2" xfId="2035" xr:uid="{8CC1FDD2-3F3C-4770-9E0C-CD67F0C81ED9}"/>
    <cellStyle name="_신태백(가실행)_안산부대(투찰)⑤_합덕-신례원(2공구)투찰_합덕-신례원(2공구)투찰_봉무지방산업단지도로(투찰)②_마현생창(동양고속)_왜관-태평건설" xfId="636" xr:uid="{00000000-0005-0000-0000-00007B020000}"/>
    <cellStyle name="_신태백(가실행)_안산부대(투찰)⑤_합덕-신례원(2공구)투찰_합덕-신례원(2공구)투찰_봉무지방산업단지도로(투찰)②_마현생창(동양고속)_왜관-태평건설 2" xfId="2036" xr:uid="{33E26347-FF75-43AD-98C9-283E44C8BDA7}"/>
    <cellStyle name="_신태백(가실행)_안산부대(투찰)⑤_합덕-신례원(2공구)투찰_합덕-신례원(2공구)투찰_봉무지방산업단지도로(투찰)②_왜관-태평건설" xfId="637" xr:uid="{00000000-0005-0000-0000-00007C020000}"/>
    <cellStyle name="_신태백(가실행)_안산부대(투찰)⑤_합덕-신례원(2공구)투찰_합덕-신례원(2공구)투찰_봉무지방산업단지도로(투찰)②_왜관-태평건설 2" xfId="2037" xr:uid="{96AB279F-B3D1-48F7-BF70-2FC4FE61D62D}"/>
    <cellStyle name="_신태백(가실행)_안산부대(투찰)⑤_합덕-신례원(2공구)투찰_합덕-신례원(2공구)투찰_봉무지방산업단지도로(투찰)②+0.250%" xfId="638" xr:uid="{00000000-0005-0000-0000-00007D020000}"/>
    <cellStyle name="_신태백(가실행)_안산부대(투찰)⑤_합덕-신례원(2공구)투찰_합덕-신례원(2공구)투찰_봉무지방산업단지도로(투찰)②+0.250% 2" xfId="2038" xr:uid="{B2676663-8B09-42F3-A530-0E881F7D81C1}"/>
    <cellStyle name="_신태백(가실행)_안산부대(투찰)⑤_합덕-신례원(2공구)투찰_합덕-신례원(2공구)투찰_봉무지방산업단지도로(투찰)②+0.250%_마현생창(동양고속)" xfId="639" xr:uid="{00000000-0005-0000-0000-00007E020000}"/>
    <cellStyle name="_신태백(가실행)_안산부대(투찰)⑤_합덕-신례원(2공구)투찰_합덕-신례원(2공구)투찰_봉무지방산업단지도로(투찰)②+0.250%_마현생창(동양고속) 2" xfId="2039" xr:uid="{3430F6B5-5F29-4CA2-84A8-A9D80D2B9977}"/>
    <cellStyle name="_신태백(가실행)_안산부대(투찰)⑤_합덕-신례원(2공구)투찰_합덕-신례원(2공구)투찰_봉무지방산업단지도로(투찰)②+0.250%_마현생창(동양고속)_왜관-태평건설" xfId="640" xr:uid="{00000000-0005-0000-0000-00007F020000}"/>
    <cellStyle name="_신태백(가실행)_안산부대(투찰)⑤_합덕-신례원(2공구)투찰_합덕-신례원(2공구)투찰_봉무지방산업단지도로(투찰)②+0.250%_마현생창(동양고속)_왜관-태평건설 2" xfId="2040" xr:uid="{BF029674-9F1F-4321-A0C3-7580BF53E0DC}"/>
    <cellStyle name="_신태백(가실행)_안산부대(투찰)⑤_합덕-신례원(2공구)투찰_합덕-신례원(2공구)투찰_봉무지방산업단지도로(투찰)②+0.250%_왜관-태평건설" xfId="641" xr:uid="{00000000-0005-0000-0000-000080020000}"/>
    <cellStyle name="_신태백(가실행)_안산부대(투찰)⑤_합덕-신례원(2공구)투찰_합덕-신례원(2공구)투찰_봉무지방산업단지도로(투찰)②+0.250%_왜관-태평건설 2" xfId="2041" xr:uid="{6FA6E1FD-6663-4B42-84E5-8D57FB6BD5CA}"/>
    <cellStyle name="_신태백(가실행)_안산부대(투찰)⑤_합덕-신례원(2공구)투찰_합덕-신례원(2공구)투찰_왜관-태평건설" xfId="642" xr:uid="{00000000-0005-0000-0000-000081020000}"/>
    <cellStyle name="_신태백(가실행)_안산부대(투찰)⑤_합덕-신례원(2공구)투찰_합덕-신례원(2공구)투찰_왜관-태평건설 2" xfId="2042" xr:uid="{53FA210D-59D4-4E86-9609-EBD8CC825B70}"/>
    <cellStyle name="_신태백(가실행)_양곡부두(투찰)-0.31%" xfId="643" xr:uid="{00000000-0005-0000-0000-000082020000}"/>
    <cellStyle name="_신태백(가실행)_양곡부두(투찰)-0.31% 2" xfId="2043" xr:uid="{62BD8FDD-9B64-4E79-BA15-41543C9D36DA}"/>
    <cellStyle name="_신태백(가실행)_양곡부두(투찰)-0.31%_경찰서-터미널간도로(투찰)②" xfId="644" xr:uid="{00000000-0005-0000-0000-000083020000}"/>
    <cellStyle name="_신태백(가실행)_양곡부두(투찰)-0.31%_경찰서-터미널간도로(투찰)② 2" xfId="2044" xr:uid="{4FD6CF4D-C7DE-4A90-8550-DF609CBCD25A}"/>
    <cellStyle name="_신태백(가실행)_양곡부두(투찰)-0.31%_경찰서-터미널간도로(투찰)②_마현생창(동양고속)" xfId="645" xr:uid="{00000000-0005-0000-0000-000084020000}"/>
    <cellStyle name="_신태백(가실행)_양곡부두(투찰)-0.31%_경찰서-터미널간도로(투찰)②_마현생창(동양고속) 2" xfId="2045" xr:uid="{A192F29A-C1A4-4BA4-A202-4CC40B9D0F2D}"/>
    <cellStyle name="_신태백(가실행)_양곡부두(투찰)-0.31%_경찰서-터미널간도로(투찰)②_마현생창(동양고속)_왜관-태평건설" xfId="646" xr:uid="{00000000-0005-0000-0000-000085020000}"/>
    <cellStyle name="_신태백(가실행)_양곡부두(투찰)-0.31%_경찰서-터미널간도로(투찰)②_마현생창(동양고속)_왜관-태평건설 2" xfId="2046" xr:uid="{434E17B6-5C57-4005-9C83-254379232823}"/>
    <cellStyle name="_신태백(가실행)_양곡부두(투찰)-0.31%_경찰서-터미널간도로(투찰)②_왜관-태평건설" xfId="647" xr:uid="{00000000-0005-0000-0000-000086020000}"/>
    <cellStyle name="_신태백(가실행)_양곡부두(투찰)-0.31%_경찰서-터미널간도로(투찰)②_왜관-태평건설 2" xfId="2047" xr:uid="{CDF53FDD-7493-4A35-9A9A-C6B918BD07FD}"/>
    <cellStyle name="_신태백(가실행)_양곡부두(투찰)-0.31%_마현생창(동양고속)" xfId="648" xr:uid="{00000000-0005-0000-0000-000087020000}"/>
    <cellStyle name="_신태백(가실행)_양곡부두(투찰)-0.31%_마현생창(동양고속) 2" xfId="2048" xr:uid="{7A7F4115-6003-4034-BBE6-B1B8E60305F9}"/>
    <cellStyle name="_신태백(가실행)_양곡부두(투찰)-0.31%_마현생창(동양고속)_왜관-태평건설" xfId="649" xr:uid="{00000000-0005-0000-0000-000088020000}"/>
    <cellStyle name="_신태백(가실행)_양곡부두(투찰)-0.31%_마현생창(동양고속)_왜관-태평건설 2" xfId="2049" xr:uid="{34EDC8E0-3BFD-475E-9470-D2406EABB2AA}"/>
    <cellStyle name="_신태백(가실행)_양곡부두(투찰)-0.31%_봉무지방산업단지도로(투찰)②" xfId="650" xr:uid="{00000000-0005-0000-0000-000089020000}"/>
    <cellStyle name="_신태백(가실행)_양곡부두(투찰)-0.31%_봉무지방산업단지도로(투찰)② 2" xfId="2050" xr:uid="{E6A6C132-A8B9-42C9-8174-470BBBB20BF5}"/>
    <cellStyle name="_신태백(가실행)_양곡부두(투찰)-0.31%_봉무지방산업단지도로(투찰)②_마현생창(동양고속)" xfId="651" xr:uid="{00000000-0005-0000-0000-00008A020000}"/>
    <cellStyle name="_신태백(가실행)_양곡부두(투찰)-0.31%_봉무지방산업단지도로(투찰)②_마현생창(동양고속) 2" xfId="2051" xr:uid="{D069567B-0B65-4D86-81A8-2178B23DDCC6}"/>
    <cellStyle name="_신태백(가실행)_양곡부두(투찰)-0.31%_봉무지방산업단지도로(투찰)②_마현생창(동양고속)_왜관-태평건설" xfId="652" xr:uid="{00000000-0005-0000-0000-00008B020000}"/>
    <cellStyle name="_신태백(가실행)_양곡부두(투찰)-0.31%_봉무지방산업단지도로(투찰)②_마현생창(동양고속)_왜관-태평건설 2" xfId="2052" xr:uid="{79D92434-0C04-474B-829E-81F8D214C90E}"/>
    <cellStyle name="_신태백(가실행)_양곡부두(투찰)-0.31%_봉무지방산업단지도로(투찰)②_왜관-태평건설" xfId="653" xr:uid="{00000000-0005-0000-0000-00008C020000}"/>
    <cellStyle name="_신태백(가실행)_양곡부두(투찰)-0.31%_봉무지방산업단지도로(투찰)②_왜관-태평건설 2" xfId="2053" xr:uid="{191E7FCE-1EB4-4B67-8866-F2896D67FFC2}"/>
    <cellStyle name="_신태백(가실행)_양곡부두(투찰)-0.31%_봉무지방산업단지도로(투찰)②+0.250%" xfId="654" xr:uid="{00000000-0005-0000-0000-00008D020000}"/>
    <cellStyle name="_신태백(가실행)_양곡부두(투찰)-0.31%_봉무지방산업단지도로(투찰)②+0.250% 2" xfId="2054" xr:uid="{CD46BAE1-2EE2-445D-A1B3-B5C36EC8606A}"/>
    <cellStyle name="_신태백(가실행)_양곡부두(투찰)-0.31%_봉무지방산업단지도로(투찰)②+0.250%_마현생창(동양고속)" xfId="655" xr:uid="{00000000-0005-0000-0000-00008E020000}"/>
    <cellStyle name="_신태백(가실행)_양곡부두(투찰)-0.31%_봉무지방산업단지도로(투찰)②+0.250%_마현생창(동양고속) 2" xfId="2055" xr:uid="{381A8492-30C6-462C-B569-D5192A939F91}"/>
    <cellStyle name="_신태백(가실행)_양곡부두(투찰)-0.31%_봉무지방산업단지도로(투찰)②+0.250%_마현생창(동양고속)_왜관-태평건설" xfId="656" xr:uid="{00000000-0005-0000-0000-00008F020000}"/>
    <cellStyle name="_신태백(가실행)_양곡부두(투찰)-0.31%_봉무지방산업단지도로(투찰)②+0.250%_마현생창(동양고속)_왜관-태평건설 2" xfId="2056" xr:uid="{4FF89B81-2CF6-4C7B-8B16-5B538746F7F0}"/>
    <cellStyle name="_신태백(가실행)_양곡부두(투찰)-0.31%_봉무지방산업단지도로(투찰)②+0.250%_왜관-태평건설" xfId="657" xr:uid="{00000000-0005-0000-0000-000090020000}"/>
    <cellStyle name="_신태백(가실행)_양곡부두(투찰)-0.31%_봉무지방산업단지도로(투찰)②+0.250%_왜관-태평건설 2" xfId="2057" xr:uid="{CAB1F504-80C7-41A0-A33D-8C922ACB11C1}"/>
    <cellStyle name="_신태백(가실행)_양곡부두(투찰)-0.31%_왜관-태평건설" xfId="658" xr:uid="{00000000-0005-0000-0000-000091020000}"/>
    <cellStyle name="_신태백(가실행)_양곡부두(투찰)-0.31%_왜관-태평건설 2" xfId="2058" xr:uid="{914CC85B-700F-43AD-941A-CB0A0EA99025}"/>
    <cellStyle name="_신태백(가실행)_양곡부두(투찰)-0.31%_합덕-신례원(2공구)투찰" xfId="659" xr:uid="{00000000-0005-0000-0000-000092020000}"/>
    <cellStyle name="_신태백(가실행)_양곡부두(투찰)-0.31%_합덕-신례원(2공구)투찰 2" xfId="2059" xr:uid="{765E4318-D27F-4EE4-A75A-100A160B0B36}"/>
    <cellStyle name="_신태백(가실행)_양곡부두(투찰)-0.31%_합덕-신례원(2공구)투찰_경찰서-터미널간도로(투찰)②" xfId="660" xr:uid="{00000000-0005-0000-0000-000093020000}"/>
    <cellStyle name="_신태백(가실행)_양곡부두(투찰)-0.31%_합덕-신례원(2공구)투찰_경찰서-터미널간도로(투찰)② 2" xfId="2060" xr:uid="{481ABDE3-A12E-48A9-A250-419D6E054A00}"/>
    <cellStyle name="_신태백(가실행)_양곡부두(투찰)-0.31%_합덕-신례원(2공구)투찰_경찰서-터미널간도로(투찰)②_마현생창(동양고속)" xfId="661" xr:uid="{00000000-0005-0000-0000-000094020000}"/>
    <cellStyle name="_신태백(가실행)_양곡부두(투찰)-0.31%_합덕-신례원(2공구)투찰_경찰서-터미널간도로(투찰)②_마현생창(동양고속) 2" xfId="2061" xr:uid="{22C53D76-7044-4A68-A8BA-96E25C0BDA14}"/>
    <cellStyle name="_신태백(가실행)_양곡부두(투찰)-0.31%_합덕-신례원(2공구)투찰_경찰서-터미널간도로(투찰)②_마현생창(동양고속)_왜관-태평건설" xfId="662" xr:uid="{00000000-0005-0000-0000-000095020000}"/>
    <cellStyle name="_신태백(가실행)_양곡부두(투찰)-0.31%_합덕-신례원(2공구)투찰_경찰서-터미널간도로(투찰)②_마현생창(동양고속)_왜관-태평건설 2" xfId="2062" xr:uid="{ECEE7700-6633-4C59-BAD3-A382CB4C458B}"/>
    <cellStyle name="_신태백(가실행)_양곡부두(투찰)-0.31%_합덕-신례원(2공구)투찰_경찰서-터미널간도로(투찰)②_왜관-태평건설" xfId="663" xr:uid="{00000000-0005-0000-0000-000096020000}"/>
    <cellStyle name="_신태백(가실행)_양곡부두(투찰)-0.31%_합덕-신례원(2공구)투찰_경찰서-터미널간도로(투찰)②_왜관-태평건설 2" xfId="2063" xr:uid="{EBFB2D9B-BABB-471F-AE96-5644B28CCB78}"/>
    <cellStyle name="_신태백(가실행)_양곡부두(투찰)-0.31%_합덕-신례원(2공구)투찰_마현생창(동양고속)" xfId="664" xr:uid="{00000000-0005-0000-0000-000097020000}"/>
    <cellStyle name="_신태백(가실행)_양곡부두(투찰)-0.31%_합덕-신례원(2공구)투찰_마현생창(동양고속) 2" xfId="2064" xr:uid="{F24383A9-BC5C-4D97-A391-9201338D52F4}"/>
    <cellStyle name="_신태백(가실행)_양곡부두(투찰)-0.31%_합덕-신례원(2공구)투찰_마현생창(동양고속)_왜관-태평건설" xfId="665" xr:uid="{00000000-0005-0000-0000-000098020000}"/>
    <cellStyle name="_신태백(가실행)_양곡부두(투찰)-0.31%_합덕-신례원(2공구)투찰_마현생창(동양고속)_왜관-태평건설 2" xfId="2065" xr:uid="{DAC3B108-ED8E-4A94-BB6D-228C6BC0BCD3}"/>
    <cellStyle name="_신태백(가실행)_양곡부두(투찰)-0.31%_합덕-신례원(2공구)투찰_봉무지방산업단지도로(투찰)②" xfId="666" xr:uid="{00000000-0005-0000-0000-000099020000}"/>
    <cellStyle name="_신태백(가실행)_양곡부두(투찰)-0.31%_합덕-신례원(2공구)투찰_봉무지방산업단지도로(투찰)② 2" xfId="2066" xr:uid="{BD036346-2922-4DD3-BC31-DD7DEBEA37DA}"/>
    <cellStyle name="_신태백(가실행)_양곡부두(투찰)-0.31%_합덕-신례원(2공구)투찰_봉무지방산업단지도로(투찰)②_마현생창(동양고속)" xfId="667" xr:uid="{00000000-0005-0000-0000-00009A020000}"/>
    <cellStyle name="_신태백(가실행)_양곡부두(투찰)-0.31%_합덕-신례원(2공구)투찰_봉무지방산업단지도로(투찰)②_마현생창(동양고속) 2" xfId="2067" xr:uid="{0891E852-96F6-4545-81E7-0792619A7493}"/>
    <cellStyle name="_신태백(가실행)_양곡부두(투찰)-0.31%_합덕-신례원(2공구)투찰_봉무지방산업단지도로(투찰)②_마현생창(동양고속)_왜관-태평건설" xfId="668" xr:uid="{00000000-0005-0000-0000-00009B020000}"/>
    <cellStyle name="_신태백(가실행)_양곡부두(투찰)-0.31%_합덕-신례원(2공구)투찰_봉무지방산업단지도로(투찰)②_마현생창(동양고속)_왜관-태평건설 2" xfId="2068" xr:uid="{5C554714-7221-41AA-868A-C239ACC3F5FD}"/>
    <cellStyle name="_신태백(가실행)_양곡부두(투찰)-0.31%_합덕-신례원(2공구)투찰_봉무지방산업단지도로(투찰)②_왜관-태평건설" xfId="669" xr:uid="{00000000-0005-0000-0000-00009C020000}"/>
    <cellStyle name="_신태백(가실행)_양곡부두(투찰)-0.31%_합덕-신례원(2공구)투찰_봉무지방산업단지도로(투찰)②_왜관-태평건설 2" xfId="2069" xr:uid="{8688FBA4-F193-46A7-AC99-73E2CFB551C1}"/>
    <cellStyle name="_신태백(가실행)_양곡부두(투찰)-0.31%_합덕-신례원(2공구)투찰_봉무지방산업단지도로(투찰)②+0.250%" xfId="670" xr:uid="{00000000-0005-0000-0000-00009D020000}"/>
    <cellStyle name="_신태백(가실행)_양곡부두(투찰)-0.31%_합덕-신례원(2공구)투찰_봉무지방산업단지도로(투찰)②+0.250% 2" xfId="2070" xr:uid="{FD4B05B5-7F6C-4E6D-A09C-00ED3D7A6062}"/>
    <cellStyle name="_신태백(가실행)_양곡부두(투찰)-0.31%_합덕-신례원(2공구)투찰_봉무지방산업단지도로(투찰)②+0.250%_마현생창(동양고속)" xfId="671" xr:uid="{00000000-0005-0000-0000-00009E020000}"/>
    <cellStyle name="_신태백(가실행)_양곡부두(투찰)-0.31%_합덕-신례원(2공구)투찰_봉무지방산업단지도로(투찰)②+0.250%_마현생창(동양고속) 2" xfId="2071" xr:uid="{8BA4FA0F-2B8B-4EE3-ADF1-32F49BAE9B72}"/>
    <cellStyle name="_신태백(가실행)_양곡부두(투찰)-0.31%_합덕-신례원(2공구)투찰_봉무지방산업단지도로(투찰)②+0.250%_마현생창(동양고속)_왜관-태평건설" xfId="672" xr:uid="{00000000-0005-0000-0000-00009F020000}"/>
    <cellStyle name="_신태백(가실행)_양곡부두(투찰)-0.31%_합덕-신례원(2공구)투찰_봉무지방산업단지도로(투찰)②+0.250%_마현생창(동양고속)_왜관-태평건설 2" xfId="2072" xr:uid="{3E3E349C-03FD-44FE-96E5-36F7B8880F69}"/>
    <cellStyle name="_신태백(가실행)_양곡부두(투찰)-0.31%_합덕-신례원(2공구)투찰_봉무지방산업단지도로(투찰)②+0.250%_왜관-태평건설" xfId="673" xr:uid="{00000000-0005-0000-0000-0000A0020000}"/>
    <cellStyle name="_신태백(가실행)_양곡부두(투찰)-0.31%_합덕-신례원(2공구)투찰_봉무지방산업단지도로(투찰)②+0.250%_왜관-태평건설 2" xfId="2073" xr:uid="{2EEB3AE8-8FE5-42AE-BF61-1E1256EE4424}"/>
    <cellStyle name="_신태백(가실행)_양곡부두(투찰)-0.31%_합덕-신례원(2공구)투찰_왜관-태평건설" xfId="674" xr:uid="{00000000-0005-0000-0000-0000A1020000}"/>
    <cellStyle name="_신태백(가실행)_양곡부두(투찰)-0.31%_합덕-신례원(2공구)투찰_왜관-태평건설 2" xfId="2074" xr:uid="{495764D0-889C-4755-AEE4-189A3CEF4F4F}"/>
    <cellStyle name="_신태백(가실행)_양곡부두(투찰)-0.31%_합덕-신례원(2공구)투찰_합덕-신례원(2공구)투찰" xfId="675" xr:uid="{00000000-0005-0000-0000-0000A2020000}"/>
    <cellStyle name="_신태백(가실행)_양곡부두(투찰)-0.31%_합덕-신례원(2공구)투찰_합덕-신례원(2공구)투찰 2" xfId="2075" xr:uid="{D348A8E0-F50B-4FCA-A139-7B725EFD38B4}"/>
    <cellStyle name="_신태백(가실행)_양곡부두(투찰)-0.31%_합덕-신례원(2공구)투찰_합덕-신례원(2공구)투찰_경찰서-터미널간도로(투찰)②" xfId="676" xr:uid="{00000000-0005-0000-0000-0000A3020000}"/>
    <cellStyle name="_신태백(가실행)_양곡부두(투찰)-0.31%_합덕-신례원(2공구)투찰_합덕-신례원(2공구)투찰_경찰서-터미널간도로(투찰)② 2" xfId="2076" xr:uid="{A3D7DF77-5F48-4C4C-A4F0-63C35D69065D}"/>
    <cellStyle name="_신태백(가실행)_양곡부두(투찰)-0.31%_합덕-신례원(2공구)투찰_합덕-신례원(2공구)투찰_경찰서-터미널간도로(투찰)②_마현생창(동양고속)" xfId="677" xr:uid="{00000000-0005-0000-0000-0000A4020000}"/>
    <cellStyle name="_신태백(가실행)_양곡부두(투찰)-0.31%_합덕-신례원(2공구)투찰_합덕-신례원(2공구)투찰_경찰서-터미널간도로(투찰)②_마현생창(동양고속) 2" xfId="2077" xr:uid="{A5390E82-9BD4-422E-9990-802F60C488F5}"/>
    <cellStyle name="_신태백(가실행)_양곡부두(투찰)-0.31%_합덕-신례원(2공구)투찰_합덕-신례원(2공구)투찰_경찰서-터미널간도로(투찰)②_마현생창(동양고속)_왜관-태평건설" xfId="678" xr:uid="{00000000-0005-0000-0000-0000A5020000}"/>
    <cellStyle name="_신태백(가실행)_양곡부두(투찰)-0.31%_합덕-신례원(2공구)투찰_합덕-신례원(2공구)투찰_경찰서-터미널간도로(투찰)②_마현생창(동양고속)_왜관-태평건설 2" xfId="2078" xr:uid="{3835A8A4-2DB9-4689-B358-4A3F8FD084BE}"/>
    <cellStyle name="_신태백(가실행)_양곡부두(투찰)-0.31%_합덕-신례원(2공구)투찰_합덕-신례원(2공구)투찰_경찰서-터미널간도로(투찰)②_왜관-태평건설" xfId="679" xr:uid="{00000000-0005-0000-0000-0000A6020000}"/>
    <cellStyle name="_신태백(가실행)_양곡부두(투찰)-0.31%_합덕-신례원(2공구)투찰_합덕-신례원(2공구)투찰_경찰서-터미널간도로(투찰)②_왜관-태평건설 2" xfId="2079" xr:uid="{2941443B-050E-45E5-BCC9-F8F684186797}"/>
    <cellStyle name="_신태백(가실행)_양곡부두(투찰)-0.31%_합덕-신례원(2공구)투찰_합덕-신례원(2공구)투찰_마현생창(동양고속)" xfId="680" xr:uid="{00000000-0005-0000-0000-0000A7020000}"/>
    <cellStyle name="_신태백(가실행)_양곡부두(투찰)-0.31%_합덕-신례원(2공구)투찰_합덕-신례원(2공구)투찰_마현생창(동양고속) 2" xfId="2080" xr:uid="{B89B984D-8CC8-4C03-A88F-21DD79ADBD68}"/>
    <cellStyle name="_신태백(가실행)_양곡부두(투찰)-0.31%_합덕-신례원(2공구)투찰_합덕-신례원(2공구)투찰_마현생창(동양고속)_왜관-태평건설" xfId="681" xr:uid="{00000000-0005-0000-0000-0000A8020000}"/>
    <cellStyle name="_신태백(가실행)_양곡부두(투찰)-0.31%_합덕-신례원(2공구)투찰_합덕-신례원(2공구)투찰_마현생창(동양고속)_왜관-태평건설 2" xfId="2081" xr:uid="{5BFCB345-7294-405F-8708-6360B830F6E9}"/>
    <cellStyle name="_신태백(가실행)_양곡부두(투찰)-0.31%_합덕-신례원(2공구)투찰_합덕-신례원(2공구)투찰_봉무지방산업단지도로(투찰)②" xfId="682" xr:uid="{00000000-0005-0000-0000-0000A9020000}"/>
    <cellStyle name="_신태백(가실행)_양곡부두(투찰)-0.31%_합덕-신례원(2공구)투찰_합덕-신례원(2공구)투찰_봉무지방산업단지도로(투찰)② 2" xfId="2082" xr:uid="{94E96868-C3A0-4290-A099-316E881D92C6}"/>
    <cellStyle name="_신태백(가실행)_양곡부두(투찰)-0.31%_합덕-신례원(2공구)투찰_합덕-신례원(2공구)투찰_봉무지방산업단지도로(투찰)②_마현생창(동양고속)" xfId="683" xr:uid="{00000000-0005-0000-0000-0000AA020000}"/>
    <cellStyle name="_신태백(가실행)_양곡부두(투찰)-0.31%_합덕-신례원(2공구)투찰_합덕-신례원(2공구)투찰_봉무지방산업단지도로(투찰)②_마현생창(동양고속) 2" xfId="2083" xr:uid="{082DC4C5-405E-42AA-AB95-5A7BEA075F6F}"/>
    <cellStyle name="_신태백(가실행)_양곡부두(투찰)-0.31%_합덕-신례원(2공구)투찰_합덕-신례원(2공구)투찰_봉무지방산업단지도로(투찰)②_마현생창(동양고속)_왜관-태평건설" xfId="684" xr:uid="{00000000-0005-0000-0000-0000AB020000}"/>
    <cellStyle name="_신태백(가실행)_양곡부두(투찰)-0.31%_합덕-신례원(2공구)투찰_합덕-신례원(2공구)투찰_봉무지방산업단지도로(투찰)②_마현생창(동양고속)_왜관-태평건설 2" xfId="2084" xr:uid="{93FAD14B-B21B-4DA4-8594-B1AABA289564}"/>
    <cellStyle name="_신태백(가실행)_양곡부두(투찰)-0.31%_합덕-신례원(2공구)투찰_합덕-신례원(2공구)투찰_봉무지방산업단지도로(투찰)②_왜관-태평건설" xfId="685" xr:uid="{00000000-0005-0000-0000-0000AC020000}"/>
    <cellStyle name="_신태백(가실행)_양곡부두(투찰)-0.31%_합덕-신례원(2공구)투찰_합덕-신례원(2공구)투찰_봉무지방산업단지도로(투찰)②_왜관-태평건설 2" xfId="2085" xr:uid="{F093B15C-A09F-4D60-89E9-DEA2497D88F1}"/>
    <cellStyle name="_신태백(가실행)_양곡부두(투찰)-0.31%_합덕-신례원(2공구)투찰_합덕-신례원(2공구)투찰_봉무지방산업단지도로(투찰)②+0.250%" xfId="686" xr:uid="{00000000-0005-0000-0000-0000AD020000}"/>
    <cellStyle name="_신태백(가실행)_양곡부두(투찰)-0.31%_합덕-신례원(2공구)투찰_합덕-신례원(2공구)투찰_봉무지방산업단지도로(투찰)②+0.250% 2" xfId="2086" xr:uid="{2CEACCA5-0FA5-49C9-B644-CA68DE694C06}"/>
    <cellStyle name="_신태백(가실행)_양곡부두(투찰)-0.31%_합덕-신례원(2공구)투찰_합덕-신례원(2공구)투찰_봉무지방산업단지도로(투찰)②+0.250%_마현생창(동양고속)" xfId="687" xr:uid="{00000000-0005-0000-0000-0000AE020000}"/>
    <cellStyle name="_신태백(가실행)_양곡부두(투찰)-0.31%_합덕-신례원(2공구)투찰_합덕-신례원(2공구)투찰_봉무지방산업단지도로(투찰)②+0.250%_마현생창(동양고속) 2" xfId="2087" xr:uid="{B10BE484-1531-4E07-A12D-72B627D2C952}"/>
    <cellStyle name="_신태백(가실행)_양곡부두(투찰)-0.31%_합덕-신례원(2공구)투찰_합덕-신례원(2공구)투찰_봉무지방산업단지도로(투찰)②+0.250%_마현생창(동양고속)_왜관-태평건설" xfId="688" xr:uid="{00000000-0005-0000-0000-0000AF020000}"/>
    <cellStyle name="_신태백(가실행)_양곡부두(투찰)-0.31%_합덕-신례원(2공구)투찰_합덕-신례원(2공구)투찰_봉무지방산업단지도로(투찰)②+0.250%_마현생창(동양고속)_왜관-태평건설 2" xfId="2088" xr:uid="{5F16053F-49F9-4829-99F0-084E27FA03CC}"/>
    <cellStyle name="_신태백(가실행)_양곡부두(투찰)-0.31%_합덕-신례원(2공구)투찰_합덕-신례원(2공구)투찰_봉무지방산업단지도로(투찰)②+0.250%_왜관-태평건설" xfId="689" xr:uid="{00000000-0005-0000-0000-0000B0020000}"/>
    <cellStyle name="_신태백(가실행)_양곡부두(투찰)-0.31%_합덕-신례원(2공구)투찰_합덕-신례원(2공구)투찰_봉무지방산업단지도로(투찰)②+0.250%_왜관-태평건설 2" xfId="2089" xr:uid="{C29879F6-6D88-4004-AEC7-C7E6EA5BAAF4}"/>
    <cellStyle name="_신태백(가실행)_양곡부두(투찰)-0.31%_합덕-신례원(2공구)투찰_합덕-신례원(2공구)투찰_왜관-태평건설" xfId="690" xr:uid="{00000000-0005-0000-0000-0000B1020000}"/>
    <cellStyle name="_신태백(가실행)_양곡부두(투찰)-0.31%_합덕-신례원(2공구)투찰_합덕-신례원(2공구)투찰_왜관-태평건설 2" xfId="2090" xr:uid="{159AC52A-A7F9-4824-8066-21A658ECC361}"/>
    <cellStyle name="_신태백(가실행)_왜관-태평건설" xfId="691" xr:uid="{00000000-0005-0000-0000-0000B2020000}"/>
    <cellStyle name="_신태백(가실행)_왜관-태평건설 2" xfId="2091" xr:uid="{13346A86-6665-49D4-90A5-2C0D7862302B}"/>
    <cellStyle name="_신태백(가실행)_창원상수도(토목)투찰" xfId="692" xr:uid="{00000000-0005-0000-0000-0000B3020000}"/>
    <cellStyle name="_신태백(가실행)_창원상수도(토목)투찰 2" xfId="2092" xr:uid="{C5F95A4A-9982-47EE-85F7-CE339F564706}"/>
    <cellStyle name="_신태백(가실행)_창원상수도(토목)투찰_경찰서-터미널간도로(투찰)②" xfId="693" xr:uid="{00000000-0005-0000-0000-0000B4020000}"/>
    <cellStyle name="_신태백(가실행)_창원상수도(토목)투찰_경찰서-터미널간도로(투찰)② 2" xfId="2093" xr:uid="{5416921D-A4A6-42DB-B339-A505E6A6A844}"/>
    <cellStyle name="_신태백(가실행)_창원상수도(토목)투찰_경찰서-터미널간도로(투찰)②_마현생창(동양고속)" xfId="694" xr:uid="{00000000-0005-0000-0000-0000B5020000}"/>
    <cellStyle name="_신태백(가실행)_창원상수도(토목)투찰_경찰서-터미널간도로(투찰)②_마현생창(동양고속) 2" xfId="2094" xr:uid="{347834A5-7496-486E-A611-8AF2F1DB57EB}"/>
    <cellStyle name="_신태백(가실행)_창원상수도(토목)투찰_경찰서-터미널간도로(투찰)②_마현생창(동양고속)_왜관-태평건설" xfId="695" xr:uid="{00000000-0005-0000-0000-0000B6020000}"/>
    <cellStyle name="_신태백(가실행)_창원상수도(토목)투찰_경찰서-터미널간도로(투찰)②_마현생창(동양고속)_왜관-태평건설 2" xfId="2095" xr:uid="{D910AD9E-10C7-40B3-A2FD-BC959EDFD077}"/>
    <cellStyle name="_신태백(가실행)_창원상수도(토목)투찰_경찰서-터미널간도로(투찰)②_왜관-태평건설" xfId="696" xr:uid="{00000000-0005-0000-0000-0000B7020000}"/>
    <cellStyle name="_신태백(가실행)_창원상수도(토목)투찰_경찰서-터미널간도로(투찰)②_왜관-태평건설 2" xfId="2096" xr:uid="{229CF068-E192-43B1-A0CF-0100B57A5E5A}"/>
    <cellStyle name="_신태백(가실행)_창원상수도(토목)투찰_마현생창(동양고속)" xfId="697" xr:uid="{00000000-0005-0000-0000-0000B8020000}"/>
    <cellStyle name="_신태백(가실행)_창원상수도(토목)투찰_마현생창(동양고속) 2" xfId="2097" xr:uid="{A894E4D1-FD56-451E-9B91-402B71D0CEA6}"/>
    <cellStyle name="_신태백(가실행)_창원상수도(토목)투찰_마현생창(동양고속)_왜관-태평건설" xfId="698" xr:uid="{00000000-0005-0000-0000-0000B9020000}"/>
    <cellStyle name="_신태백(가실행)_창원상수도(토목)투찰_마현생창(동양고속)_왜관-태평건설 2" xfId="2098" xr:uid="{1BFDFA3F-2458-4CC1-9A1A-41BA5F81630C}"/>
    <cellStyle name="_신태백(가실행)_창원상수도(토목)투찰_봉무지방산업단지도로(투찰)②" xfId="699" xr:uid="{00000000-0005-0000-0000-0000BA020000}"/>
    <cellStyle name="_신태백(가실행)_창원상수도(토목)투찰_봉무지방산업단지도로(투찰)② 2" xfId="2099" xr:uid="{959DF34D-4E39-4EE6-8A3C-ACC1DC4FE656}"/>
    <cellStyle name="_신태백(가실행)_창원상수도(토목)투찰_봉무지방산업단지도로(투찰)②_마현생창(동양고속)" xfId="700" xr:uid="{00000000-0005-0000-0000-0000BB020000}"/>
    <cellStyle name="_신태백(가실행)_창원상수도(토목)투찰_봉무지방산업단지도로(투찰)②_마현생창(동양고속) 2" xfId="2100" xr:uid="{970D17B4-989B-495F-AD87-FCF53E1EDE56}"/>
    <cellStyle name="_신태백(가실행)_창원상수도(토목)투찰_봉무지방산업단지도로(투찰)②_마현생창(동양고속)_왜관-태평건설" xfId="701" xr:uid="{00000000-0005-0000-0000-0000BC020000}"/>
    <cellStyle name="_신태백(가실행)_창원상수도(토목)투찰_봉무지방산업단지도로(투찰)②_마현생창(동양고속)_왜관-태평건설 2" xfId="2101" xr:uid="{B117688A-1D41-4AFA-BFA6-0D2D20A00128}"/>
    <cellStyle name="_신태백(가실행)_창원상수도(토목)투찰_봉무지방산업단지도로(투찰)②_왜관-태평건설" xfId="702" xr:uid="{00000000-0005-0000-0000-0000BD020000}"/>
    <cellStyle name="_신태백(가실행)_창원상수도(토목)투찰_봉무지방산업단지도로(투찰)②_왜관-태평건설 2" xfId="2102" xr:uid="{FD808A36-8097-4C6F-8D42-FBEB97AABE77}"/>
    <cellStyle name="_신태백(가실행)_창원상수도(토목)투찰_봉무지방산업단지도로(투찰)②+0.250%" xfId="703" xr:uid="{00000000-0005-0000-0000-0000BE020000}"/>
    <cellStyle name="_신태백(가실행)_창원상수도(토목)투찰_봉무지방산업단지도로(투찰)②+0.250% 2" xfId="2103" xr:uid="{A50EF65E-CB32-4D08-A266-F55B0D805EB3}"/>
    <cellStyle name="_신태백(가실행)_창원상수도(토목)투찰_봉무지방산업단지도로(투찰)②+0.250%_마현생창(동양고속)" xfId="704" xr:uid="{00000000-0005-0000-0000-0000BF020000}"/>
    <cellStyle name="_신태백(가실행)_창원상수도(토목)투찰_봉무지방산업단지도로(투찰)②+0.250%_마현생창(동양고속) 2" xfId="2104" xr:uid="{13F7479E-B025-4869-AD5A-E4345AC5BE4D}"/>
    <cellStyle name="_신태백(가실행)_창원상수도(토목)투찰_봉무지방산업단지도로(투찰)②+0.250%_마현생창(동양고속)_왜관-태평건설" xfId="705" xr:uid="{00000000-0005-0000-0000-0000C0020000}"/>
    <cellStyle name="_신태백(가실행)_창원상수도(토목)투찰_봉무지방산업단지도로(투찰)②+0.250%_마현생창(동양고속)_왜관-태평건설 2" xfId="2105" xr:uid="{70D0CC5A-9667-4BA3-9846-30FCBC61FAE2}"/>
    <cellStyle name="_신태백(가실행)_창원상수도(토목)투찰_봉무지방산업단지도로(투찰)②+0.250%_왜관-태평건설" xfId="706" xr:uid="{00000000-0005-0000-0000-0000C1020000}"/>
    <cellStyle name="_신태백(가실행)_창원상수도(토목)투찰_봉무지방산업단지도로(투찰)②+0.250%_왜관-태평건설 2" xfId="2106" xr:uid="{BE7E1180-BE63-418A-B007-24BE0DEB8A2B}"/>
    <cellStyle name="_신태백(가실행)_창원상수도(토목)투찰_왜관-태평건설" xfId="707" xr:uid="{00000000-0005-0000-0000-0000C2020000}"/>
    <cellStyle name="_신태백(가실행)_창원상수도(토목)투찰_왜관-태평건설 2" xfId="2107" xr:uid="{E80CF32A-6315-4CD2-99B3-91E618AC5EAE}"/>
    <cellStyle name="_신태백(가실행)_창원상수도(토목)투찰_합덕-신례원(2공구)투찰" xfId="708" xr:uid="{00000000-0005-0000-0000-0000C3020000}"/>
    <cellStyle name="_신태백(가실행)_창원상수도(토목)투찰_합덕-신례원(2공구)투찰 2" xfId="2108" xr:uid="{F25B0C05-54A6-421F-A4F5-017C64553F90}"/>
    <cellStyle name="_신태백(가실행)_창원상수도(토목)투찰_합덕-신례원(2공구)투찰_경찰서-터미널간도로(투찰)②" xfId="709" xr:uid="{00000000-0005-0000-0000-0000C4020000}"/>
    <cellStyle name="_신태백(가실행)_창원상수도(토목)투찰_합덕-신례원(2공구)투찰_경찰서-터미널간도로(투찰)② 2" xfId="2109" xr:uid="{68CC5E22-EBB4-401C-8B9F-61EC27A476D7}"/>
    <cellStyle name="_신태백(가실행)_창원상수도(토목)투찰_합덕-신례원(2공구)투찰_경찰서-터미널간도로(투찰)②_마현생창(동양고속)" xfId="710" xr:uid="{00000000-0005-0000-0000-0000C5020000}"/>
    <cellStyle name="_신태백(가실행)_창원상수도(토목)투찰_합덕-신례원(2공구)투찰_경찰서-터미널간도로(투찰)②_마현생창(동양고속) 2" xfId="2110" xr:uid="{957CB08D-A296-4F66-9C3B-AA3FF4D79B76}"/>
    <cellStyle name="_신태백(가실행)_창원상수도(토목)투찰_합덕-신례원(2공구)투찰_경찰서-터미널간도로(투찰)②_마현생창(동양고속)_왜관-태평건설" xfId="711" xr:uid="{00000000-0005-0000-0000-0000C6020000}"/>
    <cellStyle name="_신태백(가실행)_창원상수도(토목)투찰_합덕-신례원(2공구)투찰_경찰서-터미널간도로(투찰)②_마현생창(동양고속)_왜관-태평건설 2" xfId="2111" xr:uid="{5D6C4603-BDA6-4B54-AD4C-D794FD837E4C}"/>
    <cellStyle name="_신태백(가실행)_창원상수도(토목)투찰_합덕-신례원(2공구)투찰_경찰서-터미널간도로(투찰)②_왜관-태평건설" xfId="712" xr:uid="{00000000-0005-0000-0000-0000C7020000}"/>
    <cellStyle name="_신태백(가실행)_창원상수도(토목)투찰_합덕-신례원(2공구)투찰_경찰서-터미널간도로(투찰)②_왜관-태평건설 2" xfId="2112" xr:uid="{F7B2C9FB-FDF2-4667-9E1F-0972A655FE51}"/>
    <cellStyle name="_신태백(가실행)_창원상수도(토목)투찰_합덕-신례원(2공구)투찰_마현생창(동양고속)" xfId="713" xr:uid="{00000000-0005-0000-0000-0000C8020000}"/>
    <cellStyle name="_신태백(가실행)_창원상수도(토목)투찰_합덕-신례원(2공구)투찰_마현생창(동양고속) 2" xfId="2113" xr:uid="{34E045BA-67B9-4302-81D8-96605D7C2C2E}"/>
    <cellStyle name="_신태백(가실행)_창원상수도(토목)투찰_합덕-신례원(2공구)투찰_마현생창(동양고속)_왜관-태평건설" xfId="714" xr:uid="{00000000-0005-0000-0000-0000C9020000}"/>
    <cellStyle name="_신태백(가실행)_창원상수도(토목)투찰_합덕-신례원(2공구)투찰_마현생창(동양고속)_왜관-태평건설 2" xfId="2114" xr:uid="{D0E2DE53-0CA0-4AE3-BFD2-335B7765BA21}"/>
    <cellStyle name="_신태백(가실행)_창원상수도(토목)투찰_합덕-신례원(2공구)투찰_봉무지방산업단지도로(투찰)②" xfId="715" xr:uid="{00000000-0005-0000-0000-0000CA020000}"/>
    <cellStyle name="_신태백(가실행)_창원상수도(토목)투찰_합덕-신례원(2공구)투찰_봉무지방산업단지도로(투찰)② 2" xfId="2115" xr:uid="{8170C590-4C60-4C96-9B6D-D9789C8E5F3F}"/>
    <cellStyle name="_신태백(가실행)_창원상수도(토목)투찰_합덕-신례원(2공구)투찰_봉무지방산업단지도로(투찰)②_마현생창(동양고속)" xfId="716" xr:uid="{00000000-0005-0000-0000-0000CB020000}"/>
    <cellStyle name="_신태백(가실행)_창원상수도(토목)투찰_합덕-신례원(2공구)투찰_봉무지방산업단지도로(투찰)②_마현생창(동양고속) 2" xfId="2116" xr:uid="{1EFB2575-3CA4-40AF-B1BB-A7BE36B0BC7B}"/>
    <cellStyle name="_신태백(가실행)_창원상수도(토목)투찰_합덕-신례원(2공구)투찰_봉무지방산업단지도로(투찰)②_마현생창(동양고속)_왜관-태평건설" xfId="717" xr:uid="{00000000-0005-0000-0000-0000CC020000}"/>
    <cellStyle name="_신태백(가실행)_창원상수도(토목)투찰_합덕-신례원(2공구)투찰_봉무지방산업단지도로(투찰)②_마현생창(동양고속)_왜관-태평건설 2" xfId="2117" xr:uid="{4F92C34C-85AD-4EC9-8883-3CDC1D7C3F1B}"/>
    <cellStyle name="_신태백(가실행)_창원상수도(토목)투찰_합덕-신례원(2공구)투찰_봉무지방산업단지도로(투찰)②_왜관-태평건설" xfId="718" xr:uid="{00000000-0005-0000-0000-0000CD020000}"/>
    <cellStyle name="_신태백(가실행)_창원상수도(토목)투찰_합덕-신례원(2공구)투찰_봉무지방산업단지도로(투찰)②_왜관-태평건설 2" xfId="2118" xr:uid="{4133157C-0684-498D-9D90-C75800895359}"/>
    <cellStyle name="_신태백(가실행)_창원상수도(토목)투찰_합덕-신례원(2공구)투찰_봉무지방산업단지도로(투찰)②+0.250%" xfId="719" xr:uid="{00000000-0005-0000-0000-0000CE020000}"/>
    <cellStyle name="_신태백(가실행)_창원상수도(토목)투찰_합덕-신례원(2공구)투찰_봉무지방산업단지도로(투찰)②+0.250% 2" xfId="2119" xr:uid="{E5232261-9762-4E52-B550-4F931C1CB80B}"/>
    <cellStyle name="_신태백(가실행)_창원상수도(토목)투찰_합덕-신례원(2공구)투찰_봉무지방산업단지도로(투찰)②+0.250%_마현생창(동양고속)" xfId="720" xr:uid="{00000000-0005-0000-0000-0000CF020000}"/>
    <cellStyle name="_신태백(가실행)_창원상수도(토목)투찰_합덕-신례원(2공구)투찰_봉무지방산업단지도로(투찰)②+0.250%_마현생창(동양고속) 2" xfId="2120" xr:uid="{74303C04-56BE-4B51-8786-B21C2629C252}"/>
    <cellStyle name="_신태백(가실행)_창원상수도(토목)투찰_합덕-신례원(2공구)투찰_봉무지방산업단지도로(투찰)②+0.250%_마현생창(동양고속)_왜관-태평건설" xfId="721" xr:uid="{00000000-0005-0000-0000-0000D0020000}"/>
    <cellStyle name="_신태백(가실행)_창원상수도(토목)투찰_합덕-신례원(2공구)투찰_봉무지방산업단지도로(투찰)②+0.250%_마현생창(동양고속)_왜관-태평건설 2" xfId="2121" xr:uid="{D8F44466-19FD-4F5C-A83E-04A41583C480}"/>
    <cellStyle name="_신태백(가실행)_창원상수도(토목)투찰_합덕-신례원(2공구)투찰_봉무지방산업단지도로(투찰)②+0.250%_왜관-태평건설" xfId="722" xr:uid="{00000000-0005-0000-0000-0000D1020000}"/>
    <cellStyle name="_신태백(가실행)_창원상수도(토목)투찰_합덕-신례원(2공구)투찰_봉무지방산업단지도로(투찰)②+0.250%_왜관-태평건설 2" xfId="2122" xr:uid="{40EA598F-FAB5-4159-9CE9-E210F1F469BB}"/>
    <cellStyle name="_신태백(가실행)_창원상수도(토목)투찰_합덕-신례원(2공구)투찰_왜관-태평건설" xfId="723" xr:uid="{00000000-0005-0000-0000-0000D2020000}"/>
    <cellStyle name="_신태백(가실행)_창원상수도(토목)투찰_합덕-신례원(2공구)투찰_왜관-태평건설 2" xfId="2123" xr:uid="{95C12B66-594D-4EBD-92F2-FC751E4C4D20}"/>
    <cellStyle name="_신태백(가실행)_창원상수도(토목)투찰_합덕-신례원(2공구)투찰_합덕-신례원(2공구)투찰" xfId="724" xr:uid="{00000000-0005-0000-0000-0000D3020000}"/>
    <cellStyle name="_신태백(가실행)_창원상수도(토목)투찰_합덕-신례원(2공구)투찰_합덕-신례원(2공구)투찰 2" xfId="2124" xr:uid="{F6F39D78-47A9-4C40-AB94-BBA1AC3EECCB}"/>
    <cellStyle name="_신태백(가실행)_창원상수도(토목)투찰_합덕-신례원(2공구)투찰_합덕-신례원(2공구)투찰_경찰서-터미널간도로(투찰)②" xfId="725" xr:uid="{00000000-0005-0000-0000-0000D4020000}"/>
    <cellStyle name="_신태백(가실행)_창원상수도(토목)투찰_합덕-신례원(2공구)투찰_합덕-신례원(2공구)투찰_경찰서-터미널간도로(투찰)② 2" xfId="2125" xr:uid="{B25B3818-AA79-49D8-B8AB-D986F7C30910}"/>
    <cellStyle name="_신태백(가실행)_창원상수도(토목)투찰_합덕-신례원(2공구)투찰_합덕-신례원(2공구)투찰_경찰서-터미널간도로(투찰)②_마현생창(동양고속)" xfId="726" xr:uid="{00000000-0005-0000-0000-0000D5020000}"/>
    <cellStyle name="_신태백(가실행)_창원상수도(토목)투찰_합덕-신례원(2공구)투찰_합덕-신례원(2공구)투찰_경찰서-터미널간도로(투찰)②_마현생창(동양고속) 2" xfId="2126" xr:uid="{358478B3-4C2D-4DCF-B61D-F069C7588FB5}"/>
    <cellStyle name="_신태백(가실행)_창원상수도(토목)투찰_합덕-신례원(2공구)투찰_합덕-신례원(2공구)투찰_경찰서-터미널간도로(투찰)②_마현생창(동양고속)_왜관-태평건설" xfId="727" xr:uid="{00000000-0005-0000-0000-0000D6020000}"/>
    <cellStyle name="_신태백(가실행)_창원상수도(토목)투찰_합덕-신례원(2공구)투찰_합덕-신례원(2공구)투찰_경찰서-터미널간도로(투찰)②_마현생창(동양고속)_왜관-태평건설 2" xfId="2127" xr:uid="{A3217803-DBF7-46C3-8247-5AE2996AD04B}"/>
    <cellStyle name="_신태백(가실행)_창원상수도(토목)투찰_합덕-신례원(2공구)투찰_합덕-신례원(2공구)투찰_경찰서-터미널간도로(투찰)②_왜관-태평건설" xfId="728" xr:uid="{00000000-0005-0000-0000-0000D7020000}"/>
    <cellStyle name="_신태백(가실행)_창원상수도(토목)투찰_합덕-신례원(2공구)투찰_합덕-신례원(2공구)투찰_경찰서-터미널간도로(투찰)②_왜관-태평건설 2" xfId="2128" xr:uid="{FFB1EB2C-9539-426E-8E4F-A3F734817C48}"/>
    <cellStyle name="_신태백(가실행)_창원상수도(토목)투찰_합덕-신례원(2공구)투찰_합덕-신례원(2공구)투찰_마현생창(동양고속)" xfId="729" xr:uid="{00000000-0005-0000-0000-0000D8020000}"/>
    <cellStyle name="_신태백(가실행)_창원상수도(토목)투찰_합덕-신례원(2공구)투찰_합덕-신례원(2공구)투찰_마현생창(동양고속) 2" xfId="2129" xr:uid="{C53801C9-3B04-42CB-97FD-0C82A477CD45}"/>
    <cellStyle name="_신태백(가실행)_창원상수도(토목)투찰_합덕-신례원(2공구)투찰_합덕-신례원(2공구)투찰_마현생창(동양고속)_왜관-태평건설" xfId="730" xr:uid="{00000000-0005-0000-0000-0000D9020000}"/>
    <cellStyle name="_신태백(가실행)_창원상수도(토목)투찰_합덕-신례원(2공구)투찰_합덕-신례원(2공구)투찰_마현생창(동양고속)_왜관-태평건설 2" xfId="2130" xr:uid="{2201DDC1-A41E-4929-AF7B-5D64439408C8}"/>
    <cellStyle name="_신태백(가실행)_창원상수도(토목)투찰_합덕-신례원(2공구)투찰_합덕-신례원(2공구)투찰_봉무지방산업단지도로(투찰)②" xfId="731" xr:uid="{00000000-0005-0000-0000-0000DA020000}"/>
    <cellStyle name="_신태백(가실행)_창원상수도(토목)투찰_합덕-신례원(2공구)투찰_합덕-신례원(2공구)투찰_봉무지방산업단지도로(투찰)② 2" xfId="2131" xr:uid="{F8F15FA0-9D80-42FD-B1FD-961221DD496F}"/>
    <cellStyle name="_신태백(가실행)_창원상수도(토목)투찰_합덕-신례원(2공구)투찰_합덕-신례원(2공구)투찰_봉무지방산업단지도로(투찰)②_마현생창(동양고속)" xfId="732" xr:uid="{00000000-0005-0000-0000-0000DB020000}"/>
    <cellStyle name="_신태백(가실행)_창원상수도(토목)투찰_합덕-신례원(2공구)투찰_합덕-신례원(2공구)투찰_봉무지방산업단지도로(투찰)②_마현생창(동양고속) 2" xfId="2132" xr:uid="{81C701E8-523E-406D-9E4A-B4DE5FB9B94F}"/>
    <cellStyle name="_신태백(가실행)_창원상수도(토목)투찰_합덕-신례원(2공구)투찰_합덕-신례원(2공구)투찰_봉무지방산업단지도로(투찰)②_마현생창(동양고속)_왜관-태평건설" xfId="733" xr:uid="{00000000-0005-0000-0000-0000DC020000}"/>
    <cellStyle name="_신태백(가실행)_창원상수도(토목)투찰_합덕-신례원(2공구)투찰_합덕-신례원(2공구)투찰_봉무지방산업단지도로(투찰)②_마현생창(동양고속)_왜관-태평건설 2" xfId="2133" xr:uid="{E83DC87D-92D7-48DF-900C-BADB0221D8B4}"/>
    <cellStyle name="_신태백(가실행)_창원상수도(토목)투찰_합덕-신례원(2공구)투찰_합덕-신례원(2공구)투찰_봉무지방산업단지도로(투찰)②_왜관-태평건설" xfId="734" xr:uid="{00000000-0005-0000-0000-0000DD020000}"/>
    <cellStyle name="_신태백(가실행)_창원상수도(토목)투찰_합덕-신례원(2공구)투찰_합덕-신례원(2공구)투찰_봉무지방산업단지도로(투찰)②_왜관-태평건설 2" xfId="2134" xr:uid="{4BA17510-0C30-4CFF-A615-91B6F882390D}"/>
    <cellStyle name="_신태백(가실행)_창원상수도(토목)투찰_합덕-신례원(2공구)투찰_합덕-신례원(2공구)투찰_봉무지방산업단지도로(투찰)②+0.250%" xfId="735" xr:uid="{00000000-0005-0000-0000-0000DE020000}"/>
    <cellStyle name="_신태백(가실행)_창원상수도(토목)투찰_합덕-신례원(2공구)투찰_합덕-신례원(2공구)투찰_봉무지방산업단지도로(투찰)②+0.250% 2" xfId="2135" xr:uid="{A1201228-CA2D-4376-AF69-9DB105D3E0A5}"/>
    <cellStyle name="_신태백(가실행)_창원상수도(토목)투찰_합덕-신례원(2공구)투찰_합덕-신례원(2공구)투찰_봉무지방산업단지도로(투찰)②+0.250%_마현생창(동양고속)" xfId="736" xr:uid="{00000000-0005-0000-0000-0000DF020000}"/>
    <cellStyle name="_신태백(가실행)_창원상수도(토목)투찰_합덕-신례원(2공구)투찰_합덕-신례원(2공구)투찰_봉무지방산업단지도로(투찰)②+0.250%_마현생창(동양고속) 2" xfId="2136" xr:uid="{20933FF7-D61F-4059-B337-C98B4F6AD953}"/>
    <cellStyle name="_신태백(가실행)_창원상수도(토목)투찰_합덕-신례원(2공구)투찰_합덕-신례원(2공구)투찰_봉무지방산업단지도로(투찰)②+0.250%_마현생창(동양고속)_왜관-태평건설" xfId="737" xr:uid="{00000000-0005-0000-0000-0000E0020000}"/>
    <cellStyle name="_신태백(가실행)_창원상수도(토목)투찰_합덕-신례원(2공구)투찰_합덕-신례원(2공구)투찰_봉무지방산업단지도로(투찰)②+0.250%_마현생창(동양고속)_왜관-태평건설 2" xfId="2137" xr:uid="{0C8ED1EA-C8E6-47AB-A0F5-A5914DA6709F}"/>
    <cellStyle name="_신태백(가실행)_창원상수도(토목)투찰_합덕-신례원(2공구)투찰_합덕-신례원(2공구)투찰_봉무지방산업단지도로(투찰)②+0.250%_왜관-태평건설" xfId="738" xr:uid="{00000000-0005-0000-0000-0000E1020000}"/>
    <cellStyle name="_신태백(가실행)_창원상수도(토목)투찰_합덕-신례원(2공구)투찰_합덕-신례원(2공구)투찰_봉무지방산업단지도로(투찰)②+0.250%_왜관-태평건설 2" xfId="2138" xr:uid="{201C49E0-BE21-4870-9F03-4E224D85FC13}"/>
    <cellStyle name="_신태백(가실행)_창원상수도(토목)투찰_합덕-신례원(2공구)투찰_합덕-신례원(2공구)투찰_왜관-태평건설" xfId="739" xr:uid="{00000000-0005-0000-0000-0000E2020000}"/>
    <cellStyle name="_신태백(가실행)_창원상수도(토목)투찰_합덕-신례원(2공구)투찰_합덕-신례원(2공구)투찰_왜관-태평건설 2" xfId="2139" xr:uid="{1AECF85D-FE0B-47C5-9D73-7EB280DC5023}"/>
    <cellStyle name="_신태백(가실행)_합덕-신례원(2공구)투찰" xfId="740" xr:uid="{00000000-0005-0000-0000-0000E3020000}"/>
    <cellStyle name="_신태백(가실행)_합덕-신례원(2공구)투찰 2" xfId="2140" xr:uid="{95DE7EB3-AAAC-4254-AB64-6734ECCE047F}"/>
    <cellStyle name="_신태백(가실행)_합덕-신례원(2공구)투찰_경찰서-터미널간도로(투찰)②" xfId="741" xr:uid="{00000000-0005-0000-0000-0000E4020000}"/>
    <cellStyle name="_신태백(가실행)_합덕-신례원(2공구)투찰_경찰서-터미널간도로(투찰)② 2" xfId="2141" xr:uid="{2A2377FF-8D7C-4EE8-A14C-2F3066722656}"/>
    <cellStyle name="_신태백(가실행)_합덕-신례원(2공구)투찰_경찰서-터미널간도로(투찰)②_마현생창(동양고속)" xfId="742" xr:uid="{00000000-0005-0000-0000-0000E5020000}"/>
    <cellStyle name="_신태백(가실행)_합덕-신례원(2공구)투찰_경찰서-터미널간도로(투찰)②_마현생창(동양고속) 2" xfId="2142" xr:uid="{157CF01D-25F1-4A48-BE64-B0839258A432}"/>
    <cellStyle name="_신태백(가실행)_합덕-신례원(2공구)투찰_경찰서-터미널간도로(투찰)②_마현생창(동양고속)_왜관-태평건설" xfId="743" xr:uid="{00000000-0005-0000-0000-0000E6020000}"/>
    <cellStyle name="_신태백(가실행)_합덕-신례원(2공구)투찰_경찰서-터미널간도로(투찰)②_마현생창(동양고속)_왜관-태평건설 2" xfId="2143" xr:uid="{BB432A60-305E-4C7D-AB4C-4551B802D02E}"/>
    <cellStyle name="_신태백(가실행)_합덕-신례원(2공구)투찰_경찰서-터미널간도로(투찰)②_왜관-태평건설" xfId="744" xr:uid="{00000000-0005-0000-0000-0000E7020000}"/>
    <cellStyle name="_신태백(가실행)_합덕-신례원(2공구)투찰_경찰서-터미널간도로(투찰)②_왜관-태평건설 2" xfId="2144" xr:uid="{A160640C-E2A1-4097-978F-CDAC5AC51926}"/>
    <cellStyle name="_신태백(가실행)_합덕-신례원(2공구)투찰_마현생창(동양고속)" xfId="745" xr:uid="{00000000-0005-0000-0000-0000E8020000}"/>
    <cellStyle name="_신태백(가실행)_합덕-신례원(2공구)투찰_마현생창(동양고속) 2" xfId="2145" xr:uid="{02ACA585-31FC-45B3-AC5B-57CC693E01F2}"/>
    <cellStyle name="_신태백(가실행)_합덕-신례원(2공구)투찰_마현생창(동양고속)_왜관-태평건설" xfId="746" xr:uid="{00000000-0005-0000-0000-0000E9020000}"/>
    <cellStyle name="_신태백(가실행)_합덕-신례원(2공구)투찰_마현생창(동양고속)_왜관-태평건설 2" xfId="2146" xr:uid="{6EA9BF7F-BED7-4193-871D-B9EC447BC165}"/>
    <cellStyle name="_신태백(가실행)_합덕-신례원(2공구)투찰_봉무지방산업단지도로(투찰)②" xfId="747" xr:uid="{00000000-0005-0000-0000-0000EA020000}"/>
    <cellStyle name="_신태백(가실행)_합덕-신례원(2공구)투찰_봉무지방산업단지도로(투찰)② 2" xfId="2147" xr:uid="{6C36DAB7-AA12-43EF-992A-3353BEFAC71A}"/>
    <cellStyle name="_신태백(가실행)_합덕-신례원(2공구)투찰_봉무지방산업단지도로(투찰)②_마현생창(동양고속)" xfId="748" xr:uid="{00000000-0005-0000-0000-0000EB020000}"/>
    <cellStyle name="_신태백(가실행)_합덕-신례원(2공구)투찰_봉무지방산업단지도로(투찰)②_마현생창(동양고속) 2" xfId="2148" xr:uid="{3AFFF802-D0B0-42FC-B652-B362DA11A887}"/>
    <cellStyle name="_신태백(가실행)_합덕-신례원(2공구)투찰_봉무지방산업단지도로(투찰)②_마현생창(동양고속)_왜관-태평건설" xfId="749" xr:uid="{00000000-0005-0000-0000-0000EC020000}"/>
    <cellStyle name="_신태백(가실행)_합덕-신례원(2공구)투찰_봉무지방산업단지도로(투찰)②_마현생창(동양고속)_왜관-태평건설 2" xfId="2149" xr:uid="{4EDD0271-42C4-4B29-A250-0E4666E75853}"/>
    <cellStyle name="_신태백(가실행)_합덕-신례원(2공구)투찰_봉무지방산업단지도로(투찰)②_왜관-태평건설" xfId="750" xr:uid="{00000000-0005-0000-0000-0000ED020000}"/>
    <cellStyle name="_신태백(가실행)_합덕-신례원(2공구)투찰_봉무지방산업단지도로(투찰)②_왜관-태평건설 2" xfId="2150" xr:uid="{DE3CA4CC-BA2C-4361-8D23-CF6E60239065}"/>
    <cellStyle name="_신태백(가실행)_합덕-신례원(2공구)투찰_봉무지방산업단지도로(투찰)②+0.250%" xfId="751" xr:uid="{00000000-0005-0000-0000-0000EE020000}"/>
    <cellStyle name="_신태백(가실행)_합덕-신례원(2공구)투찰_봉무지방산업단지도로(투찰)②+0.250% 2" xfId="2151" xr:uid="{E9D9FF55-9724-4957-B67B-C06B935DB9F5}"/>
    <cellStyle name="_신태백(가실행)_합덕-신례원(2공구)투찰_봉무지방산업단지도로(투찰)②+0.250%_마현생창(동양고속)" xfId="752" xr:uid="{00000000-0005-0000-0000-0000EF020000}"/>
    <cellStyle name="_신태백(가실행)_합덕-신례원(2공구)투찰_봉무지방산업단지도로(투찰)②+0.250%_마현생창(동양고속) 2" xfId="2152" xr:uid="{6281AA45-6CC3-41FD-985A-3DC946DE6965}"/>
    <cellStyle name="_신태백(가실행)_합덕-신례원(2공구)투찰_봉무지방산업단지도로(투찰)②+0.250%_마현생창(동양고속)_왜관-태평건설" xfId="753" xr:uid="{00000000-0005-0000-0000-0000F0020000}"/>
    <cellStyle name="_신태백(가실행)_합덕-신례원(2공구)투찰_봉무지방산업단지도로(투찰)②+0.250%_마현생창(동양고속)_왜관-태평건설 2" xfId="2153" xr:uid="{6C955EDD-D6EA-49D5-9B47-62ABE9F7FBDF}"/>
    <cellStyle name="_신태백(가실행)_합덕-신례원(2공구)투찰_봉무지방산업단지도로(투찰)②+0.250%_왜관-태평건설" xfId="754" xr:uid="{00000000-0005-0000-0000-0000F1020000}"/>
    <cellStyle name="_신태백(가실행)_합덕-신례원(2공구)투찰_봉무지방산업단지도로(투찰)②+0.250%_왜관-태평건설 2" xfId="2154" xr:uid="{8BD6C9A7-E114-43FA-86D7-B4D4E42980DC}"/>
    <cellStyle name="_신태백(가실행)_합덕-신례원(2공구)투찰_왜관-태평건설" xfId="755" xr:uid="{00000000-0005-0000-0000-0000F2020000}"/>
    <cellStyle name="_신태백(가실행)_합덕-신례원(2공구)투찰_왜관-태평건설 2" xfId="2155" xr:uid="{56E8EB04-33B0-446A-B21D-B3103229599C}"/>
    <cellStyle name="_신태백(가실행)_합덕-신례원(2공구)투찰_합덕-신례원(2공구)투찰" xfId="756" xr:uid="{00000000-0005-0000-0000-0000F3020000}"/>
    <cellStyle name="_신태백(가실행)_합덕-신례원(2공구)투찰_합덕-신례원(2공구)투찰 2" xfId="2156" xr:uid="{365F03E9-E26D-460B-B6F6-9155719BDB8E}"/>
    <cellStyle name="_신태백(가실행)_합덕-신례원(2공구)투찰_합덕-신례원(2공구)투찰_경찰서-터미널간도로(투찰)②" xfId="757" xr:uid="{00000000-0005-0000-0000-0000F4020000}"/>
    <cellStyle name="_신태백(가실행)_합덕-신례원(2공구)투찰_합덕-신례원(2공구)투찰_경찰서-터미널간도로(투찰)② 2" xfId="2157" xr:uid="{0734F8BD-E854-4E30-A544-5E8B2CB6F833}"/>
    <cellStyle name="_신태백(가실행)_합덕-신례원(2공구)투찰_합덕-신례원(2공구)투찰_경찰서-터미널간도로(투찰)②_마현생창(동양고속)" xfId="758" xr:uid="{00000000-0005-0000-0000-0000F5020000}"/>
    <cellStyle name="_신태백(가실행)_합덕-신례원(2공구)투찰_합덕-신례원(2공구)투찰_경찰서-터미널간도로(투찰)②_마현생창(동양고속) 2" xfId="2158" xr:uid="{7B32A5A7-44B9-4C74-85FC-C9537C256668}"/>
    <cellStyle name="_신태백(가실행)_합덕-신례원(2공구)투찰_합덕-신례원(2공구)투찰_경찰서-터미널간도로(투찰)②_마현생창(동양고속)_왜관-태평건설" xfId="759" xr:uid="{00000000-0005-0000-0000-0000F6020000}"/>
    <cellStyle name="_신태백(가실행)_합덕-신례원(2공구)투찰_합덕-신례원(2공구)투찰_경찰서-터미널간도로(투찰)②_마현생창(동양고속)_왜관-태평건설 2" xfId="2159" xr:uid="{93E7AC94-CB06-45DC-93AA-275F4B8F91F5}"/>
    <cellStyle name="_신태백(가실행)_합덕-신례원(2공구)투찰_합덕-신례원(2공구)투찰_경찰서-터미널간도로(투찰)②_왜관-태평건설" xfId="760" xr:uid="{00000000-0005-0000-0000-0000F7020000}"/>
    <cellStyle name="_신태백(가실행)_합덕-신례원(2공구)투찰_합덕-신례원(2공구)투찰_경찰서-터미널간도로(투찰)②_왜관-태평건설 2" xfId="2160" xr:uid="{0C0479F3-E551-4A50-AEBC-4523EB86C69F}"/>
    <cellStyle name="_신태백(가실행)_합덕-신례원(2공구)투찰_합덕-신례원(2공구)투찰_마현생창(동양고속)" xfId="761" xr:uid="{00000000-0005-0000-0000-0000F8020000}"/>
    <cellStyle name="_신태백(가실행)_합덕-신례원(2공구)투찰_합덕-신례원(2공구)투찰_마현생창(동양고속) 2" xfId="2161" xr:uid="{4BEC3005-DAAD-4963-8831-F47F626038BB}"/>
    <cellStyle name="_신태백(가실행)_합덕-신례원(2공구)투찰_합덕-신례원(2공구)투찰_마현생창(동양고속)_왜관-태평건설" xfId="762" xr:uid="{00000000-0005-0000-0000-0000F9020000}"/>
    <cellStyle name="_신태백(가실행)_합덕-신례원(2공구)투찰_합덕-신례원(2공구)투찰_마현생창(동양고속)_왜관-태평건설 2" xfId="2162" xr:uid="{A35F0BAD-360A-4602-B1AF-6AEAA3FE9D88}"/>
    <cellStyle name="_신태백(가실행)_합덕-신례원(2공구)투찰_합덕-신례원(2공구)투찰_봉무지방산업단지도로(투찰)②" xfId="763" xr:uid="{00000000-0005-0000-0000-0000FA020000}"/>
    <cellStyle name="_신태백(가실행)_합덕-신례원(2공구)투찰_합덕-신례원(2공구)투찰_봉무지방산업단지도로(투찰)② 2" xfId="2163" xr:uid="{D94F0D57-9BF3-4D91-AA65-FE6EA5152EE8}"/>
    <cellStyle name="_신태백(가실행)_합덕-신례원(2공구)투찰_합덕-신례원(2공구)투찰_봉무지방산업단지도로(투찰)②_마현생창(동양고속)" xfId="764" xr:uid="{00000000-0005-0000-0000-0000FB020000}"/>
    <cellStyle name="_신태백(가실행)_합덕-신례원(2공구)투찰_합덕-신례원(2공구)투찰_봉무지방산업단지도로(투찰)②_마현생창(동양고속) 2" xfId="2164" xr:uid="{7AF40A39-BC52-4609-95EC-4A82B934EB85}"/>
    <cellStyle name="_신태백(가실행)_합덕-신례원(2공구)투찰_합덕-신례원(2공구)투찰_봉무지방산업단지도로(투찰)②_마현생창(동양고속)_왜관-태평건설" xfId="765" xr:uid="{00000000-0005-0000-0000-0000FC020000}"/>
    <cellStyle name="_신태백(가실행)_합덕-신례원(2공구)투찰_합덕-신례원(2공구)투찰_봉무지방산업단지도로(투찰)②_마현생창(동양고속)_왜관-태평건설 2" xfId="2165" xr:uid="{33F53487-74EA-4401-B9F4-66A1BCC3C11A}"/>
    <cellStyle name="_신태백(가실행)_합덕-신례원(2공구)투찰_합덕-신례원(2공구)투찰_봉무지방산업단지도로(투찰)②_왜관-태평건설" xfId="766" xr:uid="{00000000-0005-0000-0000-0000FD020000}"/>
    <cellStyle name="_신태백(가실행)_합덕-신례원(2공구)투찰_합덕-신례원(2공구)투찰_봉무지방산업단지도로(투찰)②_왜관-태평건설 2" xfId="2166" xr:uid="{7986BBB4-EB95-4E42-8815-4AB3259BF15F}"/>
    <cellStyle name="_신태백(가실행)_합덕-신례원(2공구)투찰_합덕-신례원(2공구)투찰_봉무지방산업단지도로(투찰)②+0.250%" xfId="767" xr:uid="{00000000-0005-0000-0000-0000FE020000}"/>
    <cellStyle name="_신태백(가실행)_합덕-신례원(2공구)투찰_합덕-신례원(2공구)투찰_봉무지방산업단지도로(투찰)②+0.250% 2" xfId="2167" xr:uid="{DE54CEA7-0DBC-4FB4-8777-59B9570F1F4A}"/>
    <cellStyle name="_신태백(가실행)_합덕-신례원(2공구)투찰_합덕-신례원(2공구)투찰_봉무지방산업단지도로(투찰)②+0.250%_마현생창(동양고속)" xfId="768" xr:uid="{00000000-0005-0000-0000-0000FF020000}"/>
    <cellStyle name="_신태백(가실행)_합덕-신례원(2공구)투찰_합덕-신례원(2공구)투찰_봉무지방산업단지도로(투찰)②+0.250%_마현생창(동양고속) 2" xfId="2168" xr:uid="{1E258861-DE1B-4AC3-8C9E-A89CE76E4AA2}"/>
    <cellStyle name="_신태백(가실행)_합덕-신례원(2공구)투찰_합덕-신례원(2공구)투찰_봉무지방산업단지도로(투찰)②+0.250%_마현생창(동양고속)_왜관-태평건설" xfId="769" xr:uid="{00000000-0005-0000-0000-000000030000}"/>
    <cellStyle name="_신태백(가실행)_합덕-신례원(2공구)투찰_합덕-신례원(2공구)투찰_봉무지방산업단지도로(투찰)②+0.250%_마현생창(동양고속)_왜관-태평건설 2" xfId="2169" xr:uid="{009AB4EA-BAB7-432E-9B33-7F681F59AFA1}"/>
    <cellStyle name="_신태백(가실행)_합덕-신례원(2공구)투찰_합덕-신례원(2공구)투찰_봉무지방산업단지도로(투찰)②+0.250%_왜관-태평건설" xfId="770" xr:uid="{00000000-0005-0000-0000-000001030000}"/>
    <cellStyle name="_신태백(가실행)_합덕-신례원(2공구)투찰_합덕-신례원(2공구)투찰_봉무지방산업단지도로(투찰)②+0.250%_왜관-태평건설 2" xfId="2170" xr:uid="{992D4CC5-F040-42E1-BE70-76D34E5651A7}"/>
    <cellStyle name="_신태백(가실행)_합덕-신례원(2공구)투찰_합덕-신례원(2공구)투찰_왜관-태평건설" xfId="771" xr:uid="{00000000-0005-0000-0000-000002030000}"/>
    <cellStyle name="_신태백(가실행)_합덕-신례원(2공구)투찰_합덕-신례원(2공구)투찰_왜관-태평건설 2" xfId="2171" xr:uid="{D54E2061-2DA5-4B9A-919A-05644F228E1E}"/>
    <cellStyle name="_신태백(투찰내역)2" xfId="772" xr:uid="{00000000-0005-0000-0000-000003030000}"/>
    <cellStyle name="_실행예산" xfId="773" xr:uid="{00000000-0005-0000-0000-000004030000}"/>
    <cellStyle name="_안산부대(투찰)⑤" xfId="774" xr:uid="{00000000-0005-0000-0000-000005030000}"/>
    <cellStyle name="_안산부대(투찰)⑤ 2" xfId="2172" xr:uid="{04327072-5250-4D1D-A64B-A5C4D77D40F8}"/>
    <cellStyle name="_안산부대(투찰)⑤_경찰서-터미널간도로(투찰)②" xfId="775" xr:uid="{00000000-0005-0000-0000-000006030000}"/>
    <cellStyle name="_안산부대(투찰)⑤_경찰서-터미널간도로(투찰)② 2" xfId="2173" xr:uid="{25837336-484E-4B89-90D2-3A7088DBACB5}"/>
    <cellStyle name="_안산부대(투찰)⑤_경찰서-터미널간도로(투찰)②_마현생창(동양고속)" xfId="776" xr:uid="{00000000-0005-0000-0000-000007030000}"/>
    <cellStyle name="_안산부대(투찰)⑤_경찰서-터미널간도로(투찰)②_마현생창(동양고속) 2" xfId="2174" xr:uid="{D11948AC-E455-4CDB-A227-D57627604056}"/>
    <cellStyle name="_안산부대(투찰)⑤_경찰서-터미널간도로(투찰)②_마현생창(동양고속)_왜관-태평건설" xfId="777" xr:uid="{00000000-0005-0000-0000-000008030000}"/>
    <cellStyle name="_안산부대(투찰)⑤_경찰서-터미널간도로(투찰)②_마현생창(동양고속)_왜관-태평건설 2" xfId="2175" xr:uid="{E98905AB-39DC-47C9-B70E-DCEEB48903C3}"/>
    <cellStyle name="_안산부대(투찰)⑤_경찰서-터미널간도로(투찰)②_왜관-태평건설" xfId="778" xr:uid="{00000000-0005-0000-0000-000009030000}"/>
    <cellStyle name="_안산부대(투찰)⑤_경찰서-터미널간도로(투찰)②_왜관-태평건설 2" xfId="2176" xr:uid="{CA03058B-D6D4-4EC2-81BF-94EB519D2684}"/>
    <cellStyle name="_안산부대(투찰)⑤_마현생창(동양고속)" xfId="779" xr:uid="{00000000-0005-0000-0000-00000A030000}"/>
    <cellStyle name="_안산부대(투찰)⑤_마현생창(동양고속) 2" xfId="2177" xr:uid="{9C0D7DF7-8F2D-40A7-B37E-A51A98850D10}"/>
    <cellStyle name="_안산부대(투찰)⑤_마현생창(동양고속)_왜관-태평건설" xfId="780" xr:uid="{00000000-0005-0000-0000-00000B030000}"/>
    <cellStyle name="_안산부대(투찰)⑤_마현생창(동양고속)_왜관-태평건설 2" xfId="2178" xr:uid="{C922CB47-C293-467E-8F2D-2B774CF976B7}"/>
    <cellStyle name="_안산부대(투찰)⑤_봉무지방산업단지도로(투찰)②" xfId="781" xr:uid="{00000000-0005-0000-0000-00000C030000}"/>
    <cellStyle name="_안산부대(투찰)⑤_봉무지방산업단지도로(투찰)② 2" xfId="2179" xr:uid="{3BE7F6B8-F3A6-4DCB-8A2F-ECDF9E687ECE}"/>
    <cellStyle name="_안산부대(투찰)⑤_봉무지방산업단지도로(투찰)②_마현생창(동양고속)" xfId="782" xr:uid="{00000000-0005-0000-0000-00000D030000}"/>
    <cellStyle name="_안산부대(투찰)⑤_봉무지방산업단지도로(투찰)②_마현생창(동양고속) 2" xfId="2180" xr:uid="{94A16E8E-023F-4186-8E18-8F3A18A4E807}"/>
    <cellStyle name="_안산부대(투찰)⑤_봉무지방산업단지도로(투찰)②_마현생창(동양고속)_왜관-태평건설" xfId="783" xr:uid="{00000000-0005-0000-0000-00000E030000}"/>
    <cellStyle name="_안산부대(투찰)⑤_봉무지방산업단지도로(투찰)②_마현생창(동양고속)_왜관-태평건설 2" xfId="2181" xr:uid="{BCF3A584-92B0-48D0-9020-CC7217425702}"/>
    <cellStyle name="_안산부대(투찰)⑤_봉무지방산업단지도로(투찰)②_왜관-태평건설" xfId="784" xr:uid="{00000000-0005-0000-0000-00000F030000}"/>
    <cellStyle name="_안산부대(투찰)⑤_봉무지방산업단지도로(투찰)②_왜관-태평건설 2" xfId="2182" xr:uid="{379E83B6-5DF5-4268-838F-6F4FB3B76616}"/>
    <cellStyle name="_안산부대(투찰)⑤_봉무지방산업단지도로(투찰)②+0.250%" xfId="785" xr:uid="{00000000-0005-0000-0000-000010030000}"/>
    <cellStyle name="_안산부대(투찰)⑤_봉무지방산업단지도로(투찰)②+0.250% 2" xfId="2183" xr:uid="{5C33DBA0-0050-4B97-AA29-DB0AFBFBE9C0}"/>
    <cellStyle name="_안산부대(투찰)⑤_봉무지방산업단지도로(투찰)②+0.250%_마현생창(동양고속)" xfId="786" xr:uid="{00000000-0005-0000-0000-000011030000}"/>
    <cellStyle name="_안산부대(투찰)⑤_봉무지방산업단지도로(투찰)②+0.250%_마현생창(동양고속) 2" xfId="2184" xr:uid="{FEB86ADF-DF44-4475-B817-D120E7F96CA4}"/>
    <cellStyle name="_안산부대(투찰)⑤_봉무지방산업단지도로(투찰)②+0.250%_마현생창(동양고속)_왜관-태평건설" xfId="787" xr:uid="{00000000-0005-0000-0000-000012030000}"/>
    <cellStyle name="_안산부대(투찰)⑤_봉무지방산업단지도로(투찰)②+0.250%_마현생창(동양고속)_왜관-태평건설 2" xfId="2185" xr:uid="{CB298E3F-6069-40BB-BFB1-83F908347A2A}"/>
    <cellStyle name="_안산부대(투찰)⑤_봉무지방산업단지도로(투찰)②+0.250%_왜관-태평건설" xfId="788" xr:uid="{00000000-0005-0000-0000-000013030000}"/>
    <cellStyle name="_안산부대(투찰)⑤_봉무지방산업단지도로(투찰)②+0.250%_왜관-태평건설 2" xfId="2186" xr:uid="{1D73EAAB-966C-4976-961D-7765C377560D}"/>
    <cellStyle name="_안산부대(투찰)⑤_왜관-태평건설" xfId="789" xr:uid="{00000000-0005-0000-0000-000014030000}"/>
    <cellStyle name="_안산부대(투찰)⑤_왜관-태평건설 2" xfId="2187" xr:uid="{79C976AC-6008-4502-B4AB-EB25E29F5267}"/>
    <cellStyle name="_안산부대(투찰)⑤_합덕-신례원(2공구)투찰" xfId="790" xr:uid="{00000000-0005-0000-0000-000015030000}"/>
    <cellStyle name="_안산부대(투찰)⑤_합덕-신례원(2공구)투찰 2" xfId="2188" xr:uid="{87BAE6B4-2179-477C-BA60-C912EF9B6ED3}"/>
    <cellStyle name="_안산부대(투찰)⑤_합덕-신례원(2공구)투찰_경찰서-터미널간도로(투찰)②" xfId="791" xr:uid="{00000000-0005-0000-0000-000016030000}"/>
    <cellStyle name="_안산부대(투찰)⑤_합덕-신례원(2공구)투찰_경찰서-터미널간도로(투찰)② 2" xfId="2189" xr:uid="{F144EB68-B173-485A-ABA0-C0FA03E2B7DD}"/>
    <cellStyle name="_안산부대(투찰)⑤_합덕-신례원(2공구)투찰_경찰서-터미널간도로(투찰)②_마현생창(동양고속)" xfId="792" xr:uid="{00000000-0005-0000-0000-000017030000}"/>
    <cellStyle name="_안산부대(투찰)⑤_합덕-신례원(2공구)투찰_경찰서-터미널간도로(투찰)②_마현생창(동양고속) 2" xfId="2190" xr:uid="{4D1E4615-8665-45F3-9B9C-37648A4336EA}"/>
    <cellStyle name="_안산부대(투찰)⑤_합덕-신례원(2공구)투찰_경찰서-터미널간도로(투찰)②_마현생창(동양고속)_왜관-태평건설" xfId="793" xr:uid="{00000000-0005-0000-0000-000018030000}"/>
    <cellStyle name="_안산부대(투찰)⑤_합덕-신례원(2공구)투찰_경찰서-터미널간도로(투찰)②_마현생창(동양고속)_왜관-태평건설 2" xfId="2191" xr:uid="{A44CF0AB-FB01-4B41-B85D-731D7E197982}"/>
    <cellStyle name="_안산부대(투찰)⑤_합덕-신례원(2공구)투찰_경찰서-터미널간도로(투찰)②_왜관-태평건설" xfId="794" xr:uid="{00000000-0005-0000-0000-000019030000}"/>
    <cellStyle name="_안산부대(투찰)⑤_합덕-신례원(2공구)투찰_경찰서-터미널간도로(투찰)②_왜관-태평건설 2" xfId="2192" xr:uid="{7219B562-7DE4-4315-9CA0-913721925EB9}"/>
    <cellStyle name="_안산부대(투찰)⑤_합덕-신례원(2공구)투찰_마현생창(동양고속)" xfId="795" xr:uid="{00000000-0005-0000-0000-00001A030000}"/>
    <cellStyle name="_안산부대(투찰)⑤_합덕-신례원(2공구)투찰_마현생창(동양고속) 2" xfId="2193" xr:uid="{77CFA416-2BB3-439B-BC5A-268BB0C26B18}"/>
    <cellStyle name="_안산부대(투찰)⑤_합덕-신례원(2공구)투찰_마현생창(동양고속)_왜관-태평건설" xfId="796" xr:uid="{00000000-0005-0000-0000-00001B030000}"/>
    <cellStyle name="_안산부대(투찰)⑤_합덕-신례원(2공구)투찰_마현생창(동양고속)_왜관-태평건설 2" xfId="2194" xr:uid="{67301A16-03BD-474D-A578-1F343DAAE15D}"/>
    <cellStyle name="_안산부대(투찰)⑤_합덕-신례원(2공구)투찰_봉무지방산업단지도로(투찰)②" xfId="797" xr:uid="{00000000-0005-0000-0000-00001C030000}"/>
    <cellStyle name="_안산부대(투찰)⑤_합덕-신례원(2공구)투찰_봉무지방산업단지도로(투찰)② 2" xfId="2195" xr:uid="{79C5E573-3F41-43B8-B2AE-C2AA624C8F44}"/>
    <cellStyle name="_안산부대(투찰)⑤_합덕-신례원(2공구)투찰_봉무지방산업단지도로(투찰)②_마현생창(동양고속)" xfId="798" xr:uid="{00000000-0005-0000-0000-00001D030000}"/>
    <cellStyle name="_안산부대(투찰)⑤_합덕-신례원(2공구)투찰_봉무지방산업단지도로(투찰)②_마현생창(동양고속) 2" xfId="2196" xr:uid="{2A044B6E-637E-42A0-ABFA-A13EAF746334}"/>
    <cellStyle name="_안산부대(투찰)⑤_합덕-신례원(2공구)투찰_봉무지방산업단지도로(투찰)②_마현생창(동양고속)_왜관-태평건설" xfId="799" xr:uid="{00000000-0005-0000-0000-00001E030000}"/>
    <cellStyle name="_안산부대(투찰)⑤_합덕-신례원(2공구)투찰_봉무지방산업단지도로(투찰)②_마현생창(동양고속)_왜관-태평건설 2" xfId="2197" xr:uid="{DC8E69B6-487D-4320-A93F-145CD24DF56F}"/>
    <cellStyle name="_안산부대(투찰)⑤_합덕-신례원(2공구)투찰_봉무지방산업단지도로(투찰)②_왜관-태평건설" xfId="800" xr:uid="{00000000-0005-0000-0000-00001F030000}"/>
    <cellStyle name="_안산부대(투찰)⑤_합덕-신례원(2공구)투찰_봉무지방산업단지도로(투찰)②_왜관-태평건설 2" xfId="2198" xr:uid="{8C983E1C-A74C-4039-88AD-BEFEF00419BB}"/>
    <cellStyle name="_안산부대(투찰)⑤_합덕-신례원(2공구)투찰_봉무지방산업단지도로(투찰)②+0.250%" xfId="801" xr:uid="{00000000-0005-0000-0000-000020030000}"/>
    <cellStyle name="_안산부대(투찰)⑤_합덕-신례원(2공구)투찰_봉무지방산업단지도로(투찰)②+0.250% 2" xfId="2199" xr:uid="{C6285C02-C8A3-4231-B0B6-B71E0F835B9F}"/>
    <cellStyle name="_안산부대(투찰)⑤_합덕-신례원(2공구)투찰_봉무지방산업단지도로(투찰)②+0.250%_마현생창(동양고속)" xfId="802" xr:uid="{00000000-0005-0000-0000-000021030000}"/>
    <cellStyle name="_안산부대(투찰)⑤_합덕-신례원(2공구)투찰_봉무지방산업단지도로(투찰)②+0.250%_마현생창(동양고속) 2" xfId="2200" xr:uid="{5C4E416A-94DA-40FC-813F-CEB6189A83D1}"/>
    <cellStyle name="_안산부대(투찰)⑤_합덕-신례원(2공구)투찰_봉무지방산업단지도로(투찰)②+0.250%_마현생창(동양고속)_왜관-태평건설" xfId="803" xr:uid="{00000000-0005-0000-0000-000022030000}"/>
    <cellStyle name="_안산부대(투찰)⑤_합덕-신례원(2공구)투찰_봉무지방산업단지도로(투찰)②+0.250%_마현생창(동양고속)_왜관-태평건설 2" xfId="2201" xr:uid="{F95D22F6-FFCD-4E35-885F-AFDCBF6BEF54}"/>
    <cellStyle name="_안산부대(투찰)⑤_합덕-신례원(2공구)투찰_봉무지방산업단지도로(투찰)②+0.250%_왜관-태평건설" xfId="804" xr:uid="{00000000-0005-0000-0000-000023030000}"/>
    <cellStyle name="_안산부대(투찰)⑤_합덕-신례원(2공구)투찰_봉무지방산업단지도로(투찰)②+0.250%_왜관-태평건설 2" xfId="2202" xr:uid="{792CD6D7-64E4-41D0-9EC0-8ED6EC37858F}"/>
    <cellStyle name="_안산부대(투찰)⑤_합덕-신례원(2공구)투찰_왜관-태평건설" xfId="805" xr:uid="{00000000-0005-0000-0000-000024030000}"/>
    <cellStyle name="_안산부대(투찰)⑤_합덕-신례원(2공구)투찰_왜관-태평건설 2" xfId="2203" xr:uid="{422AB16E-7BDE-45A9-A2E2-9ADFEBA05F3B}"/>
    <cellStyle name="_안산부대(투찰)⑤_합덕-신례원(2공구)투찰_합덕-신례원(2공구)투찰" xfId="806" xr:uid="{00000000-0005-0000-0000-000025030000}"/>
    <cellStyle name="_안산부대(투찰)⑤_합덕-신례원(2공구)투찰_합덕-신례원(2공구)투찰 2" xfId="2204" xr:uid="{636FF8D2-8692-4B56-A725-3E470BDB1935}"/>
    <cellStyle name="_안산부대(투찰)⑤_합덕-신례원(2공구)투찰_합덕-신례원(2공구)투찰_경찰서-터미널간도로(투찰)②" xfId="807" xr:uid="{00000000-0005-0000-0000-000026030000}"/>
    <cellStyle name="_안산부대(투찰)⑤_합덕-신례원(2공구)투찰_합덕-신례원(2공구)투찰_경찰서-터미널간도로(투찰)② 2" xfId="2205" xr:uid="{59E7F1BE-3B17-43AC-BE18-7FF5E375F18E}"/>
    <cellStyle name="_안산부대(투찰)⑤_합덕-신례원(2공구)투찰_합덕-신례원(2공구)투찰_경찰서-터미널간도로(투찰)②_마현생창(동양고속)" xfId="808" xr:uid="{00000000-0005-0000-0000-000027030000}"/>
    <cellStyle name="_안산부대(투찰)⑤_합덕-신례원(2공구)투찰_합덕-신례원(2공구)투찰_경찰서-터미널간도로(투찰)②_마현생창(동양고속) 2" xfId="2206" xr:uid="{B0FC74A9-709B-4994-83FB-D2C175237F15}"/>
    <cellStyle name="_안산부대(투찰)⑤_합덕-신례원(2공구)투찰_합덕-신례원(2공구)투찰_경찰서-터미널간도로(투찰)②_마현생창(동양고속)_왜관-태평건설" xfId="809" xr:uid="{00000000-0005-0000-0000-000028030000}"/>
    <cellStyle name="_안산부대(투찰)⑤_합덕-신례원(2공구)투찰_합덕-신례원(2공구)투찰_경찰서-터미널간도로(투찰)②_마현생창(동양고속)_왜관-태평건설 2" xfId="2207" xr:uid="{44405EAB-8C9C-4BC2-9D24-3C87C86DA7C3}"/>
    <cellStyle name="_안산부대(투찰)⑤_합덕-신례원(2공구)투찰_합덕-신례원(2공구)투찰_경찰서-터미널간도로(투찰)②_왜관-태평건설" xfId="810" xr:uid="{00000000-0005-0000-0000-000029030000}"/>
    <cellStyle name="_안산부대(투찰)⑤_합덕-신례원(2공구)투찰_합덕-신례원(2공구)투찰_경찰서-터미널간도로(투찰)②_왜관-태평건설 2" xfId="2208" xr:uid="{F182009E-BDA3-4333-ACA9-3B606F21D88A}"/>
    <cellStyle name="_안산부대(투찰)⑤_합덕-신례원(2공구)투찰_합덕-신례원(2공구)투찰_마현생창(동양고속)" xfId="811" xr:uid="{00000000-0005-0000-0000-00002A030000}"/>
    <cellStyle name="_안산부대(투찰)⑤_합덕-신례원(2공구)투찰_합덕-신례원(2공구)투찰_마현생창(동양고속) 2" xfId="2209" xr:uid="{A2C506A8-16B1-40BD-9462-9C6B65026B4E}"/>
    <cellStyle name="_안산부대(투찰)⑤_합덕-신례원(2공구)투찰_합덕-신례원(2공구)투찰_마현생창(동양고속)_왜관-태평건설" xfId="812" xr:uid="{00000000-0005-0000-0000-00002B030000}"/>
    <cellStyle name="_안산부대(투찰)⑤_합덕-신례원(2공구)투찰_합덕-신례원(2공구)투찰_마현생창(동양고속)_왜관-태평건설 2" xfId="2210" xr:uid="{B3F889B3-D059-430C-9618-C16F741CFB32}"/>
    <cellStyle name="_안산부대(투찰)⑤_합덕-신례원(2공구)투찰_합덕-신례원(2공구)투찰_봉무지방산업단지도로(투찰)②" xfId="813" xr:uid="{00000000-0005-0000-0000-00002C030000}"/>
    <cellStyle name="_안산부대(투찰)⑤_합덕-신례원(2공구)투찰_합덕-신례원(2공구)투찰_봉무지방산업단지도로(투찰)② 2" xfId="2211" xr:uid="{69901A64-49B1-486F-9A9C-96C82DFA85D5}"/>
    <cellStyle name="_안산부대(투찰)⑤_합덕-신례원(2공구)투찰_합덕-신례원(2공구)투찰_봉무지방산업단지도로(투찰)②_마현생창(동양고속)" xfId="814" xr:uid="{00000000-0005-0000-0000-00002D030000}"/>
    <cellStyle name="_안산부대(투찰)⑤_합덕-신례원(2공구)투찰_합덕-신례원(2공구)투찰_봉무지방산업단지도로(투찰)②_마현생창(동양고속) 2" xfId="2212" xr:uid="{5FD0F853-2F0D-42E0-AFF8-C53BD260421B}"/>
    <cellStyle name="_안산부대(투찰)⑤_합덕-신례원(2공구)투찰_합덕-신례원(2공구)투찰_봉무지방산업단지도로(투찰)②_마현생창(동양고속)_왜관-태평건설" xfId="815" xr:uid="{00000000-0005-0000-0000-00002E030000}"/>
    <cellStyle name="_안산부대(투찰)⑤_합덕-신례원(2공구)투찰_합덕-신례원(2공구)투찰_봉무지방산업단지도로(투찰)②_마현생창(동양고속)_왜관-태평건설 2" xfId="2213" xr:uid="{C836F6E3-F190-41B9-BA4E-B389AA1039CB}"/>
    <cellStyle name="_안산부대(투찰)⑤_합덕-신례원(2공구)투찰_합덕-신례원(2공구)투찰_봉무지방산업단지도로(투찰)②_왜관-태평건설" xfId="816" xr:uid="{00000000-0005-0000-0000-00002F030000}"/>
    <cellStyle name="_안산부대(투찰)⑤_합덕-신례원(2공구)투찰_합덕-신례원(2공구)투찰_봉무지방산업단지도로(투찰)②_왜관-태평건설 2" xfId="2214" xr:uid="{D4CCC829-5848-4BC1-87CC-C005A3D72E96}"/>
    <cellStyle name="_안산부대(투찰)⑤_합덕-신례원(2공구)투찰_합덕-신례원(2공구)투찰_봉무지방산업단지도로(투찰)②+0.250%" xfId="817" xr:uid="{00000000-0005-0000-0000-000030030000}"/>
    <cellStyle name="_안산부대(투찰)⑤_합덕-신례원(2공구)투찰_합덕-신례원(2공구)투찰_봉무지방산업단지도로(투찰)②+0.250% 2" xfId="2215" xr:uid="{E9D7F1B9-BC62-41C4-8327-25FE4C2DC7E1}"/>
    <cellStyle name="_안산부대(투찰)⑤_합덕-신례원(2공구)투찰_합덕-신례원(2공구)투찰_봉무지방산업단지도로(투찰)②+0.250%_마현생창(동양고속)" xfId="818" xr:uid="{00000000-0005-0000-0000-000031030000}"/>
    <cellStyle name="_안산부대(투찰)⑤_합덕-신례원(2공구)투찰_합덕-신례원(2공구)투찰_봉무지방산업단지도로(투찰)②+0.250%_마현생창(동양고속) 2" xfId="2216" xr:uid="{506F7980-759E-456B-8E29-40C726350FA6}"/>
    <cellStyle name="_안산부대(투찰)⑤_합덕-신례원(2공구)투찰_합덕-신례원(2공구)투찰_봉무지방산업단지도로(투찰)②+0.250%_마현생창(동양고속)_왜관-태평건설" xfId="819" xr:uid="{00000000-0005-0000-0000-000032030000}"/>
    <cellStyle name="_안산부대(투찰)⑤_합덕-신례원(2공구)투찰_합덕-신례원(2공구)투찰_봉무지방산업단지도로(투찰)②+0.250%_마현생창(동양고속)_왜관-태평건설 2" xfId="2217" xr:uid="{5EFE7857-D08F-4124-8759-4DF86D84640C}"/>
    <cellStyle name="_안산부대(투찰)⑤_합덕-신례원(2공구)투찰_합덕-신례원(2공구)투찰_봉무지방산업단지도로(투찰)②+0.250%_왜관-태평건설" xfId="820" xr:uid="{00000000-0005-0000-0000-000033030000}"/>
    <cellStyle name="_안산부대(투찰)⑤_합덕-신례원(2공구)투찰_합덕-신례원(2공구)투찰_봉무지방산업단지도로(투찰)②+0.250%_왜관-태평건설 2" xfId="2218" xr:uid="{B17E63AF-3ED1-4637-97FB-722034F0CFE2}"/>
    <cellStyle name="_안산부대(투찰)⑤_합덕-신례원(2공구)투찰_합덕-신례원(2공구)투찰_왜관-태평건설" xfId="821" xr:uid="{00000000-0005-0000-0000-000034030000}"/>
    <cellStyle name="_안산부대(투찰)⑤_합덕-신례원(2공구)투찰_합덕-신례원(2공구)투찰_왜관-태평건설 2" xfId="2219" xr:uid="{B91113A1-08FF-4495-9B6C-0FC84D663A6A}"/>
    <cellStyle name="_양곡부두(투찰)+0.30%" xfId="822" xr:uid="{00000000-0005-0000-0000-000035030000}"/>
    <cellStyle name="_양양상수도공내역서" xfId="823" xr:uid="{00000000-0005-0000-0000-000036030000}"/>
    <cellStyle name="_우" xfId="824" xr:uid="{00000000-0005-0000-0000-000037030000}"/>
    <cellStyle name="_우 2" xfId="2220" xr:uid="{A63D1256-82CE-4CB5-B77F-F7BCC9C1B9FE}"/>
    <cellStyle name="_우_광주평동투찰" xfId="825" xr:uid="{00000000-0005-0000-0000-000038030000}"/>
    <cellStyle name="_우_광주평동투찰 2" xfId="2221" xr:uid="{5D0E26D5-C4FD-4D38-97A2-700695698524}"/>
    <cellStyle name="_우_광주평동품의1" xfId="826" xr:uid="{00000000-0005-0000-0000-000039030000}"/>
    <cellStyle name="_우_광주평동품의1 2" xfId="2222" xr:uid="{A110DBE8-32A7-46F6-AE48-985FA32500DE}"/>
    <cellStyle name="_우_송학하수품의(설계넣고)" xfId="827" xr:uid="{00000000-0005-0000-0000-00003A030000}"/>
    <cellStyle name="_우_송학하수품의(설계넣고) 2" xfId="2223" xr:uid="{CA3CE047-7B33-472C-8614-4AE34C52BFA0}"/>
    <cellStyle name="_우_우주센터투찰" xfId="828" xr:uid="{00000000-0005-0000-0000-00003B030000}"/>
    <cellStyle name="_우_우주센터투찰 2" xfId="2224" xr:uid="{488BF89E-F891-486D-8550-0550A3A3EB2E}"/>
    <cellStyle name="_우_우주센터투찰_광주평동투찰" xfId="829" xr:uid="{00000000-0005-0000-0000-00003C030000}"/>
    <cellStyle name="_우_우주센터투찰_광주평동투찰 2" xfId="2225" xr:uid="{E9B75407-87BC-4C8E-A6B0-7F0D2CD29EA5}"/>
    <cellStyle name="_우_우주센터투찰_광주평동품의1" xfId="830" xr:uid="{00000000-0005-0000-0000-00003D030000}"/>
    <cellStyle name="_우_우주센터투찰_광주평동품의1 2" xfId="2226" xr:uid="{685F47A5-B16B-4335-9CF1-4E2795C517C6}"/>
    <cellStyle name="_우_우주센터투찰_송학하수품의(설계넣고)" xfId="831" xr:uid="{00000000-0005-0000-0000-00003E030000}"/>
    <cellStyle name="_우_우주센터투찰_송학하수품의(설계넣고) 2" xfId="2227" xr:uid="{A3509033-A232-4701-826E-0839A197E26D}"/>
    <cellStyle name="_우주센" xfId="832" xr:uid="{00000000-0005-0000-0000-00003F030000}"/>
    <cellStyle name="_우주센 2" xfId="2228" xr:uid="{77FBC685-B4D8-4930-8D05-FBFC405C728C}"/>
    <cellStyle name="_우주센_광주평동투찰" xfId="833" xr:uid="{00000000-0005-0000-0000-000040030000}"/>
    <cellStyle name="_우주센_광주평동투찰 2" xfId="2229" xr:uid="{8FB70802-4F38-4DCC-9450-585C048533C5}"/>
    <cellStyle name="_우주센_광주평동품의1" xfId="834" xr:uid="{00000000-0005-0000-0000-000041030000}"/>
    <cellStyle name="_우주센_광주평동품의1 2" xfId="2230" xr:uid="{ED536894-CEE2-4412-BA2D-8B44DB9C0754}"/>
    <cellStyle name="_우주센_송학하수품의(설계넣고)" xfId="835" xr:uid="{00000000-0005-0000-0000-000042030000}"/>
    <cellStyle name="_우주센_송학하수품의(설계넣고) 2" xfId="2231" xr:uid="{5AE5667A-E3B0-46E6-9F2F-67FB621B283A}"/>
    <cellStyle name="_우주센_우주센터투찰" xfId="836" xr:uid="{00000000-0005-0000-0000-000043030000}"/>
    <cellStyle name="_우주센_우주센터투찰 2" xfId="2232" xr:uid="{37310CA6-17B8-4BDC-9771-56B73C2D4A30}"/>
    <cellStyle name="_우주센_우주센터투찰_광주평동투찰" xfId="837" xr:uid="{00000000-0005-0000-0000-000044030000}"/>
    <cellStyle name="_우주센_우주센터투찰_광주평동투찰 2" xfId="2233" xr:uid="{010BFA70-E4C1-4C51-A40E-78CB5E098EA2}"/>
    <cellStyle name="_우주센_우주센터투찰_광주평동품의1" xfId="838" xr:uid="{00000000-0005-0000-0000-000045030000}"/>
    <cellStyle name="_우주센_우주센터투찰_광주평동품의1 2" xfId="2234" xr:uid="{17F4E475-6EAD-460D-BD47-1E111016EAA3}"/>
    <cellStyle name="_우주센_우주센터투찰_송학하수품의(설계넣고)" xfId="839" xr:uid="{00000000-0005-0000-0000-000046030000}"/>
    <cellStyle name="_우주센_우주센터투찰_송학하수품의(설계넣고) 2" xfId="2235" xr:uid="{FEC404A4-038E-483A-A476-15C4523AB247}"/>
    <cellStyle name="_유치투찰" xfId="840" xr:uid="{00000000-0005-0000-0000-000047030000}"/>
    <cellStyle name="_유치투찰 2" xfId="2236" xr:uid="{79DF6C73-C2F5-45D2-93A7-571C9FD05B99}"/>
    <cellStyle name="_유치투찰_왜관-태평건설" xfId="841" xr:uid="{00000000-0005-0000-0000-000048030000}"/>
    <cellStyle name="_유치투찰_왜관-태평건설 2" xfId="2237" xr:uid="{7894354F-E971-4DBE-A6BE-D69D3D11AECF}"/>
    <cellStyle name="_이양능주(2공구)bid전기" xfId="842" xr:uid="{00000000-0005-0000-0000-000049030000}"/>
    <cellStyle name="_이양능주(2공구)bid전기 2" xfId="2238" xr:uid="{F26B65A0-9D39-4DCA-A90F-93E33FA66DE0}"/>
    <cellStyle name="_인원계획표 " xfId="843" xr:uid="{00000000-0005-0000-0000-00004A030000}"/>
    <cellStyle name="_인원계획표  2" xfId="2239" xr:uid="{F1D4A3A8-F391-4B0D-8607-6C97157B5EE9}"/>
    <cellStyle name="_인원계획표 _광주평동투찰" xfId="844" xr:uid="{00000000-0005-0000-0000-00004B030000}"/>
    <cellStyle name="_인원계획표 _광주평동투찰 2" xfId="2240" xr:uid="{DBEF4D97-27A0-4FFC-843B-97F91D05CCA1}"/>
    <cellStyle name="_인원계획표 _광주평동품의1" xfId="845" xr:uid="{00000000-0005-0000-0000-00004C030000}"/>
    <cellStyle name="_인원계획표 _광주평동품의1 2" xfId="2241" xr:uid="{03D0A5F8-BA7A-476C-A8B9-DA6D8345E3B0}"/>
    <cellStyle name="_인원계획표 _송학하수품의(설계넣고)" xfId="846" xr:uid="{00000000-0005-0000-0000-00004D030000}"/>
    <cellStyle name="_인원계획표 _송학하수품의(설계넣고) 2" xfId="2242" xr:uid="{0ABB473D-5523-457B-B722-9BE41E1F7FCD}"/>
    <cellStyle name="_인원계획표 _적격 " xfId="847" xr:uid="{00000000-0005-0000-0000-00004E030000}"/>
    <cellStyle name="_인원계획표 _적격  2" xfId="2243" xr:uid="{2406625F-D203-4B53-803E-FF861BD2E246}"/>
    <cellStyle name="_인원계획표 _적격 _광주평동투찰" xfId="848" xr:uid="{00000000-0005-0000-0000-00004F030000}"/>
    <cellStyle name="_인원계획표 _적격 _광주평동투찰 2" xfId="2244" xr:uid="{CC13C632-D6CF-4078-A16C-7D26AD90B6DF}"/>
    <cellStyle name="_인원계획표 _적격 _광주평동품의1" xfId="849" xr:uid="{00000000-0005-0000-0000-000050030000}"/>
    <cellStyle name="_인원계획표 _적격 _광주평동품의1 2" xfId="2245" xr:uid="{EFE40167-157F-4290-9390-636088978386}"/>
    <cellStyle name="_인원계획표 _적격 _송학하수품의(설계넣고)" xfId="850" xr:uid="{00000000-0005-0000-0000-000051030000}"/>
    <cellStyle name="_인원계획표 _적격 _송학하수품의(설계넣고) 2" xfId="2246" xr:uid="{0C30A560-E2C1-43C1-8190-B7EA2AD50A08}"/>
    <cellStyle name="_입찰표지 " xfId="851" xr:uid="{00000000-0005-0000-0000-000052030000}"/>
    <cellStyle name="_입찰표지  2" xfId="2247" xr:uid="{3F1E68AD-5E6F-4A0B-8725-5D751C922C97}"/>
    <cellStyle name="_입찰표지 _광주평동투찰" xfId="852" xr:uid="{00000000-0005-0000-0000-000053030000}"/>
    <cellStyle name="_입찰표지 _광주평동투찰 2" xfId="2248" xr:uid="{F049DFEB-94A8-46BB-8FCD-296344BA5A8A}"/>
    <cellStyle name="_입찰표지 _광주평동품의1" xfId="853" xr:uid="{00000000-0005-0000-0000-000054030000}"/>
    <cellStyle name="_입찰표지 _광주평동품의1 2" xfId="2249" xr:uid="{7CEBBE83-CFFD-4D8C-9DFC-04699D258B1E}"/>
    <cellStyle name="_입찰표지 _송학하수품의(설계넣고)" xfId="854" xr:uid="{00000000-0005-0000-0000-000055030000}"/>
    <cellStyle name="_입찰표지 _송학하수품의(설계넣고) 2" xfId="2250" xr:uid="{AEBFCD82-B289-4647-A56E-51E1E0B6AF60}"/>
    <cellStyle name="_장성IC투찰" xfId="855" xr:uid="{00000000-0005-0000-0000-000056030000}"/>
    <cellStyle name="_장성IC투찰 2" xfId="2251" xr:uid="{B736B959-8829-4FC7-B16F-B555490F35BB}"/>
    <cellStyle name="_장성IC투찰_경찰서-터미널간도로(투찰)②" xfId="856" xr:uid="{00000000-0005-0000-0000-000057030000}"/>
    <cellStyle name="_장성IC투찰_경찰서-터미널간도로(투찰)② 2" xfId="2252" xr:uid="{7A23C73C-113E-4129-85D2-49C181FA3E18}"/>
    <cellStyle name="_장성IC투찰_경찰서-터미널간도로(투찰)②_마현생창(동양고속)" xfId="857" xr:uid="{00000000-0005-0000-0000-000058030000}"/>
    <cellStyle name="_장성IC투찰_경찰서-터미널간도로(투찰)②_마현생창(동양고속) 2" xfId="2253" xr:uid="{BFF87853-D351-434A-9357-F9F0392EDFEA}"/>
    <cellStyle name="_장성IC투찰_경찰서-터미널간도로(투찰)②_마현생창(동양고속)_왜관-태평건설" xfId="858" xr:uid="{00000000-0005-0000-0000-000059030000}"/>
    <cellStyle name="_장성IC투찰_경찰서-터미널간도로(투찰)②_마현생창(동양고속)_왜관-태평건설 2" xfId="2254" xr:uid="{DD8CCB21-88F7-4655-9131-1198B2E2BB51}"/>
    <cellStyle name="_장성IC투찰_경찰서-터미널간도로(투찰)②_왜관-태평건설" xfId="859" xr:uid="{00000000-0005-0000-0000-00005A030000}"/>
    <cellStyle name="_장성IC투찰_경찰서-터미널간도로(투찰)②_왜관-태평건설 2" xfId="2255" xr:uid="{4A365A39-6272-4029-931B-17514364A6BC}"/>
    <cellStyle name="_장성IC투찰_마현생창(동양고속)" xfId="860" xr:uid="{00000000-0005-0000-0000-00005B030000}"/>
    <cellStyle name="_장성IC투찰_마현생창(동양고속) 2" xfId="2256" xr:uid="{3B3FFCCF-8170-49D1-95D8-76331D897D06}"/>
    <cellStyle name="_장성IC투찰_마현생창(동양고속)_왜관-태평건설" xfId="861" xr:uid="{00000000-0005-0000-0000-00005C030000}"/>
    <cellStyle name="_장성IC투찰_마현생창(동양고속)_왜관-태평건설 2" xfId="2257" xr:uid="{50C08085-0CEE-4EC9-92F2-F85753BA42D2}"/>
    <cellStyle name="_장성IC투찰_봉무지방산업단지도로(투찰)②" xfId="862" xr:uid="{00000000-0005-0000-0000-00005D030000}"/>
    <cellStyle name="_장성IC투찰_봉무지방산업단지도로(투찰)② 2" xfId="2258" xr:uid="{8C3CB88D-FED7-455A-BC1D-1D3B49EF897A}"/>
    <cellStyle name="_장성IC투찰_봉무지방산업단지도로(투찰)②_마현생창(동양고속)" xfId="863" xr:uid="{00000000-0005-0000-0000-00005E030000}"/>
    <cellStyle name="_장성IC투찰_봉무지방산업단지도로(투찰)②_마현생창(동양고속) 2" xfId="2259" xr:uid="{4D5C7CF3-4C94-46D0-B1AA-3073ADBB27FE}"/>
    <cellStyle name="_장성IC투찰_봉무지방산업단지도로(투찰)②_마현생창(동양고속)_왜관-태평건설" xfId="864" xr:uid="{00000000-0005-0000-0000-00005F030000}"/>
    <cellStyle name="_장성IC투찰_봉무지방산업단지도로(투찰)②_마현생창(동양고속)_왜관-태평건설 2" xfId="2260" xr:uid="{38691627-8AD8-4849-9A7F-697BBE032629}"/>
    <cellStyle name="_장성IC투찰_봉무지방산업단지도로(투찰)②_왜관-태평건설" xfId="865" xr:uid="{00000000-0005-0000-0000-000060030000}"/>
    <cellStyle name="_장성IC투찰_봉무지방산업단지도로(투찰)②_왜관-태평건설 2" xfId="2261" xr:uid="{ACD15FCB-7ABB-4AAE-803C-AC3B1BF50E74}"/>
    <cellStyle name="_장성IC투찰_봉무지방산업단지도로(투찰)②+0.250%" xfId="866" xr:uid="{00000000-0005-0000-0000-000061030000}"/>
    <cellStyle name="_장성IC투찰_봉무지방산업단지도로(투찰)②+0.250% 2" xfId="2262" xr:uid="{B66D84AC-4D87-4398-A02A-4A6747A14F97}"/>
    <cellStyle name="_장성IC투찰_봉무지방산업단지도로(투찰)②+0.250%_마현생창(동양고속)" xfId="867" xr:uid="{00000000-0005-0000-0000-000062030000}"/>
    <cellStyle name="_장성IC투찰_봉무지방산업단지도로(투찰)②+0.250%_마현생창(동양고속) 2" xfId="2263" xr:uid="{33E5FD01-9347-46BD-A6D2-A7CA952688DD}"/>
    <cellStyle name="_장성IC투찰_봉무지방산업단지도로(투찰)②+0.250%_마현생창(동양고속)_왜관-태평건설" xfId="868" xr:uid="{00000000-0005-0000-0000-000063030000}"/>
    <cellStyle name="_장성IC투찰_봉무지방산업단지도로(투찰)②+0.250%_마현생창(동양고속)_왜관-태평건설 2" xfId="2264" xr:uid="{DDDA2BE4-6A82-4DFD-B6FC-97145C18316C}"/>
    <cellStyle name="_장성IC투찰_봉무지방산업단지도로(투찰)②+0.250%_왜관-태평건설" xfId="869" xr:uid="{00000000-0005-0000-0000-000064030000}"/>
    <cellStyle name="_장성IC투찰_봉무지방산업단지도로(투찰)②+0.250%_왜관-태평건설 2" xfId="2265" xr:uid="{7788DD83-2EDB-461C-97A3-988E7C015B0E}"/>
    <cellStyle name="_장성IC투찰_왜관-태평건설" xfId="870" xr:uid="{00000000-0005-0000-0000-000065030000}"/>
    <cellStyle name="_장성IC투찰_왜관-태평건설 2" xfId="2266" xr:uid="{2EEA86E6-1238-414B-BD78-A08CF2F87F21}"/>
    <cellStyle name="_장성IC투찰_합덕-신례원(2공구)투찰" xfId="871" xr:uid="{00000000-0005-0000-0000-000066030000}"/>
    <cellStyle name="_장성IC투찰_합덕-신례원(2공구)투찰 2" xfId="2267" xr:uid="{484FD978-33B2-4FD1-A2E1-927745F107E7}"/>
    <cellStyle name="_장성IC투찰_합덕-신례원(2공구)투찰_경찰서-터미널간도로(투찰)②" xfId="872" xr:uid="{00000000-0005-0000-0000-000067030000}"/>
    <cellStyle name="_장성IC투찰_합덕-신례원(2공구)투찰_경찰서-터미널간도로(투찰)② 2" xfId="2268" xr:uid="{35F744B3-6CB8-41AD-8BC2-3179DA1F6BCE}"/>
    <cellStyle name="_장성IC투찰_합덕-신례원(2공구)투찰_경찰서-터미널간도로(투찰)②_마현생창(동양고속)" xfId="873" xr:uid="{00000000-0005-0000-0000-000068030000}"/>
    <cellStyle name="_장성IC투찰_합덕-신례원(2공구)투찰_경찰서-터미널간도로(투찰)②_마현생창(동양고속) 2" xfId="2269" xr:uid="{5D0CCC4F-DA5C-4E80-8F6C-B21C7C445805}"/>
    <cellStyle name="_장성IC투찰_합덕-신례원(2공구)투찰_경찰서-터미널간도로(투찰)②_마현생창(동양고속)_왜관-태평건설" xfId="874" xr:uid="{00000000-0005-0000-0000-000069030000}"/>
    <cellStyle name="_장성IC투찰_합덕-신례원(2공구)투찰_경찰서-터미널간도로(투찰)②_마현생창(동양고속)_왜관-태평건설 2" xfId="2270" xr:uid="{035F9A3F-0D1E-49D3-953B-F7FE3951574C}"/>
    <cellStyle name="_장성IC투찰_합덕-신례원(2공구)투찰_경찰서-터미널간도로(투찰)②_왜관-태평건설" xfId="875" xr:uid="{00000000-0005-0000-0000-00006A030000}"/>
    <cellStyle name="_장성IC투찰_합덕-신례원(2공구)투찰_경찰서-터미널간도로(투찰)②_왜관-태평건설 2" xfId="2271" xr:uid="{44E918BC-6CCE-435E-96CB-413FE912EA4F}"/>
    <cellStyle name="_장성IC투찰_합덕-신례원(2공구)투찰_마현생창(동양고속)" xfId="876" xr:uid="{00000000-0005-0000-0000-00006B030000}"/>
    <cellStyle name="_장성IC투찰_합덕-신례원(2공구)투찰_마현생창(동양고속) 2" xfId="2272" xr:uid="{F2EDEBDA-6395-43CF-8B80-C0A701381FD7}"/>
    <cellStyle name="_장성IC투찰_합덕-신례원(2공구)투찰_마현생창(동양고속)_왜관-태평건설" xfId="877" xr:uid="{00000000-0005-0000-0000-00006C030000}"/>
    <cellStyle name="_장성IC투찰_합덕-신례원(2공구)투찰_마현생창(동양고속)_왜관-태평건설 2" xfId="2273" xr:uid="{6D60377B-07D9-4224-911D-C0116083855F}"/>
    <cellStyle name="_장성IC투찰_합덕-신례원(2공구)투찰_봉무지방산업단지도로(투찰)②" xfId="878" xr:uid="{00000000-0005-0000-0000-00006D030000}"/>
    <cellStyle name="_장성IC투찰_합덕-신례원(2공구)투찰_봉무지방산업단지도로(투찰)② 2" xfId="2274" xr:uid="{ECF6E1CF-B037-4067-AEAC-9EA3D8376A76}"/>
    <cellStyle name="_장성IC투찰_합덕-신례원(2공구)투찰_봉무지방산업단지도로(투찰)②_마현생창(동양고속)" xfId="879" xr:uid="{00000000-0005-0000-0000-00006E030000}"/>
    <cellStyle name="_장성IC투찰_합덕-신례원(2공구)투찰_봉무지방산업단지도로(투찰)②_마현생창(동양고속) 2" xfId="2275" xr:uid="{C0B74B5D-9B0B-4648-826E-E5A8624AFCAF}"/>
    <cellStyle name="_장성IC투찰_합덕-신례원(2공구)투찰_봉무지방산업단지도로(투찰)②_마현생창(동양고속)_왜관-태평건설" xfId="880" xr:uid="{00000000-0005-0000-0000-00006F030000}"/>
    <cellStyle name="_장성IC투찰_합덕-신례원(2공구)투찰_봉무지방산업단지도로(투찰)②_마현생창(동양고속)_왜관-태평건설 2" xfId="2276" xr:uid="{B12C7674-0A35-4239-BD21-CC2E93E5DDB6}"/>
    <cellStyle name="_장성IC투찰_합덕-신례원(2공구)투찰_봉무지방산업단지도로(투찰)②_왜관-태평건설" xfId="881" xr:uid="{00000000-0005-0000-0000-000070030000}"/>
    <cellStyle name="_장성IC투찰_합덕-신례원(2공구)투찰_봉무지방산업단지도로(투찰)②_왜관-태평건설 2" xfId="2277" xr:uid="{3163478F-C5AB-4B75-BF88-CF38376FBC38}"/>
    <cellStyle name="_장성IC투찰_합덕-신례원(2공구)투찰_봉무지방산업단지도로(투찰)②+0.250%" xfId="882" xr:uid="{00000000-0005-0000-0000-000071030000}"/>
    <cellStyle name="_장성IC투찰_합덕-신례원(2공구)투찰_봉무지방산업단지도로(투찰)②+0.250% 2" xfId="2278" xr:uid="{78751037-9061-445B-9E41-260CBCBAFF98}"/>
    <cellStyle name="_장성IC투찰_합덕-신례원(2공구)투찰_봉무지방산업단지도로(투찰)②+0.250%_마현생창(동양고속)" xfId="883" xr:uid="{00000000-0005-0000-0000-000072030000}"/>
    <cellStyle name="_장성IC투찰_합덕-신례원(2공구)투찰_봉무지방산업단지도로(투찰)②+0.250%_마현생창(동양고속) 2" xfId="2279" xr:uid="{EEC518E8-9193-4AF9-A39C-178CD3A90FC8}"/>
    <cellStyle name="_장성IC투찰_합덕-신례원(2공구)투찰_봉무지방산업단지도로(투찰)②+0.250%_마현생창(동양고속)_왜관-태평건설" xfId="884" xr:uid="{00000000-0005-0000-0000-000073030000}"/>
    <cellStyle name="_장성IC투찰_합덕-신례원(2공구)투찰_봉무지방산업단지도로(투찰)②+0.250%_마현생창(동양고속)_왜관-태평건설 2" xfId="2280" xr:uid="{DD806E69-0268-45A6-A465-380A570B4133}"/>
    <cellStyle name="_장성IC투찰_합덕-신례원(2공구)투찰_봉무지방산업단지도로(투찰)②+0.250%_왜관-태평건설" xfId="885" xr:uid="{00000000-0005-0000-0000-000074030000}"/>
    <cellStyle name="_장성IC투찰_합덕-신례원(2공구)투찰_봉무지방산업단지도로(투찰)②+0.250%_왜관-태평건설 2" xfId="2281" xr:uid="{F49312B3-0B44-4E48-9466-2C619475AC12}"/>
    <cellStyle name="_장성IC투찰_합덕-신례원(2공구)투찰_왜관-태평건설" xfId="886" xr:uid="{00000000-0005-0000-0000-000075030000}"/>
    <cellStyle name="_장성IC투찰_합덕-신례원(2공구)투찰_왜관-태평건설 2" xfId="2282" xr:uid="{71F1E74D-0B3E-4553-B46E-80DA43331624}"/>
    <cellStyle name="_장성IC투찰_합덕-신례원(2공구)투찰_합덕-신례원(2공구)투찰" xfId="887" xr:uid="{00000000-0005-0000-0000-000076030000}"/>
    <cellStyle name="_장성IC투찰_합덕-신례원(2공구)투찰_합덕-신례원(2공구)투찰 2" xfId="2283" xr:uid="{EF07AC62-685E-4A30-866C-241DBE48F467}"/>
    <cellStyle name="_장성IC투찰_합덕-신례원(2공구)투찰_합덕-신례원(2공구)투찰_경찰서-터미널간도로(투찰)②" xfId="888" xr:uid="{00000000-0005-0000-0000-000077030000}"/>
    <cellStyle name="_장성IC투찰_합덕-신례원(2공구)투찰_합덕-신례원(2공구)투찰_경찰서-터미널간도로(투찰)② 2" xfId="2284" xr:uid="{C49D0FC1-4A38-4BBB-9F23-B0548D33AA9E}"/>
    <cellStyle name="_장성IC투찰_합덕-신례원(2공구)투찰_합덕-신례원(2공구)투찰_경찰서-터미널간도로(투찰)②_마현생창(동양고속)" xfId="889" xr:uid="{00000000-0005-0000-0000-000078030000}"/>
    <cellStyle name="_장성IC투찰_합덕-신례원(2공구)투찰_합덕-신례원(2공구)투찰_경찰서-터미널간도로(투찰)②_마현생창(동양고속) 2" xfId="2285" xr:uid="{BB743F18-032B-493E-9146-2852246616DA}"/>
    <cellStyle name="_장성IC투찰_합덕-신례원(2공구)투찰_합덕-신례원(2공구)투찰_경찰서-터미널간도로(투찰)②_마현생창(동양고속)_왜관-태평건설" xfId="890" xr:uid="{00000000-0005-0000-0000-000079030000}"/>
    <cellStyle name="_장성IC투찰_합덕-신례원(2공구)투찰_합덕-신례원(2공구)투찰_경찰서-터미널간도로(투찰)②_마현생창(동양고속)_왜관-태평건설 2" xfId="2286" xr:uid="{5C98553A-D41F-4B4D-B03D-F5DC892F9A92}"/>
    <cellStyle name="_장성IC투찰_합덕-신례원(2공구)투찰_합덕-신례원(2공구)투찰_경찰서-터미널간도로(투찰)②_왜관-태평건설" xfId="891" xr:uid="{00000000-0005-0000-0000-00007A030000}"/>
    <cellStyle name="_장성IC투찰_합덕-신례원(2공구)투찰_합덕-신례원(2공구)투찰_경찰서-터미널간도로(투찰)②_왜관-태평건설 2" xfId="2287" xr:uid="{23C4C55E-8075-4E1A-90BC-A517BD20CBA9}"/>
    <cellStyle name="_장성IC투찰_합덕-신례원(2공구)투찰_합덕-신례원(2공구)투찰_마현생창(동양고속)" xfId="892" xr:uid="{00000000-0005-0000-0000-00007B030000}"/>
    <cellStyle name="_장성IC투찰_합덕-신례원(2공구)투찰_합덕-신례원(2공구)투찰_마현생창(동양고속) 2" xfId="2288" xr:uid="{26F293EB-D287-47DC-B0C1-07C9456056C5}"/>
    <cellStyle name="_장성IC투찰_합덕-신례원(2공구)투찰_합덕-신례원(2공구)투찰_마현생창(동양고속)_왜관-태평건설" xfId="893" xr:uid="{00000000-0005-0000-0000-00007C030000}"/>
    <cellStyle name="_장성IC투찰_합덕-신례원(2공구)투찰_합덕-신례원(2공구)투찰_마현생창(동양고속)_왜관-태평건설 2" xfId="2289" xr:uid="{9BD809B0-528A-48D1-95B0-9D1269740845}"/>
    <cellStyle name="_장성IC투찰_합덕-신례원(2공구)투찰_합덕-신례원(2공구)투찰_봉무지방산업단지도로(투찰)②" xfId="894" xr:uid="{00000000-0005-0000-0000-00007D030000}"/>
    <cellStyle name="_장성IC투찰_합덕-신례원(2공구)투찰_합덕-신례원(2공구)투찰_봉무지방산업단지도로(투찰)② 2" xfId="2290" xr:uid="{A154C6CE-F93F-4098-8A21-C238A8741464}"/>
    <cellStyle name="_장성IC투찰_합덕-신례원(2공구)투찰_합덕-신례원(2공구)투찰_봉무지방산업단지도로(투찰)②_마현생창(동양고속)" xfId="895" xr:uid="{00000000-0005-0000-0000-00007E030000}"/>
    <cellStyle name="_장성IC투찰_합덕-신례원(2공구)투찰_합덕-신례원(2공구)투찰_봉무지방산업단지도로(투찰)②_마현생창(동양고속) 2" xfId="2291" xr:uid="{B1F9B48C-5B3C-49C8-8EE2-6F5B7142B60C}"/>
    <cellStyle name="_장성IC투찰_합덕-신례원(2공구)투찰_합덕-신례원(2공구)투찰_봉무지방산업단지도로(투찰)②_마현생창(동양고속)_왜관-태평건설" xfId="896" xr:uid="{00000000-0005-0000-0000-00007F030000}"/>
    <cellStyle name="_장성IC투찰_합덕-신례원(2공구)투찰_합덕-신례원(2공구)투찰_봉무지방산업단지도로(투찰)②_마현생창(동양고속)_왜관-태평건설 2" xfId="2292" xr:uid="{4A6B3618-8564-4604-976B-94F5A7A30F94}"/>
    <cellStyle name="_장성IC투찰_합덕-신례원(2공구)투찰_합덕-신례원(2공구)투찰_봉무지방산업단지도로(투찰)②_왜관-태평건설" xfId="897" xr:uid="{00000000-0005-0000-0000-000080030000}"/>
    <cellStyle name="_장성IC투찰_합덕-신례원(2공구)투찰_합덕-신례원(2공구)투찰_봉무지방산업단지도로(투찰)②_왜관-태평건설 2" xfId="2293" xr:uid="{7042BEEC-1062-4273-B93A-A6E78479AAB8}"/>
    <cellStyle name="_장성IC투찰_합덕-신례원(2공구)투찰_합덕-신례원(2공구)투찰_봉무지방산업단지도로(투찰)②+0.250%" xfId="898" xr:uid="{00000000-0005-0000-0000-000081030000}"/>
    <cellStyle name="_장성IC투찰_합덕-신례원(2공구)투찰_합덕-신례원(2공구)투찰_봉무지방산업단지도로(투찰)②+0.250% 2" xfId="2294" xr:uid="{7DF801AE-433D-405A-9308-64A082218670}"/>
    <cellStyle name="_장성IC투찰_합덕-신례원(2공구)투찰_합덕-신례원(2공구)투찰_봉무지방산업단지도로(투찰)②+0.250%_마현생창(동양고속)" xfId="899" xr:uid="{00000000-0005-0000-0000-000082030000}"/>
    <cellStyle name="_장성IC투찰_합덕-신례원(2공구)투찰_합덕-신례원(2공구)투찰_봉무지방산업단지도로(투찰)②+0.250%_마현생창(동양고속) 2" xfId="2295" xr:uid="{11435B4C-D169-4312-91D6-1FCD38AC54D2}"/>
    <cellStyle name="_장성IC투찰_합덕-신례원(2공구)투찰_합덕-신례원(2공구)투찰_봉무지방산업단지도로(투찰)②+0.250%_마현생창(동양고속)_왜관-태평건설" xfId="900" xr:uid="{00000000-0005-0000-0000-000083030000}"/>
    <cellStyle name="_장성IC투찰_합덕-신례원(2공구)투찰_합덕-신례원(2공구)투찰_봉무지방산업단지도로(투찰)②+0.250%_마현생창(동양고속)_왜관-태평건설 2" xfId="2296" xr:uid="{479BCFEF-B229-4B3F-BEC1-A255B6907FB5}"/>
    <cellStyle name="_장성IC투찰_합덕-신례원(2공구)투찰_합덕-신례원(2공구)투찰_봉무지방산업단지도로(투찰)②+0.250%_왜관-태평건설" xfId="901" xr:uid="{00000000-0005-0000-0000-000084030000}"/>
    <cellStyle name="_장성IC투찰_합덕-신례원(2공구)투찰_합덕-신례원(2공구)투찰_봉무지방산업단지도로(투찰)②+0.250%_왜관-태평건설 2" xfId="2297" xr:uid="{84198863-12AE-46A8-9501-26EF47821862}"/>
    <cellStyle name="_장성IC투찰_합덕-신례원(2공구)투찰_합덕-신례원(2공구)투찰_왜관-태평건설" xfId="902" xr:uid="{00000000-0005-0000-0000-000085030000}"/>
    <cellStyle name="_장성IC투찰_합덕-신례원(2공구)투찰_합덕-신례원(2공구)투찰_왜관-태평건설 2" xfId="2298" xr:uid="{AC4B9586-6A56-40E0-BA73-FD6A7FD17BF9}"/>
    <cellStyle name="_적격 " xfId="903" xr:uid="{00000000-0005-0000-0000-000086030000}"/>
    <cellStyle name="_적격  2" xfId="2299" xr:uid="{2274E21E-95F9-4466-865D-5F95C21E98FB}"/>
    <cellStyle name="_적격 _광주평동투찰" xfId="904" xr:uid="{00000000-0005-0000-0000-000087030000}"/>
    <cellStyle name="_적격 _광주평동투찰 2" xfId="2300" xr:uid="{578ECC04-BBC9-44ED-9FDE-0F191A7CA36A}"/>
    <cellStyle name="_적격 _광주평동품의1" xfId="905" xr:uid="{00000000-0005-0000-0000-000088030000}"/>
    <cellStyle name="_적격 _광주평동품의1 2" xfId="2301" xr:uid="{100FE9D2-54F4-4717-A0A3-FC37A86B6224}"/>
    <cellStyle name="_적격 _송학하수품의(설계넣고)" xfId="906" xr:uid="{00000000-0005-0000-0000-000089030000}"/>
    <cellStyle name="_적격 _송학하수품의(설계넣고) 2" xfId="2302" xr:uid="{B7E83C48-7608-4A07-A1E6-01F25E9BD1E9}"/>
    <cellStyle name="_적격 _집행갑지 " xfId="907" xr:uid="{00000000-0005-0000-0000-00008A030000}"/>
    <cellStyle name="_적격 _집행갑지  2" xfId="2303" xr:uid="{0ABC5B06-E89F-4D74-A3F0-B0F15D93EC4C}"/>
    <cellStyle name="_적격 _집행갑지 _광주평동투찰" xfId="908" xr:uid="{00000000-0005-0000-0000-00008B030000}"/>
    <cellStyle name="_적격 _집행갑지 _광주평동투찰 2" xfId="2304" xr:uid="{0F8AE462-5002-4019-ADD1-B0B2558EE265}"/>
    <cellStyle name="_적격 _집행갑지 _광주평동품의1" xfId="909" xr:uid="{00000000-0005-0000-0000-00008C030000}"/>
    <cellStyle name="_적격 _집행갑지 _광주평동품의1 2" xfId="2305" xr:uid="{B01B9C91-8EA9-4833-951C-48EB38EB8460}"/>
    <cellStyle name="_적격 _집행갑지 _송학하수품의(설계넣고)" xfId="910" xr:uid="{00000000-0005-0000-0000-00008D030000}"/>
    <cellStyle name="_적격 _집행갑지 _송학하수품의(설계넣고) 2" xfId="2306" xr:uid="{9450262A-5B89-4E12-B461-FB74DBAF1B05}"/>
    <cellStyle name="_적격(화산) " xfId="911" xr:uid="{00000000-0005-0000-0000-00008E030000}"/>
    <cellStyle name="_적격(화산)  2" xfId="2307" xr:uid="{3AB571E0-42CF-4865-A263-239B26976109}"/>
    <cellStyle name="_적격(화산) _광주평동투찰" xfId="912" xr:uid="{00000000-0005-0000-0000-00008F030000}"/>
    <cellStyle name="_적격(화산) _광주평동투찰 2" xfId="2308" xr:uid="{4A8D8027-BF62-4D1D-AFD0-45318E85D67A}"/>
    <cellStyle name="_적격(화산) _광주평동품의1" xfId="913" xr:uid="{00000000-0005-0000-0000-000090030000}"/>
    <cellStyle name="_적격(화산) _광주평동품의1 2" xfId="2309" xr:uid="{1F399DC7-BB12-4123-B99E-122269A5841A}"/>
    <cellStyle name="_적격(화산) _송학하수품의(설계넣고)" xfId="914" xr:uid="{00000000-0005-0000-0000-000091030000}"/>
    <cellStyle name="_적격(화산) _송학하수품의(설계넣고) 2" xfId="2310" xr:uid="{F8210FD2-CCA5-451E-82BC-14B54F3CBF49}"/>
    <cellStyle name="_점검사진양식" xfId="915" xr:uid="{00000000-0005-0000-0000-000092030000}"/>
    <cellStyle name="_제출용병천하수(지역관로1)" xfId="916" xr:uid="{00000000-0005-0000-0000-000093030000}"/>
    <cellStyle name="_제출용병천하수(지역관로1) 2" xfId="2311" xr:uid="{EB6FA985-6AD3-4E39-B3DC-5A63BE51D269}"/>
    <cellStyle name="_제출용병천하수(지역관로1)_광주평동투찰" xfId="917" xr:uid="{00000000-0005-0000-0000-000094030000}"/>
    <cellStyle name="_제출용병천하수(지역관로1)_광주평동투찰 2" xfId="2312" xr:uid="{C58AC24D-323D-4FDD-810D-42E084E8F955}"/>
    <cellStyle name="_제출용병천하수(지역관로1)_광주평동품의1" xfId="918" xr:uid="{00000000-0005-0000-0000-000095030000}"/>
    <cellStyle name="_제출용병천하수(지역관로1)_광주평동품의1 2" xfId="2313" xr:uid="{21FD7F1B-9D95-4408-8FE1-303DA98A724A}"/>
    <cellStyle name="_제출용병천하수(지역관로1)_송학하수품의(설계넣고)" xfId="919" xr:uid="{00000000-0005-0000-0000-000096030000}"/>
    <cellStyle name="_제출용병천하수(지역관로1)_송학하수품의(설계넣고) 2" xfId="2314" xr:uid="{57A7CC17-CBD6-4E69-B90A-16411429FE1C}"/>
    <cellStyle name="_집행갑지 " xfId="920" xr:uid="{00000000-0005-0000-0000-000097030000}"/>
    <cellStyle name="_집행갑지  2" xfId="2315" xr:uid="{F72A276F-0FD8-4140-9D12-3211E8515B8D}"/>
    <cellStyle name="_집행갑지 _광주평동투찰" xfId="921" xr:uid="{00000000-0005-0000-0000-000098030000}"/>
    <cellStyle name="_집행갑지 _광주평동투찰 2" xfId="2316" xr:uid="{FC09F9A1-80FD-42F9-9B32-8DD8CE3C224A}"/>
    <cellStyle name="_집행갑지 _광주평동품의1" xfId="922" xr:uid="{00000000-0005-0000-0000-000099030000}"/>
    <cellStyle name="_집행갑지 _광주평동품의1 2" xfId="2317" xr:uid="{7D0D4184-2A01-48C0-BE86-81AB6ABAC915}"/>
    <cellStyle name="_집행갑지 _송학하수품의(설계넣고)" xfId="923" xr:uid="{00000000-0005-0000-0000-00009A030000}"/>
    <cellStyle name="_집행갑지 _송학하수품의(설계넣고) 2" xfId="2318" xr:uid="{6C294528-FCAC-46E9-934B-26A0607A5FE7}"/>
    <cellStyle name="_창원상수도(투찰)-0.815%" xfId="924" xr:uid="{00000000-0005-0000-0000-00009B030000}"/>
    <cellStyle name="_호남선두계역외2개소연결통로" xfId="925" xr:uid="{00000000-0005-0000-0000-00009C030000}"/>
    <cellStyle name="_호남선전철화송정리역사111" xfId="926" xr:uid="{00000000-0005-0000-0000-00009D030000}"/>
    <cellStyle name="’E‰Y [0.00]_laroux" xfId="927" xr:uid="{00000000-0005-0000-0000-00009E030000}"/>
    <cellStyle name="’E‰Y_laroux" xfId="928" xr:uid="{00000000-0005-0000-0000-00009F030000}"/>
    <cellStyle name="¤@?e_TEST-1 " xfId="929" xr:uid="{00000000-0005-0000-0000-0000A0030000}"/>
    <cellStyle name="æØè [0.00]_NT Server " xfId="930" xr:uid="{00000000-0005-0000-0000-0000A1030000}"/>
    <cellStyle name="æØè_NT Server " xfId="931" xr:uid="{00000000-0005-0000-0000-0000A2030000}"/>
    <cellStyle name="὜ĀȀက" xfId="932" xr:uid="{00000000-0005-0000-0000-0000A3030000}"/>
    <cellStyle name="὜ĀȀက 2" xfId="2319" xr:uid="{3C3B285D-183E-4E01-9B78-CEDCAAFCC7B1}"/>
    <cellStyle name="ÊÝ [0.00]_NT Server " xfId="933" xr:uid="{00000000-0005-0000-0000-0000A4030000}"/>
    <cellStyle name="ÊÝ_NT Server " xfId="934" xr:uid="{00000000-0005-0000-0000-0000A5030000}"/>
    <cellStyle name="W?_½RmF¼° " xfId="935" xr:uid="{00000000-0005-0000-0000-0000A6030000}"/>
    <cellStyle name="0.0" xfId="936" xr:uid="{00000000-0005-0000-0000-0000A7030000}"/>
    <cellStyle name="0.00" xfId="937" xr:uid="{00000000-0005-0000-0000-0000A8030000}"/>
    <cellStyle name="1" xfId="938" xr:uid="{00000000-0005-0000-0000-0000A9030000}"/>
    <cellStyle name="1_book1" xfId="939" xr:uid="{00000000-0005-0000-0000-0000AA030000}"/>
    <cellStyle name="1_EXCEL내역변환(재-노)" xfId="940" xr:uid="{00000000-0005-0000-0000-0000AB030000}"/>
    <cellStyle name="1_가월리배수펌프(04.23)" xfId="941" xr:uid="{00000000-0005-0000-0000-0000AC030000}"/>
    <cellStyle name="1_거성토건도급계약내역(신일중고)" xfId="942" xr:uid="{00000000-0005-0000-0000-0000AD030000}"/>
    <cellStyle name="1_계수대로" xfId="943" xr:uid="{00000000-0005-0000-0000-0000AE030000}"/>
    <cellStyle name="1_단가조사표" xfId="944" xr:uid="{00000000-0005-0000-0000-0000AF030000}"/>
    <cellStyle name="1_단가집" xfId="945" xr:uid="{00000000-0005-0000-0000-0000B0030000}"/>
    <cellStyle name="1_도암강진(흥산건설)" xfId="946" xr:uid="{00000000-0005-0000-0000-0000B1030000}"/>
    <cellStyle name="1_백제큰길내역서" xfId="947" xr:uid="{00000000-0005-0000-0000-0000B2030000}"/>
    <cellStyle name="1_부안-태인1산출" xfId="948" xr:uid="{00000000-0005-0000-0000-0000B3030000}"/>
    <cellStyle name="1_삼융건설(백제큰길)" xfId="949" xr:uid="{00000000-0005-0000-0000-0000B4030000}"/>
    <cellStyle name="1_송정리역사(토목완료林)" xfId="950" xr:uid="{00000000-0005-0000-0000-0000B5030000}"/>
    <cellStyle name="1_시민계략공사" xfId="951" xr:uid="{00000000-0005-0000-0000-0000B6030000}"/>
    <cellStyle name="1_시민계략공사 2" xfId="2320" xr:uid="{D63DF56F-70ED-4C7E-AE02-67FAE0BC90FD}"/>
    <cellStyle name="1_시민계략공사_도암강진(흥산건설)" xfId="952" xr:uid="{00000000-0005-0000-0000-0000B7030000}"/>
    <cellStyle name="1_시민계략공사_도암강진(흥산건설) 2" xfId="2321" xr:uid="{23A37BE4-C569-49A3-BDF7-0E14152B7DF3}"/>
    <cellStyle name="1_시민계략공사_도암강진(흥산건설)_해남내역서" xfId="953" xr:uid="{00000000-0005-0000-0000-0000B8030000}"/>
    <cellStyle name="1_시민계략공사_도암강진(흥산건설)_해남내역서 2" xfId="2322" xr:uid="{7942B10D-CF2A-462F-9568-1CBA2B7BBB9A}"/>
    <cellStyle name="1_시민계략공사_부안-태인1산출" xfId="954" xr:uid="{00000000-0005-0000-0000-0000B9030000}"/>
    <cellStyle name="1_시민계략공사_부안-태인1산출 2" xfId="2323" xr:uid="{00D7D988-4A4B-4ECC-B94C-7847603B69AA}"/>
    <cellStyle name="1_시민계략공사_전기-한남" xfId="955" xr:uid="{00000000-0005-0000-0000-0000BA030000}"/>
    <cellStyle name="1_시민계략공사_주문진신리교(동일건설)" xfId="956" xr:uid="{00000000-0005-0000-0000-0000BB030000}"/>
    <cellStyle name="1_시민계략공사_주문진신리교(동일건설) 2" xfId="2324" xr:uid="{836364E6-3EB8-4E67-98FE-642BFACB7DE9}"/>
    <cellStyle name="1_시민계략공사_흥한건설(이양능주2공구)" xfId="957" xr:uid="{00000000-0005-0000-0000-0000BC030000}"/>
    <cellStyle name="1_시민계략공사_흥한건설(이양능주2공구) 2" xfId="2325" xr:uid="{0B71C561-4C4A-46DB-9D73-C3FFB841635C}"/>
    <cellStyle name="1_신일중고식당리모델링(설계변경070420)" xfId="958" xr:uid="{00000000-0005-0000-0000-0000BD030000}"/>
    <cellStyle name="1_입찰내역서갑지양식" xfId="959" xr:uid="{00000000-0005-0000-0000-0000BE030000}"/>
    <cellStyle name="1_전자입찰원가양식" xfId="960" xr:uid="{00000000-0005-0000-0000-0000BF030000}"/>
    <cellStyle name="1_주문진신리교(동일건설)" xfId="961" xr:uid="{00000000-0005-0000-0000-0000C0030000}"/>
    <cellStyle name="1_화곡5동주민자치센터신축공사" xfId="962" xr:uid="{00000000-0005-0000-0000-0000C1030000}"/>
    <cellStyle name="1_흥한건설(주)_두창산업폐기물(하도급)" xfId="963" xr:uid="{00000000-0005-0000-0000-0000C2030000}"/>
    <cellStyle name="19990216" xfId="964" xr:uid="{00000000-0005-0000-0000-0000C3030000}"/>
    <cellStyle name="¹e" xfId="965" xr:uid="{00000000-0005-0000-0000-0000C4030000}"/>
    <cellStyle name="¹e 2" xfId="2326" xr:uid="{94C00CA8-730F-4808-86BE-D99710749408}"/>
    <cellStyle name="2" xfId="966" xr:uid="{00000000-0005-0000-0000-0000C5030000}"/>
    <cellStyle name="2_단가조사표" xfId="967" xr:uid="{00000000-0005-0000-0000-0000C6030000}"/>
    <cellStyle name="20% - 강조색1 2" xfId="968" xr:uid="{00000000-0005-0000-0000-0000C7030000}"/>
    <cellStyle name="20% - 강조색2 2" xfId="969" xr:uid="{00000000-0005-0000-0000-0000C8030000}"/>
    <cellStyle name="20% - 강조색3 2" xfId="970" xr:uid="{00000000-0005-0000-0000-0000C9030000}"/>
    <cellStyle name="20% - 강조색4 2" xfId="971" xr:uid="{00000000-0005-0000-0000-0000CA030000}"/>
    <cellStyle name="20% - 강조색5 2" xfId="972" xr:uid="{00000000-0005-0000-0000-0000CB030000}"/>
    <cellStyle name="20% - 강조색6 2" xfId="973" xr:uid="{00000000-0005-0000-0000-0000CC030000}"/>
    <cellStyle name="40% - 강조색1 2" xfId="974" xr:uid="{00000000-0005-0000-0000-0000CD030000}"/>
    <cellStyle name="40% - 강조색2 2" xfId="975" xr:uid="{00000000-0005-0000-0000-0000CE030000}"/>
    <cellStyle name="40% - 강조색3 2" xfId="976" xr:uid="{00000000-0005-0000-0000-0000CF030000}"/>
    <cellStyle name="40% - 강조색4 2" xfId="977" xr:uid="{00000000-0005-0000-0000-0000D0030000}"/>
    <cellStyle name="40% - 강조색5 2" xfId="978" xr:uid="{00000000-0005-0000-0000-0000D1030000}"/>
    <cellStyle name="40% - 강조색6 2" xfId="979" xr:uid="{00000000-0005-0000-0000-0000D2030000}"/>
    <cellStyle name="60" xfId="980" xr:uid="{00000000-0005-0000-0000-0000D3030000}"/>
    <cellStyle name="60% - 강조색1 2" xfId="981" xr:uid="{00000000-0005-0000-0000-0000D4030000}"/>
    <cellStyle name="60% - 강조색2 2" xfId="982" xr:uid="{00000000-0005-0000-0000-0000D5030000}"/>
    <cellStyle name="60% - 강조색3 2" xfId="983" xr:uid="{00000000-0005-0000-0000-0000D6030000}"/>
    <cellStyle name="60% - 강조색4 2" xfId="984" xr:uid="{00000000-0005-0000-0000-0000D7030000}"/>
    <cellStyle name="60% - 강조색5 2" xfId="985" xr:uid="{00000000-0005-0000-0000-0000D8030000}"/>
    <cellStyle name="60% - 강조색6 2" xfId="986" xr:uid="{00000000-0005-0000-0000-0000D9030000}"/>
    <cellStyle name="A" xfId="987" xr:uid="{00000000-0005-0000-0000-0000DA030000}"/>
    <cellStyle name="A 2" xfId="2327" xr:uid="{4304B0C2-2D50-44A4-8F80-EA17B716C3B8}"/>
    <cellStyle name="Ā _x0010_က랐_xdc01_땯_x0001_" xfId="988" xr:uid="{00000000-0005-0000-0000-0000DB030000}"/>
    <cellStyle name="A_거성토건도급계약내역(신일중고)" xfId="989" xr:uid="{00000000-0005-0000-0000-0000DC030000}"/>
    <cellStyle name="A_거성토건도급계약내역(신일중고) 2" xfId="2328" xr:uid="{5A9D5A5F-840F-4F3D-B3E8-F6FC985EB7EC}"/>
    <cellStyle name="A_도로" xfId="990" xr:uid="{00000000-0005-0000-0000-0000DD030000}"/>
    <cellStyle name="A_부대초안" xfId="991" xr:uid="{00000000-0005-0000-0000-0000DE030000}"/>
    <cellStyle name="A_부대초안 2" xfId="2329" xr:uid="{3811574E-EFD1-4B33-9950-7FEFA2C37BBC}"/>
    <cellStyle name="A_부대초안_견적의뢰" xfId="992" xr:uid="{00000000-0005-0000-0000-0000DF030000}"/>
    <cellStyle name="A_부대초안_견적의뢰 2" xfId="2330" xr:uid="{C195356A-1A08-4C8C-B717-A133AFB9EB4B}"/>
    <cellStyle name="A_부대초안_김포투찰" xfId="993" xr:uid="{00000000-0005-0000-0000-0000E0030000}"/>
    <cellStyle name="A_부대초안_김포투찰_견적의뢰" xfId="994" xr:uid="{00000000-0005-0000-0000-0000E1030000}"/>
    <cellStyle name="A_부대초안_김포투찰_견적의뢰 2" xfId="2331" xr:uid="{4C1E8D1F-ABEB-4A54-98E9-EEF89BAE1603}"/>
    <cellStyle name="A_토목내역서" xfId="995" xr:uid="{00000000-0005-0000-0000-0000E2030000}"/>
    <cellStyle name="A_토목내역서 2" xfId="2332" xr:uid="{B679F76B-186B-4FB2-BFA8-502E2E19BAC0}"/>
    <cellStyle name="A_토목내역서_도로" xfId="996" xr:uid="{00000000-0005-0000-0000-0000E3030000}"/>
    <cellStyle name="A_토목내역서_부대초안" xfId="997" xr:uid="{00000000-0005-0000-0000-0000E4030000}"/>
    <cellStyle name="A_토목내역서_부대초안 2" xfId="2333" xr:uid="{D151DC4E-1762-4491-8C5B-9B42BF932279}"/>
    <cellStyle name="A_토목내역서_부대초안_견적의뢰" xfId="998" xr:uid="{00000000-0005-0000-0000-0000E5030000}"/>
    <cellStyle name="A_토목내역서_부대초안_견적의뢰 2" xfId="2334" xr:uid="{3465B6F2-1227-4C2B-9AE6-955CE0E97ACC}"/>
    <cellStyle name="A_토목내역서_부대초안_김포투찰" xfId="999" xr:uid="{00000000-0005-0000-0000-0000E6030000}"/>
    <cellStyle name="A_토목내역서_부대초안_김포투찰_견적의뢰" xfId="1000" xr:uid="{00000000-0005-0000-0000-0000E7030000}"/>
    <cellStyle name="A_토목내역서_부대초안_김포투찰_견적의뢰 2" xfId="2335" xr:uid="{7462558C-4460-4663-B0A2-E5A1B0CDADBA}"/>
    <cellStyle name="A¨­¢¬¢Ò [0]_¡Æ¨ÏAo" xfId="1001" xr:uid="{00000000-0005-0000-0000-0000E8030000}"/>
    <cellStyle name="A¨­￠￢￠O [0]_¨oCAuCoEⓒ÷ " xfId="1002" xr:uid="{00000000-0005-0000-0000-0000E9030000}"/>
    <cellStyle name="A¨­¢¬¢Ò_¡Æ¨ÏAo" xfId="1003" xr:uid="{00000000-0005-0000-0000-0000EA030000}"/>
    <cellStyle name="A¨­￠￢￠O_¨oCAuCoEⓒ÷ " xfId="1004" xr:uid="{00000000-0005-0000-0000-0000EB030000}"/>
    <cellStyle name="Aⓒ­" xfId="1005" xr:uid="{00000000-0005-0000-0000-0000EC030000}"/>
    <cellStyle name="Aⓒ­ 2" xfId="2336" xr:uid="{E7484353-2B28-449B-B652-5EB143F7F06E}"/>
    <cellStyle name="Ae" xfId="1006" xr:uid="{00000000-0005-0000-0000-0000ED030000}"/>
    <cellStyle name="Ae 2" xfId="2337" xr:uid="{74FA499E-5EC8-4C7F-AEF1-DC8B757F142C}"/>
    <cellStyle name="Aee­ " xfId="1007" xr:uid="{00000000-0005-0000-0000-0000EE030000}"/>
    <cellStyle name="Aee­  2" xfId="2338" xr:uid="{B489D675-EB6F-4BC6-8BA6-5D462F44A875}"/>
    <cellStyle name="AeE­ [0]_¸ðCu¸·" xfId="1008" xr:uid="{00000000-0005-0000-0000-0000EF030000}"/>
    <cellStyle name="ÅëÈ­ [0]_¸ðÇü¸·" xfId="1009" xr:uid="{00000000-0005-0000-0000-0000F0030000}"/>
    <cellStyle name="AeE­ [0]_¸ðCu¸· 2" xfId="1010" xr:uid="{00000000-0005-0000-0000-0000F1030000}"/>
    <cellStyle name="ÅëÈ­ [0]_¸ñÂ÷ " xfId="1011" xr:uid="{00000000-0005-0000-0000-0000F2030000}"/>
    <cellStyle name="AeE­ [0]_¼oAI¼º " xfId="1012" xr:uid="{00000000-0005-0000-0000-0000F3030000}"/>
    <cellStyle name="ÅëÈ­ [0]_INQUIRY ¿µ¾÷ÃßÁø " xfId="1013" xr:uid="{00000000-0005-0000-0000-0000F4030000}"/>
    <cellStyle name="AeE­ [0]_INQUIRY ¿μ¾÷AßAø " xfId="1014" xr:uid="{00000000-0005-0000-0000-0000F5030000}"/>
    <cellStyle name="ÅëÈ­ [0]_º»¼± ±æ¾î±úºÎ ¼ö·® Áý°èÇ¥ " xfId="1015" xr:uid="{00000000-0005-0000-0000-0000F6030000}"/>
    <cellStyle name="AeE­ [0]_º≫¼± ±æ¾i±uºI ¼o·R Ay°eC￥ " xfId="1016" xr:uid="{00000000-0005-0000-0000-0000F7030000}"/>
    <cellStyle name="Aee­ _거성토건도급계약내역(신일중고)" xfId="1017" xr:uid="{00000000-0005-0000-0000-0000F8030000}"/>
    <cellStyle name="AeE­_¸ðCu¸·" xfId="1018" xr:uid="{00000000-0005-0000-0000-0000F9030000}"/>
    <cellStyle name="ÅëÈ­_¸ðÇü¸·" xfId="1019" xr:uid="{00000000-0005-0000-0000-0000FA030000}"/>
    <cellStyle name="AeE­_¸ðCu¸· 2" xfId="1020" xr:uid="{00000000-0005-0000-0000-0000FB030000}"/>
    <cellStyle name="ÅëÈ­_¸ñÂ÷ " xfId="1021" xr:uid="{00000000-0005-0000-0000-0000FC030000}"/>
    <cellStyle name="AeE­_¼oAI¼º " xfId="1022" xr:uid="{00000000-0005-0000-0000-0000FD030000}"/>
    <cellStyle name="ÅëÈ­_INQUIRY ¿µ¾÷ÃßÁø " xfId="1023" xr:uid="{00000000-0005-0000-0000-0000FE030000}"/>
    <cellStyle name="AeE­_INQUIRY ¿μ¾÷AßAø " xfId="1024" xr:uid="{00000000-0005-0000-0000-0000FF030000}"/>
    <cellStyle name="ÅëÈ­_º»¼± ±æ¾î±úºÎ ¼ö·® Áý°èÇ¥ " xfId="1025" xr:uid="{00000000-0005-0000-0000-000000040000}"/>
    <cellStyle name="AeE­_º≫¼± ±æ¾i±uºI ¼o·R Ay°eC￥ " xfId="1026" xr:uid="{00000000-0005-0000-0000-000001040000}"/>
    <cellStyle name="Aee¡" xfId="1027" xr:uid="{00000000-0005-0000-0000-000002040000}"/>
    <cellStyle name="Aee¡ 2" xfId="2339" xr:uid="{049AED88-F0F5-4F70-A5A3-B6ACD5B43E1B}"/>
    <cellStyle name="AeE¡© [0]_¡Æ¨ÏAo" xfId="1028" xr:uid="{00000000-0005-0000-0000-000003040000}"/>
    <cellStyle name="AeE¡©_¡Æ¨ÏAo" xfId="1029" xr:uid="{00000000-0005-0000-0000-000004040000}"/>
    <cellStyle name="AeE¡ⓒ [0]_¨oCAuCoEⓒ÷ " xfId="1030" xr:uid="{00000000-0005-0000-0000-000005040000}"/>
    <cellStyle name="AeE¡ⓒ_¨oCAuCoEⓒ÷ " xfId="1031" xr:uid="{00000000-0005-0000-0000-000006040000}"/>
    <cellStyle name="ALIGNMENT" xfId="1032" xr:uid="{00000000-0005-0000-0000-000007040000}"/>
    <cellStyle name="Aþ¸" xfId="1033" xr:uid="{00000000-0005-0000-0000-000008040000}"/>
    <cellStyle name="Aþ¸ 2" xfId="2340" xr:uid="{902A8128-6004-45FE-BC54-6638CCD49768}"/>
    <cellStyle name="AÞ¸¶ [0]_¸ðCu¸·" xfId="1034" xr:uid="{00000000-0005-0000-0000-000009040000}"/>
    <cellStyle name="ÄÞ¸¶ [0]_¸ðÇü¸·" xfId="1035" xr:uid="{00000000-0005-0000-0000-00000A040000}"/>
    <cellStyle name="AÞ¸¶ [0]_¸ðCu¸· 2" xfId="1036" xr:uid="{00000000-0005-0000-0000-00000B040000}"/>
    <cellStyle name="ÄÞ¸¶ [0]_¸ñÂ÷ " xfId="1037" xr:uid="{00000000-0005-0000-0000-00000C040000}"/>
    <cellStyle name="AÞ¸¶ [0]_¼oAI¼º " xfId="1038" xr:uid="{00000000-0005-0000-0000-00000D040000}"/>
    <cellStyle name="ÄÞ¸¶ [0]_INQUIRY ¿µ¾÷ÃßÁø " xfId="1039" xr:uid="{00000000-0005-0000-0000-00000E040000}"/>
    <cellStyle name="AÞ¸¶ [0]_INQUIRY ¿μ¾÷AßAø " xfId="1040" xr:uid="{00000000-0005-0000-0000-00000F040000}"/>
    <cellStyle name="ÄÞ¸¶ [0]_º»¼± ±æ¾î±úºÎ ¼ö·® Áý°èÇ¥ " xfId="1041" xr:uid="{00000000-0005-0000-0000-000010040000}"/>
    <cellStyle name="AÞ¸¶ [0]_º≫¼± ±æ¾i±uºI ¼o·R Ay°eC￥ " xfId="1042" xr:uid="{00000000-0005-0000-0000-000011040000}"/>
    <cellStyle name="AÞ¸¶_¸ðCu¸·" xfId="1043" xr:uid="{00000000-0005-0000-0000-000012040000}"/>
    <cellStyle name="ÄÞ¸¶_¸ðÇü¸·" xfId="1044" xr:uid="{00000000-0005-0000-0000-000013040000}"/>
    <cellStyle name="AÞ¸¶_¸ðCu¸· 2" xfId="1045" xr:uid="{00000000-0005-0000-0000-000014040000}"/>
    <cellStyle name="ÄÞ¸¶_¸ñÂ÷ " xfId="1046" xr:uid="{00000000-0005-0000-0000-000015040000}"/>
    <cellStyle name="AÞ¸¶_¼oAI¼º " xfId="1047" xr:uid="{00000000-0005-0000-0000-000016040000}"/>
    <cellStyle name="ÄÞ¸¶_INQUIRY ¿µ¾÷ÃßÁø " xfId="1048" xr:uid="{00000000-0005-0000-0000-000017040000}"/>
    <cellStyle name="AÞ¸¶_INQUIRY ¿μ¾÷AßAø " xfId="1049" xr:uid="{00000000-0005-0000-0000-000018040000}"/>
    <cellStyle name="ÄÞ¸¶_º»¼± ±æ¾î±úºÎ ¼ö·® Áý°èÇ¥ " xfId="1050" xr:uid="{00000000-0005-0000-0000-000019040000}"/>
    <cellStyle name="AÞ¸¶_º≫¼± ±æ¾i±uºI ¼o·R Ay°eC￥ " xfId="1051" xr:uid="{00000000-0005-0000-0000-00001A040000}"/>
    <cellStyle name="_x0001_b" xfId="1052" xr:uid="{00000000-0005-0000-0000-00001B040000}"/>
    <cellStyle name="_x0001_b 2" xfId="2341" xr:uid="{3C6BD41E-7278-4B0E-813F-34651DB9573F}"/>
    <cellStyle name="Body" xfId="1053" xr:uid="{00000000-0005-0000-0000-00001C040000}"/>
    <cellStyle name="C" xfId="1054" xr:uid="{00000000-0005-0000-0000-00001D040000}"/>
    <cellStyle name="C 2" xfId="2342" xr:uid="{4D83DA8A-E6ED-4BFD-B878-B7CE4DDB72EC}"/>
    <cellStyle name="C[rrency [0]_laroux_1" xfId="1055" xr:uid="{00000000-0005-0000-0000-00001E040000}"/>
    <cellStyle name="C_거성토건도급계약내역(신일중고)" xfId="1056" xr:uid="{00000000-0005-0000-0000-00001F040000}"/>
    <cellStyle name="C_거성토건도급계약내역(신일중고) 2" xfId="2343" xr:uid="{5944311D-1650-4084-B349-9B6E18BFEDC5}"/>
    <cellStyle name="C_도로" xfId="1057" xr:uid="{00000000-0005-0000-0000-000020040000}"/>
    <cellStyle name="C_부대초안" xfId="1058" xr:uid="{00000000-0005-0000-0000-000021040000}"/>
    <cellStyle name="C_부대초안 2" xfId="2344" xr:uid="{B7A9A968-61B0-4EBE-9526-A896C19EE6A5}"/>
    <cellStyle name="C_부대초안_견적의뢰" xfId="1059" xr:uid="{00000000-0005-0000-0000-000022040000}"/>
    <cellStyle name="C_부대초안_견적의뢰 2" xfId="2345" xr:uid="{487F5BC8-627C-4DB0-AA91-7202763CF89B}"/>
    <cellStyle name="C_부대초안_김포투찰" xfId="1060" xr:uid="{00000000-0005-0000-0000-000023040000}"/>
    <cellStyle name="C_부대초안_김포투찰_견적의뢰" xfId="1061" xr:uid="{00000000-0005-0000-0000-000024040000}"/>
    <cellStyle name="C_부대초안_김포투찰_견적의뢰 2" xfId="2346" xr:uid="{4F1F5B57-1B43-4F17-BDE6-F3B8E26FE17B}"/>
    <cellStyle name="C_토목내역서" xfId="1062" xr:uid="{00000000-0005-0000-0000-000025040000}"/>
    <cellStyle name="C_토목내역서 2" xfId="2347" xr:uid="{2287EC4F-7F6E-4C7B-85D9-8F43AF3EF7C3}"/>
    <cellStyle name="C_토목내역서_도로" xfId="1063" xr:uid="{00000000-0005-0000-0000-000026040000}"/>
    <cellStyle name="C_토목내역서_부대초안" xfId="1064" xr:uid="{00000000-0005-0000-0000-000027040000}"/>
    <cellStyle name="C_토목내역서_부대초안 2" xfId="2348" xr:uid="{4B62819B-233C-4108-A1A4-74B199366EB8}"/>
    <cellStyle name="C_토목내역서_부대초안_견적의뢰" xfId="1065" xr:uid="{00000000-0005-0000-0000-000028040000}"/>
    <cellStyle name="C_토목내역서_부대초안_견적의뢰 2" xfId="2349" xr:uid="{59008205-F2D8-49E5-B753-291DFF1086C3}"/>
    <cellStyle name="C_토목내역서_부대초안_김포투찰" xfId="1066" xr:uid="{00000000-0005-0000-0000-000029040000}"/>
    <cellStyle name="C_토목내역서_부대초안_김포투찰_견적의뢰" xfId="1067" xr:uid="{00000000-0005-0000-0000-00002A040000}"/>
    <cellStyle name="C_토목내역서_부대초안_김포투찰_견적의뢰 2" xfId="2350" xr:uid="{611F3F8F-3823-4F3E-93E3-8C4EA9C9F0AF}"/>
    <cellStyle name="C¡ÍA¨ª_¡Æ¨ÏAo" xfId="1068" xr:uid="{00000000-0005-0000-0000-00002B040000}"/>
    <cellStyle name="C¡IA¨ª_¡ic¨u¡A¨￢I¨￢¡Æ AN¡Æe " xfId="1069" xr:uid="{00000000-0005-0000-0000-00002C040000}"/>
    <cellStyle name="C￥AØ_  FAB AIA¤  " xfId="1070" xr:uid="{00000000-0005-0000-0000-00002D040000}"/>
    <cellStyle name="Ç¥ÁØ_¸ðÇü¸·" xfId="1071" xr:uid="{00000000-0005-0000-0000-00002E040000}"/>
    <cellStyle name="C￥AØ_¿μ¾÷CoE² " xfId="1072" xr:uid="{00000000-0005-0000-0000-00002F040000}"/>
    <cellStyle name="Ç¥ÁØ_°­´ç (2)" xfId="1073" xr:uid="{00000000-0005-0000-0000-000030040000}"/>
    <cellStyle name="C￥AØ_¾c½A " xfId="1074" xr:uid="{00000000-0005-0000-0000-000031040000}"/>
    <cellStyle name="Ç¥ÁØ_5-1±¤°í " xfId="1075" xr:uid="{00000000-0005-0000-0000-000032040000}"/>
    <cellStyle name="C￥AØ_AN°y(1.25) " xfId="1076" xr:uid="{00000000-0005-0000-0000-000033040000}"/>
    <cellStyle name="Ç¥ÁØ_Áý°èÇ¥(2¿ù) " xfId="1077" xr:uid="{00000000-0005-0000-0000-000034040000}"/>
    <cellStyle name="C￥AØ_PERSONAL" xfId="1078" xr:uid="{00000000-0005-0000-0000-000035040000}"/>
    <cellStyle name="Calc Currency (0)" xfId="1079" xr:uid="{00000000-0005-0000-0000-000036040000}"/>
    <cellStyle name="Calc Currency (0) 2" xfId="2351" xr:uid="{3E527675-14B3-4E84-8D5B-03CFFC910D49}"/>
    <cellStyle name="category" xfId="1080" xr:uid="{00000000-0005-0000-0000-000037040000}"/>
    <cellStyle name="ⓒo" xfId="1081" xr:uid="{00000000-0005-0000-0000-000038040000}"/>
    <cellStyle name="ⓒo 2" xfId="2352" xr:uid="{21856151-E2F1-4F66-9BCF-8292A8DA6989}"/>
    <cellStyle name="CODE" xfId="1082" xr:uid="{00000000-0005-0000-0000-000039040000}"/>
    <cellStyle name="Comma" xfId="1083" xr:uid="{00000000-0005-0000-0000-00003A040000}"/>
    <cellStyle name="Comma [0]" xfId="1084" xr:uid="{00000000-0005-0000-0000-00003B040000}"/>
    <cellStyle name="Comma [0] 2" xfId="2353" xr:uid="{4797B460-0331-48BD-89E8-A153C8E85444}"/>
    <cellStyle name="Comma 2" xfId="1085" xr:uid="{00000000-0005-0000-0000-00003C040000}"/>
    <cellStyle name="comma zerodec" xfId="1086" xr:uid="{00000000-0005-0000-0000-00003D040000}"/>
    <cellStyle name="Comma_ SG&amp;A Bridge " xfId="1087" xr:uid="{00000000-0005-0000-0000-00003E040000}"/>
    <cellStyle name="Comma0" xfId="1088" xr:uid="{00000000-0005-0000-0000-00003F040000}"/>
    <cellStyle name="Comma0 2" xfId="2354" xr:uid="{275A1F2A-AD66-47E1-AA97-9022074A250B}"/>
    <cellStyle name="Comm뼬_E&amp;ONW2" xfId="1089" xr:uid="{00000000-0005-0000-0000-000040040000}"/>
    <cellStyle name="Copied" xfId="1090" xr:uid="{00000000-0005-0000-0000-000041040000}"/>
    <cellStyle name="Curren?_x0012_퐀_x0017_?" xfId="1091" xr:uid="{00000000-0005-0000-0000-000042040000}"/>
    <cellStyle name="Currency" xfId="1092" xr:uid="{00000000-0005-0000-0000-000043040000}"/>
    <cellStyle name="Currency [0]" xfId="1093" xr:uid="{00000000-0005-0000-0000-000044040000}"/>
    <cellStyle name="Currency 2" xfId="1094" xr:uid="{00000000-0005-0000-0000-000045040000}"/>
    <cellStyle name="Currency 3" xfId="1095" xr:uid="{00000000-0005-0000-0000-000046040000}"/>
    <cellStyle name="Currency 4" xfId="1096" xr:uid="{00000000-0005-0000-0000-000047040000}"/>
    <cellStyle name="Currency 5" xfId="1097" xr:uid="{00000000-0005-0000-0000-000048040000}"/>
    <cellStyle name="Currency 6" xfId="1098" xr:uid="{00000000-0005-0000-0000-000049040000}"/>
    <cellStyle name="Currency_ SG&amp;A Bridge " xfId="1099" xr:uid="{00000000-0005-0000-0000-00004A040000}"/>
    <cellStyle name="Currency0" xfId="1100" xr:uid="{00000000-0005-0000-0000-00004B040000}"/>
    <cellStyle name="Currency0 2" xfId="2355" xr:uid="{269F8091-024F-4E1B-948B-4895A25BDD2C}"/>
    <cellStyle name="Currency1" xfId="1101" xr:uid="{00000000-0005-0000-0000-00004C040000}"/>
    <cellStyle name="Date" xfId="1102" xr:uid="{00000000-0005-0000-0000-00004D040000}"/>
    <cellStyle name="Date 2" xfId="1103" xr:uid="{00000000-0005-0000-0000-00004E040000}"/>
    <cellStyle name="Date 3" xfId="1104" xr:uid="{00000000-0005-0000-0000-00004F040000}"/>
    <cellStyle name="Date 3 2" xfId="2356" xr:uid="{E3564FE5-FBD5-43A7-98CA-345E72C85C53}"/>
    <cellStyle name="Dezimal [0]_Compiling Utility Macros" xfId="1105" xr:uid="{00000000-0005-0000-0000-000050040000}"/>
    <cellStyle name="Dezimal_Compiling Utility Macros" xfId="1106" xr:uid="{00000000-0005-0000-0000-000051040000}"/>
    <cellStyle name="Dollar (zero dec)" xfId="1107" xr:uid="{00000000-0005-0000-0000-000052040000}"/>
    <cellStyle name="Entered" xfId="1108" xr:uid="{00000000-0005-0000-0000-000053040000}"/>
    <cellStyle name="F2" xfId="1109" xr:uid="{00000000-0005-0000-0000-000054040000}"/>
    <cellStyle name="F3" xfId="1110" xr:uid="{00000000-0005-0000-0000-000055040000}"/>
    <cellStyle name="F4" xfId="1111" xr:uid="{00000000-0005-0000-0000-000056040000}"/>
    <cellStyle name="F5" xfId="1112" xr:uid="{00000000-0005-0000-0000-000057040000}"/>
    <cellStyle name="F6" xfId="1113" xr:uid="{00000000-0005-0000-0000-000058040000}"/>
    <cellStyle name="F7" xfId="1114" xr:uid="{00000000-0005-0000-0000-000059040000}"/>
    <cellStyle name="F8" xfId="1115" xr:uid="{00000000-0005-0000-0000-00005A040000}"/>
    <cellStyle name="Fixed" xfId="1116" xr:uid="{00000000-0005-0000-0000-00005B040000}"/>
    <cellStyle name="Fixed 2" xfId="1117" xr:uid="{00000000-0005-0000-0000-00005C040000}"/>
    <cellStyle name="Fixed 3" xfId="1118" xr:uid="{00000000-0005-0000-0000-00005D040000}"/>
    <cellStyle name="Fixed 3 2" xfId="2357" xr:uid="{0A53DBD0-5E4B-47B3-9EC9-77F040AD4A80}"/>
    <cellStyle name="Followed Hyperlink" xfId="1119" xr:uid="{00000000-0005-0000-0000-00005E040000}"/>
    <cellStyle name="Grey" xfId="1120" xr:uid="{00000000-0005-0000-0000-00005F040000}"/>
    <cellStyle name="Grey 2" xfId="1121" xr:uid="{00000000-0005-0000-0000-000060040000}"/>
    <cellStyle name="H1" xfId="1122" xr:uid="{00000000-0005-0000-0000-000061040000}"/>
    <cellStyle name="H2" xfId="1123" xr:uid="{00000000-0005-0000-0000-000062040000}"/>
    <cellStyle name="HEADER" xfId="1124" xr:uid="{00000000-0005-0000-0000-000063040000}"/>
    <cellStyle name="Header1" xfId="1125" xr:uid="{00000000-0005-0000-0000-000064040000}"/>
    <cellStyle name="Header2" xfId="1126" xr:uid="{00000000-0005-0000-0000-000065040000}"/>
    <cellStyle name="Heading 1" xfId="1127" xr:uid="{00000000-0005-0000-0000-000066040000}"/>
    <cellStyle name="Heading 1 2" xfId="2358" xr:uid="{90BE9608-7BCA-41BE-BBC2-F27AB33FC9C6}"/>
    <cellStyle name="Heading 2" xfId="1128" xr:uid="{00000000-0005-0000-0000-000067040000}"/>
    <cellStyle name="Heading 2 2" xfId="2359" xr:uid="{E23F3306-7CC8-429A-95EF-7263E8AAA172}"/>
    <cellStyle name="Heading1" xfId="1129" xr:uid="{00000000-0005-0000-0000-000068040000}"/>
    <cellStyle name="Heading1 2" xfId="1130" xr:uid="{00000000-0005-0000-0000-000069040000}"/>
    <cellStyle name="Heading1 3" xfId="1131" xr:uid="{00000000-0005-0000-0000-00006A040000}"/>
    <cellStyle name="Heading2" xfId="1132" xr:uid="{00000000-0005-0000-0000-00006B040000}"/>
    <cellStyle name="Heading2 2" xfId="1133" xr:uid="{00000000-0005-0000-0000-00006C040000}"/>
    <cellStyle name="Heading2 3" xfId="1134" xr:uid="{00000000-0005-0000-0000-00006D040000}"/>
    <cellStyle name="Heading2 4" xfId="1135" xr:uid="{00000000-0005-0000-0000-00006E040000}"/>
    <cellStyle name="Hyperlink" xfId="1136" xr:uid="{00000000-0005-0000-0000-00006F040000}"/>
    <cellStyle name="Hyperlink 2" xfId="1137" xr:uid="{00000000-0005-0000-0000-000070040000}"/>
    <cellStyle name="Input [yellow]" xfId="1138" xr:uid="{00000000-0005-0000-0000-000071040000}"/>
    <cellStyle name="Input [yellow] 2" xfId="1139" xr:uid="{00000000-0005-0000-0000-000072040000}"/>
    <cellStyle name="Midtitle" xfId="1140" xr:uid="{00000000-0005-0000-0000-000073040000}"/>
    <cellStyle name="Milliers [0]_!!!GO" xfId="1141" xr:uid="{00000000-0005-0000-0000-000074040000}"/>
    <cellStyle name="Milliers_!!!GO" xfId="1142" xr:uid="{00000000-0005-0000-0000-000075040000}"/>
    <cellStyle name="Model" xfId="1143" xr:uid="{00000000-0005-0000-0000-000076040000}"/>
    <cellStyle name="Mon?aire [0]_!!!GO" xfId="1144" xr:uid="{00000000-0005-0000-0000-000077040000}"/>
    <cellStyle name="Mon?aire_!!!GO" xfId="1145" xr:uid="{00000000-0005-0000-0000-000078040000}"/>
    <cellStyle name="Nermal_ SG&amp;A Bridge " xfId="1146" xr:uid="{00000000-0005-0000-0000-000079040000}"/>
    <cellStyle name="no dec" xfId="1147" xr:uid="{00000000-0005-0000-0000-00007A040000}"/>
    <cellStyle name="Normal - Style1" xfId="1148" xr:uid="{00000000-0005-0000-0000-00007B040000}"/>
    <cellStyle name="Normal - Style1 2" xfId="1149" xr:uid="{00000000-0005-0000-0000-00007C040000}"/>
    <cellStyle name="Normal - Style2" xfId="1150" xr:uid="{00000000-0005-0000-0000-00007D040000}"/>
    <cellStyle name="Normal - Style3" xfId="1151" xr:uid="{00000000-0005-0000-0000-00007E040000}"/>
    <cellStyle name="Normal - Style4" xfId="1152" xr:uid="{00000000-0005-0000-0000-00007F040000}"/>
    <cellStyle name="Normal - Style5" xfId="1153" xr:uid="{00000000-0005-0000-0000-000080040000}"/>
    <cellStyle name="Normal - Style6" xfId="1154" xr:uid="{00000000-0005-0000-0000-000081040000}"/>
    <cellStyle name="Normal - Style7" xfId="1155" xr:uid="{00000000-0005-0000-0000-000082040000}"/>
    <cellStyle name="Normal - Style8" xfId="1156" xr:uid="{00000000-0005-0000-0000-000083040000}"/>
    <cellStyle name="Normal - 유형1" xfId="1157" xr:uid="{00000000-0005-0000-0000-000084040000}"/>
    <cellStyle name="Normal_ Plans" xfId="1158" xr:uid="{00000000-0005-0000-0000-000085040000}"/>
    <cellStyle name="Œ…?æ맖?e [0.00]_laroux" xfId="1159" xr:uid="{00000000-0005-0000-0000-000086040000}"/>
    <cellStyle name="Œ…?æ맖?e_laroux" xfId="1160" xr:uid="{00000000-0005-0000-0000-000087040000}"/>
    <cellStyle name="oft Excel]_x000d__x000a_Comment=The open=/f lines load custom functions into the Paste Function list._x000d__x000a_Maximized=3_x000d__x000a_AutoFormat=" xfId="1161" xr:uid="{00000000-0005-0000-0000-000088040000}"/>
    <cellStyle name="Percent" xfId="1162" xr:uid="{00000000-0005-0000-0000-000089040000}"/>
    <cellStyle name="Percent [2]" xfId="1163" xr:uid="{00000000-0005-0000-0000-00008A040000}"/>
    <cellStyle name="Percent 2" xfId="1164" xr:uid="{00000000-0005-0000-0000-00008B040000}"/>
    <cellStyle name="Percent 3" xfId="1165" xr:uid="{00000000-0005-0000-0000-00008C040000}"/>
    <cellStyle name="Percent 4" xfId="1166" xr:uid="{00000000-0005-0000-0000-00008D040000}"/>
    <cellStyle name="Percent 5" xfId="1167" xr:uid="{00000000-0005-0000-0000-00008E040000}"/>
    <cellStyle name="Percent 6" xfId="1168" xr:uid="{00000000-0005-0000-0000-00008F040000}"/>
    <cellStyle name="Percent_!!!GO" xfId="1169" xr:uid="{00000000-0005-0000-0000-000090040000}"/>
    <cellStyle name="RevList" xfId="1170" xr:uid="{00000000-0005-0000-0000-000091040000}"/>
    <cellStyle name="STANDARD" xfId="1171" xr:uid="{00000000-0005-0000-0000-000092040000}"/>
    <cellStyle name="subhead" xfId="1172" xr:uid="{00000000-0005-0000-0000-000093040000}"/>
    <cellStyle name="Subtotal" xfId="1173" xr:uid="{00000000-0005-0000-0000-000094040000}"/>
    <cellStyle name="testtitle" xfId="1174" xr:uid="{00000000-0005-0000-0000-000095040000}"/>
    <cellStyle name="title [1]" xfId="1175" xr:uid="{00000000-0005-0000-0000-000096040000}"/>
    <cellStyle name="title [2]" xfId="1176" xr:uid="{00000000-0005-0000-0000-000097040000}"/>
    <cellStyle name="Total" xfId="1177" xr:uid="{00000000-0005-0000-0000-000098040000}"/>
    <cellStyle name="Total 2" xfId="1178" xr:uid="{00000000-0005-0000-0000-000099040000}"/>
    <cellStyle name="Total 3" xfId="1179" xr:uid="{00000000-0005-0000-0000-00009A040000}"/>
    <cellStyle name="Total 3 2" xfId="2360" xr:uid="{43F424C4-052F-45DF-B0C7-69591EAFD6EE}"/>
    <cellStyle name="UM" xfId="1180" xr:uid="{00000000-0005-0000-0000-00009B040000}"/>
    <cellStyle name="Unprot$" xfId="1181" xr:uid="{00000000-0005-0000-0000-00009C040000}"/>
    <cellStyle name="W?rung [0]_Compiling Utility Macros" xfId="1182" xr:uid="{00000000-0005-0000-0000-00009D040000}"/>
    <cellStyle name="W?rung_Compiling Utility Macros" xfId="1183" xr:uid="{00000000-0005-0000-0000-00009E040000}"/>
    <cellStyle name="|?ドE" xfId="1184" xr:uid="{00000000-0005-0000-0000-00009F040000}"/>
    <cellStyle name="강조색1 2" xfId="1185" xr:uid="{00000000-0005-0000-0000-0000A0040000}"/>
    <cellStyle name="강조색2 2" xfId="1186" xr:uid="{00000000-0005-0000-0000-0000A1040000}"/>
    <cellStyle name="강조색3 2" xfId="1187" xr:uid="{00000000-0005-0000-0000-0000A2040000}"/>
    <cellStyle name="강조색4 2" xfId="1188" xr:uid="{00000000-0005-0000-0000-0000A3040000}"/>
    <cellStyle name="강조색5 2" xfId="1189" xr:uid="{00000000-0005-0000-0000-0000A4040000}"/>
    <cellStyle name="강조색6 2" xfId="1190" xr:uid="{00000000-0005-0000-0000-0000A5040000}"/>
    <cellStyle name="경고문 2" xfId="1191" xr:uid="{00000000-0005-0000-0000-0000A6040000}"/>
    <cellStyle name="계산 2" xfId="1192" xr:uid="{00000000-0005-0000-0000-0000A7040000}"/>
    <cellStyle name="고정소숫점" xfId="1193" xr:uid="{00000000-0005-0000-0000-0000A8040000}"/>
    <cellStyle name="고정출력1" xfId="1194" xr:uid="{00000000-0005-0000-0000-0000A9040000}"/>
    <cellStyle name="고정출력2" xfId="1195" xr:uid="{00000000-0005-0000-0000-0000AA040000}"/>
    <cellStyle name="공백" xfId="1196" xr:uid="{00000000-0005-0000-0000-0000AB040000}"/>
    <cellStyle name="공백1" xfId="1197" xr:uid="{00000000-0005-0000-0000-0000AC040000}"/>
    <cellStyle name="공백1수" xfId="1198" xr:uid="{00000000-0005-0000-0000-0000AD040000}"/>
    <cellStyle name="공사원가계산서(조경)" xfId="1199" xr:uid="{00000000-0005-0000-0000-0000AE040000}"/>
    <cellStyle name="굴림" xfId="1200" xr:uid="{00000000-0005-0000-0000-0000AF040000}"/>
    <cellStyle name="기본내역서" xfId="1201" xr:uid="{00000000-0005-0000-0000-0000B0040000}"/>
    <cellStyle name="기본내역서 2" xfId="2361" xr:uid="{69B108A5-57DF-41E7-8A33-9596D162D964}"/>
    <cellStyle name="끼_x0001_?" xfId="1202" xr:uid="{00000000-0005-0000-0000-0000B1040000}"/>
    <cellStyle name="끼_x0001_? 2" xfId="2362" xr:uid="{FA82C9DF-1E22-4B20-A508-898319B926EE}"/>
    <cellStyle name="나쁨 2" xfId="1203" xr:uid="{00000000-0005-0000-0000-0000B2040000}"/>
    <cellStyle name="날짜" xfId="1204" xr:uid="{00000000-0005-0000-0000-0000B3040000}"/>
    <cellStyle name="내역서" xfId="1205" xr:uid="{00000000-0005-0000-0000-0000B4040000}"/>
    <cellStyle name="단위" xfId="1206" xr:uid="{00000000-0005-0000-0000-0000B5040000}"/>
    <cellStyle name="달러" xfId="1207" xr:uid="{00000000-0005-0000-0000-0000B6040000}"/>
    <cellStyle name="뒤에 오는 하이퍼링크" xfId="1208" xr:uid="{00000000-0005-0000-0000-0000B7040000}"/>
    <cellStyle name="똿뗦먛귟 [0.00]_laroux" xfId="1209" xr:uid="{00000000-0005-0000-0000-0000B8040000}"/>
    <cellStyle name="똿뗦먛귟_laroux" xfId="1210" xr:uid="{00000000-0005-0000-0000-0000B9040000}"/>
    <cellStyle name="메모 2" xfId="1211" xr:uid="{00000000-0005-0000-0000-0000BA040000}"/>
    <cellStyle name="메모 3" xfId="1212" xr:uid="{00000000-0005-0000-0000-0000BB040000}"/>
    <cellStyle name="메모 3 2" xfId="2363" xr:uid="{705CFCDF-DA66-4E1E-95C5-3B1B4E1A69CD}"/>
    <cellStyle name="믅됞 [0.00]_laroux" xfId="1213" xr:uid="{00000000-0005-0000-0000-0000BC040000}"/>
    <cellStyle name="믅됞_laroux" xfId="1214" xr:uid="{00000000-0005-0000-0000-0000BD040000}"/>
    <cellStyle name="배분" xfId="1215" xr:uid="{00000000-0005-0000-0000-0000BE040000}"/>
    <cellStyle name="배분 2" xfId="2364" xr:uid="{FF9DE752-296C-48CE-8053-0BD965CD5E88}"/>
    <cellStyle name="백" xfId="1216" xr:uid="{00000000-0005-0000-0000-0000BF040000}"/>
    <cellStyle name="백 2" xfId="2365" xr:uid="{CE0D5088-0A67-4462-8877-FD9E695F994F}"/>
    <cellStyle name="백_3.우수" xfId="1217" xr:uid="{00000000-0005-0000-0000-0000C0040000}"/>
    <cellStyle name="백_3.우수_1" xfId="1218" xr:uid="{00000000-0005-0000-0000-0000C1040000}"/>
    <cellStyle name="백_4.오수" xfId="1219" xr:uid="{00000000-0005-0000-0000-0000C2040000}"/>
    <cellStyle name="백_거성토건도급계약내역(신일중고)" xfId="1220" xr:uid="{00000000-0005-0000-0000-0000C3040000}"/>
    <cellStyle name="백_거성토건도급계약내역(신일중고) 2" xfId="2366" xr:uid="{7190CC83-6F0F-4D36-8504-798646932B31}"/>
    <cellStyle name="백_도로" xfId="1221" xr:uid="{00000000-0005-0000-0000-0000C4040000}"/>
    <cellStyle name="백_부대초안" xfId="1222" xr:uid="{00000000-0005-0000-0000-0000C5040000}"/>
    <cellStyle name="백_부대초안 2" xfId="2367" xr:uid="{807FBE99-DD6D-43A3-AFAB-90044E2AC966}"/>
    <cellStyle name="백_부대초안_견적의뢰" xfId="1223" xr:uid="{00000000-0005-0000-0000-0000C6040000}"/>
    <cellStyle name="백_부대초안_견적의뢰 2" xfId="2368" xr:uid="{97A4F972-3211-4A1C-87AE-5FCBE9E704C5}"/>
    <cellStyle name="백_부대초안_김포투찰" xfId="1224" xr:uid="{00000000-0005-0000-0000-0000C7040000}"/>
    <cellStyle name="백_부대초안_김포투찰_견적의뢰" xfId="1225" xr:uid="{00000000-0005-0000-0000-0000C8040000}"/>
    <cellStyle name="백_부대초안_김포투찰_견적의뢰 2" xfId="2369" xr:uid="{26E80880-68D1-4897-909C-2FA684B7C0C2}"/>
    <cellStyle name="백_실행예산" xfId="1226" xr:uid="{00000000-0005-0000-0000-0000C9040000}"/>
    <cellStyle name="백_토목내역서" xfId="1227" xr:uid="{00000000-0005-0000-0000-0000CA040000}"/>
    <cellStyle name="백_토목내역서 2" xfId="2370" xr:uid="{3FAA2EFB-0991-4332-94E1-79A05F934FF6}"/>
    <cellStyle name="백_토목내역서_도로" xfId="1228" xr:uid="{00000000-0005-0000-0000-0000CB040000}"/>
    <cellStyle name="백_토목내역서_부대초안" xfId="1229" xr:uid="{00000000-0005-0000-0000-0000CC040000}"/>
    <cellStyle name="백_토목내역서_부대초안 2" xfId="2371" xr:uid="{FA9C706B-5B6C-4B2C-B4B8-CCD49E320F4F}"/>
    <cellStyle name="백_토목내역서_부대초안_견적의뢰" xfId="1230" xr:uid="{00000000-0005-0000-0000-0000CD040000}"/>
    <cellStyle name="백_토목내역서_부대초안_견적의뢰 2" xfId="2372" xr:uid="{0A70BCB7-8098-4846-A34A-8DE67526339B}"/>
    <cellStyle name="백_토목내역서_부대초안_김포투찰" xfId="1231" xr:uid="{00000000-0005-0000-0000-0000CE040000}"/>
    <cellStyle name="백_토목내역서_부대초안_김포투찰_견적의뢰" xfId="1232" xr:uid="{00000000-0005-0000-0000-0000CF040000}"/>
    <cellStyle name="백_토목내역서_부대초안_김포투찰_견적의뢰 2" xfId="2373" xr:uid="{7DC78955-AC20-4A8E-ABC0-F251A6E0E9A3}"/>
    <cellStyle name="백분율 [0]" xfId="1233" xr:uid="{00000000-0005-0000-0000-0000D0040000}"/>
    <cellStyle name="백분율 [2]" xfId="1234" xr:uid="{00000000-0005-0000-0000-0000D1040000}"/>
    <cellStyle name="백분율 10" xfId="1235" xr:uid="{00000000-0005-0000-0000-0000D2040000}"/>
    <cellStyle name="백분율 10 2" xfId="2374" xr:uid="{34F685CD-0743-48A8-AB3C-5ED14AFC2DC9}"/>
    <cellStyle name="백분율 11" xfId="1236" xr:uid="{00000000-0005-0000-0000-0000D3040000}"/>
    <cellStyle name="백분율 11 2" xfId="2375" xr:uid="{D29689C6-A932-4D81-8DFB-015F77FF9FAE}"/>
    <cellStyle name="백분율 12" xfId="1237" xr:uid="{00000000-0005-0000-0000-0000D4040000}"/>
    <cellStyle name="백분율 12 2" xfId="2376" xr:uid="{47B02210-8070-495B-B1DD-F207CD2DFDCB}"/>
    <cellStyle name="백분율 13" xfId="1238" xr:uid="{00000000-0005-0000-0000-0000D5040000}"/>
    <cellStyle name="백분율 13 2" xfId="2377" xr:uid="{A3511D47-F0EF-41A0-A31B-27EFD783BA36}"/>
    <cellStyle name="백분율 14" xfId="1471" xr:uid="{02308599-17C3-4EB3-A5B0-CAAB49276C20}"/>
    <cellStyle name="백분율 15" xfId="1477" xr:uid="{53DCA009-48BD-4529-81C6-00D6CCFA2279}"/>
    <cellStyle name="백분율 15 2" xfId="2467" xr:uid="{D97AA1DA-961F-4321-8FAB-B36D6927D4B7}"/>
    <cellStyle name="백분율 2" xfId="1239" xr:uid="{00000000-0005-0000-0000-0000D6040000}"/>
    <cellStyle name="백분율 2 2" xfId="1240" xr:uid="{00000000-0005-0000-0000-0000D7040000}"/>
    <cellStyle name="백분율 2 3" xfId="1241" xr:uid="{00000000-0005-0000-0000-0000D8040000}"/>
    <cellStyle name="백분율 2 3 2" xfId="2379" xr:uid="{F9A95D22-7AC2-4A26-89E5-38590B81EDAA}"/>
    <cellStyle name="백분율 2 4" xfId="2378" xr:uid="{EAD03AF5-690B-442E-9884-274F0B15C2E1}"/>
    <cellStyle name="백분율 3" xfId="1242" xr:uid="{00000000-0005-0000-0000-0000D9040000}"/>
    <cellStyle name="백분율 3 2" xfId="2380" xr:uid="{32654764-0E94-48FD-BD01-FC3747148B51}"/>
    <cellStyle name="백분율 4" xfId="1243" xr:uid="{00000000-0005-0000-0000-0000DA040000}"/>
    <cellStyle name="백분율 4 2" xfId="2381" xr:uid="{09101631-B3DA-432A-8C70-548117298681}"/>
    <cellStyle name="백분율 5" xfId="1244" xr:uid="{00000000-0005-0000-0000-0000DB040000}"/>
    <cellStyle name="백분율 5 2" xfId="2382" xr:uid="{6E2990D6-2B32-4750-88B5-373BCFF40BC2}"/>
    <cellStyle name="백분율 6" xfId="1245" xr:uid="{00000000-0005-0000-0000-0000DC040000}"/>
    <cellStyle name="백분율 6 2" xfId="2383" xr:uid="{A26E0F0E-3CBC-4C54-AB91-360111C5F85E}"/>
    <cellStyle name="백분율 7" xfId="1246" xr:uid="{00000000-0005-0000-0000-0000DD040000}"/>
    <cellStyle name="백분율 7 2" xfId="2384" xr:uid="{4E20D5B3-C540-4E34-B4B3-1C79E4FED756}"/>
    <cellStyle name="백분율 8" xfId="1247" xr:uid="{00000000-0005-0000-0000-0000DE040000}"/>
    <cellStyle name="백분율 8 2" xfId="2385" xr:uid="{81BF9EA7-A26B-4B54-970C-654F8637385F}"/>
    <cellStyle name="백분율 9" xfId="1248" xr:uid="{00000000-0005-0000-0000-0000DF040000}"/>
    <cellStyle name="백분율 9 2" xfId="2386" xr:uid="{1083697C-799B-4E83-A34E-0BAAFA41905B}"/>
    <cellStyle name="백분율［△1］" xfId="1249" xr:uid="{00000000-0005-0000-0000-0000E0040000}"/>
    <cellStyle name="백분율［△1］ 2" xfId="2387" xr:uid="{557327B5-0C7D-45AE-9A04-8123B182955D}"/>
    <cellStyle name="백분율［△2］" xfId="1250" xr:uid="{00000000-0005-0000-0000-0000E1040000}"/>
    <cellStyle name="백분율［△2］ 2" xfId="2388" xr:uid="{FAF95EA4-9EEE-4A74-AE55-59D021E5D82A}"/>
    <cellStyle name="벭?_Q1 PRODUCT ACTUAL_4월 (2)" xfId="1251" xr:uid="{00000000-0005-0000-0000-0000E2040000}"/>
    <cellStyle name="보통 2" xfId="1252" xr:uid="{00000000-0005-0000-0000-0000E3040000}"/>
    <cellStyle name="뷭?" xfId="1253" xr:uid="{00000000-0005-0000-0000-0000E4040000}"/>
    <cellStyle name="빨강" xfId="1254" xr:uid="{00000000-0005-0000-0000-0000E5040000}"/>
    <cellStyle name="빨강 2" xfId="2389" xr:uid="{9981E841-ADD9-4B74-8D6D-7B70DCE46B25}"/>
    <cellStyle name="선택영역의 가운데로" xfId="1255" xr:uid="{00000000-0005-0000-0000-0000E6040000}"/>
    <cellStyle name="선택영역의 가운데로 2" xfId="2390" xr:uid="{9ACA088B-C232-4D0C-A099-2DFF21B233B8}"/>
    <cellStyle name="설계서" xfId="1256" xr:uid="{00000000-0005-0000-0000-0000E7040000}"/>
    <cellStyle name="설명 텍스트 2" xfId="1257" xr:uid="{00000000-0005-0000-0000-0000E8040000}"/>
    <cellStyle name="셀 확인 2" xfId="1258" xr:uid="{00000000-0005-0000-0000-0000E9040000}"/>
    <cellStyle name="소수" xfId="1259" xr:uid="{00000000-0005-0000-0000-0000EA040000}"/>
    <cellStyle name="소수3" xfId="1260" xr:uid="{00000000-0005-0000-0000-0000EB040000}"/>
    <cellStyle name="소수4" xfId="1261" xr:uid="{00000000-0005-0000-0000-0000EC040000}"/>
    <cellStyle name="소수4 2" xfId="2391" xr:uid="{092F56C3-8148-4BD1-8DCD-DD558D504AA4}"/>
    <cellStyle name="소수점" xfId="1262" xr:uid="{00000000-0005-0000-0000-0000ED040000}"/>
    <cellStyle name="소수점 2" xfId="2392" xr:uid="{A265DB8E-BDDD-4BD7-8D2E-057C3B3A69E6}"/>
    <cellStyle name="수당" xfId="1263" xr:uid="{00000000-0005-0000-0000-0000EE040000}"/>
    <cellStyle name="수당2" xfId="1264" xr:uid="{00000000-0005-0000-0000-0000EF040000}"/>
    <cellStyle name="수량" xfId="1265" xr:uid="{00000000-0005-0000-0000-0000F0040000}"/>
    <cellStyle name="숫자(R)" xfId="1266" xr:uid="{00000000-0005-0000-0000-0000F1040000}"/>
    <cellStyle name="쉼표 [0]" xfId="1267" builtinId="6"/>
    <cellStyle name="쉼표 [0] 2" xfId="1268" xr:uid="{00000000-0005-0000-0000-0000F3040000}"/>
    <cellStyle name="쉼표 [0] 2 2" xfId="1269" xr:uid="{00000000-0005-0000-0000-0000F4040000}"/>
    <cellStyle name="쉼표 [0] 2 2 2" xfId="1270" xr:uid="{00000000-0005-0000-0000-0000F5040000}"/>
    <cellStyle name="쉼표 [0] 2 2 2 2" xfId="2396" xr:uid="{80816F97-A45A-4E1B-B845-9A4F05B09560}"/>
    <cellStyle name="쉼표 [0] 2 2 3" xfId="2395" xr:uid="{A4DF2141-F335-4E8B-AB9C-6923AB18FBEF}"/>
    <cellStyle name="쉼표 [0] 2 3" xfId="1271" xr:uid="{00000000-0005-0000-0000-0000F6040000}"/>
    <cellStyle name="쉼표 [0] 2 3 2" xfId="2397" xr:uid="{04C7787C-29BE-48DF-B17B-CA7738716915}"/>
    <cellStyle name="쉼표 [0] 2 4" xfId="1272" xr:uid="{00000000-0005-0000-0000-0000F7040000}"/>
    <cellStyle name="쉼표 [0] 2 4 2" xfId="2398" xr:uid="{B1A8F107-BF61-455A-90AC-3CAFE8010847}"/>
    <cellStyle name="쉼표 [0] 2 5" xfId="1475" xr:uid="{B4455B0E-47FD-4F84-B2E6-B4DCF69EE33F}"/>
    <cellStyle name="쉼표 [0] 2 5 2" xfId="2466" xr:uid="{4E9607EA-59CE-42EC-93BE-4DCDF299A791}"/>
    <cellStyle name="쉼표 [0] 2 6" xfId="2394" xr:uid="{5D573C32-048C-4053-9B0C-453C5D7C2035}"/>
    <cellStyle name="쉼표 [0] 3" xfId="1273" xr:uid="{00000000-0005-0000-0000-0000F8040000}"/>
    <cellStyle name="쉼표 [0] 3 2" xfId="1274" xr:uid="{00000000-0005-0000-0000-0000F9040000}"/>
    <cellStyle name="쉼표 [0] 3 2 2" xfId="2400" xr:uid="{9A3A927D-B80B-483D-912F-EA627F670752}"/>
    <cellStyle name="쉼표 [0] 3 3" xfId="2399" xr:uid="{3E5BF17B-D23E-4D68-8AC3-F2AB9B5F0E30}"/>
    <cellStyle name="쉼표 [0] 4" xfId="1275" xr:uid="{00000000-0005-0000-0000-0000FA040000}"/>
    <cellStyle name="쉼표 [0] 4 2" xfId="1276" xr:uid="{00000000-0005-0000-0000-0000FB040000}"/>
    <cellStyle name="쉼표 [0] 4 2 2" xfId="2402" xr:uid="{DD98C3B5-9981-4427-BD25-FFFF7A8FE976}"/>
    <cellStyle name="쉼표 [0] 4 3" xfId="2401" xr:uid="{74CCB25C-EF95-4C35-A2D0-B466B61A64C7}"/>
    <cellStyle name="쉼표 [0] 5" xfId="1277" xr:uid="{00000000-0005-0000-0000-0000FC040000}"/>
    <cellStyle name="쉼표 [0] 5 2" xfId="2403" xr:uid="{C7F1F800-C42C-4C0B-A9EB-982A15E18449}"/>
    <cellStyle name="쉼표 [0] 6" xfId="1470" xr:uid="{EDE3EEC2-9026-42F4-8D65-B90ADF918113}"/>
    <cellStyle name="쉼표 [0] 6 2" xfId="2463" xr:uid="{2903120D-EED4-4933-AFAA-A9EAE2E2B928}"/>
    <cellStyle name="쉼표 [0] 7" xfId="1473" xr:uid="{CBDB6BEB-7FF0-45BE-A54B-FF911CFBAAE2}"/>
    <cellStyle name="쉼표 [0] 7 2" xfId="2465" xr:uid="{BAF211DF-DA07-44C4-8E03-4A80EDDF222B}"/>
    <cellStyle name="쉼표 [0] 8" xfId="2393" xr:uid="{9D441205-590D-43F6-8AE9-89BA2BB4BF66}"/>
    <cellStyle name="스타일 1" xfId="1278" xr:uid="{00000000-0005-0000-0000-0000FD040000}"/>
    <cellStyle name="스타일 1 2" xfId="1279" xr:uid="{00000000-0005-0000-0000-0000FE040000}"/>
    <cellStyle name="스타일 10" xfId="1280" xr:uid="{00000000-0005-0000-0000-0000FF040000}"/>
    <cellStyle name="스타일 11" xfId="1281" xr:uid="{00000000-0005-0000-0000-000000050000}"/>
    <cellStyle name="스타일 12" xfId="1282" xr:uid="{00000000-0005-0000-0000-000001050000}"/>
    <cellStyle name="스타일 13" xfId="1283" xr:uid="{00000000-0005-0000-0000-000002050000}"/>
    <cellStyle name="스타일 14" xfId="1284" xr:uid="{00000000-0005-0000-0000-000003050000}"/>
    <cellStyle name="스타일 15" xfId="1285" xr:uid="{00000000-0005-0000-0000-000004050000}"/>
    <cellStyle name="스타일 16" xfId="1286" xr:uid="{00000000-0005-0000-0000-000005050000}"/>
    <cellStyle name="스타일 17" xfId="1287" xr:uid="{00000000-0005-0000-0000-000006050000}"/>
    <cellStyle name="스타일 18" xfId="1288" xr:uid="{00000000-0005-0000-0000-000007050000}"/>
    <cellStyle name="스타일 19" xfId="1289" xr:uid="{00000000-0005-0000-0000-000008050000}"/>
    <cellStyle name="스타일 2" xfId="1290" xr:uid="{00000000-0005-0000-0000-000009050000}"/>
    <cellStyle name="스타일 2 2" xfId="1291" xr:uid="{00000000-0005-0000-0000-00000A050000}"/>
    <cellStyle name="스타일 20" xfId="1292" xr:uid="{00000000-0005-0000-0000-00000B050000}"/>
    <cellStyle name="스타일 21" xfId="1293" xr:uid="{00000000-0005-0000-0000-00000C050000}"/>
    <cellStyle name="스타일 22" xfId="1294" xr:uid="{00000000-0005-0000-0000-00000D050000}"/>
    <cellStyle name="스타일 23" xfId="1295" xr:uid="{00000000-0005-0000-0000-00000E050000}"/>
    <cellStyle name="스타일 24" xfId="1296" xr:uid="{00000000-0005-0000-0000-00000F050000}"/>
    <cellStyle name="스타일 25" xfId="1297" xr:uid="{00000000-0005-0000-0000-000010050000}"/>
    <cellStyle name="스타일 26" xfId="1298" xr:uid="{00000000-0005-0000-0000-000011050000}"/>
    <cellStyle name="스타일 27" xfId="1299" xr:uid="{00000000-0005-0000-0000-000012050000}"/>
    <cellStyle name="스타일 28" xfId="1300" xr:uid="{00000000-0005-0000-0000-000013050000}"/>
    <cellStyle name="스타일 29" xfId="1301" xr:uid="{00000000-0005-0000-0000-000014050000}"/>
    <cellStyle name="스타일 3" xfId="1302" xr:uid="{00000000-0005-0000-0000-000015050000}"/>
    <cellStyle name="스타일 30" xfId="1303" xr:uid="{00000000-0005-0000-0000-000016050000}"/>
    <cellStyle name="스타일 31" xfId="1304" xr:uid="{00000000-0005-0000-0000-000017050000}"/>
    <cellStyle name="스타일 32" xfId="1305" xr:uid="{00000000-0005-0000-0000-000018050000}"/>
    <cellStyle name="스타일 33" xfId="1306" xr:uid="{00000000-0005-0000-0000-000019050000}"/>
    <cellStyle name="스타일 34" xfId="1307" xr:uid="{00000000-0005-0000-0000-00001A050000}"/>
    <cellStyle name="스타일 35" xfId="1308" xr:uid="{00000000-0005-0000-0000-00001B050000}"/>
    <cellStyle name="스타일 36" xfId="1309" xr:uid="{00000000-0005-0000-0000-00001C050000}"/>
    <cellStyle name="스타일 37" xfId="1310" xr:uid="{00000000-0005-0000-0000-00001D050000}"/>
    <cellStyle name="스타일 38" xfId="1311" xr:uid="{00000000-0005-0000-0000-00001E050000}"/>
    <cellStyle name="스타일 39" xfId="1312" xr:uid="{00000000-0005-0000-0000-00001F050000}"/>
    <cellStyle name="스타일 4" xfId="1313" xr:uid="{00000000-0005-0000-0000-000020050000}"/>
    <cellStyle name="스타일 40" xfId="1314" xr:uid="{00000000-0005-0000-0000-000021050000}"/>
    <cellStyle name="스타일 41" xfId="1315" xr:uid="{00000000-0005-0000-0000-000022050000}"/>
    <cellStyle name="스타일 42" xfId="1316" xr:uid="{00000000-0005-0000-0000-000023050000}"/>
    <cellStyle name="스타일 43" xfId="1317" xr:uid="{00000000-0005-0000-0000-000024050000}"/>
    <cellStyle name="스타일 44" xfId="1318" xr:uid="{00000000-0005-0000-0000-000025050000}"/>
    <cellStyle name="스타일 45" xfId="1319" xr:uid="{00000000-0005-0000-0000-000026050000}"/>
    <cellStyle name="스타일 46" xfId="1320" xr:uid="{00000000-0005-0000-0000-000027050000}"/>
    <cellStyle name="스타일 47" xfId="1321" xr:uid="{00000000-0005-0000-0000-000028050000}"/>
    <cellStyle name="스타일 48" xfId="1322" xr:uid="{00000000-0005-0000-0000-000029050000}"/>
    <cellStyle name="스타일 49" xfId="1323" xr:uid="{00000000-0005-0000-0000-00002A050000}"/>
    <cellStyle name="스타일 5" xfId="1324" xr:uid="{00000000-0005-0000-0000-00002B050000}"/>
    <cellStyle name="스타일 50" xfId="1325" xr:uid="{00000000-0005-0000-0000-00002C050000}"/>
    <cellStyle name="스타일 51" xfId="1326" xr:uid="{00000000-0005-0000-0000-00002D050000}"/>
    <cellStyle name="스타일 52" xfId="1327" xr:uid="{00000000-0005-0000-0000-00002E050000}"/>
    <cellStyle name="스타일 53" xfId="1328" xr:uid="{00000000-0005-0000-0000-00002F050000}"/>
    <cellStyle name="스타일 54" xfId="1329" xr:uid="{00000000-0005-0000-0000-000030050000}"/>
    <cellStyle name="스타일 55" xfId="1330" xr:uid="{00000000-0005-0000-0000-000031050000}"/>
    <cellStyle name="스타일 6" xfId="1331" xr:uid="{00000000-0005-0000-0000-000032050000}"/>
    <cellStyle name="스타일 7" xfId="1332" xr:uid="{00000000-0005-0000-0000-000033050000}"/>
    <cellStyle name="스타일 8" xfId="1333" xr:uid="{00000000-0005-0000-0000-000034050000}"/>
    <cellStyle name="스타일 9" xfId="1334" xr:uid="{00000000-0005-0000-0000-000035050000}"/>
    <cellStyle name="안건회계법인" xfId="1335" xr:uid="{00000000-0005-0000-0000-000036050000}"/>
    <cellStyle name="연결된 셀 2" xfId="1336" xr:uid="{00000000-0005-0000-0000-000037050000}"/>
    <cellStyle name="요약 2" xfId="1337" xr:uid="{00000000-0005-0000-0000-000038050000}"/>
    <cellStyle name="원" xfId="1338" xr:uid="{00000000-0005-0000-0000-000039050000}"/>
    <cellStyle name="원_가월리배수펌프(04.23)" xfId="1339" xr:uid="{00000000-0005-0000-0000-00003A050000}"/>
    <cellStyle name="원_가월리배수펌프(04.23) 2" xfId="2404" xr:uid="{221E920B-E620-4328-A124-2347DE281794}"/>
    <cellStyle name="원_입찰내역서갑지양식" xfId="1340" xr:uid="{00000000-0005-0000-0000-00003B050000}"/>
    <cellStyle name="원_흥한건설(주)_두창산업폐기물(하도급)" xfId="1341" xr:uid="{00000000-0005-0000-0000-00003C050000}"/>
    <cellStyle name="유1" xfId="1342" xr:uid="{00000000-0005-0000-0000-00003D050000}"/>
    <cellStyle name="윤1" xfId="1343" xr:uid="{00000000-0005-0000-0000-00003E050000}"/>
    <cellStyle name="일위대가" xfId="1344" xr:uid="{00000000-0005-0000-0000-00003F050000}"/>
    <cellStyle name="입력 2" xfId="1345" xr:uid="{00000000-0005-0000-0000-000040050000}"/>
    <cellStyle name="자리수" xfId="1346" xr:uid="{00000000-0005-0000-0000-000041050000}"/>
    <cellStyle name="자리수 - 유형1" xfId="1347" xr:uid="{00000000-0005-0000-0000-000042050000}"/>
    <cellStyle name="자리수_거성토건도급계약내역(신일중고)" xfId="1348" xr:uid="{00000000-0005-0000-0000-000043050000}"/>
    <cellStyle name="자리수0" xfId="1349" xr:uid="{00000000-0005-0000-0000-000044050000}"/>
    <cellStyle name="제목 1 2" xfId="1350" xr:uid="{00000000-0005-0000-0000-000045050000}"/>
    <cellStyle name="제목 2 2" xfId="1351" xr:uid="{00000000-0005-0000-0000-000046050000}"/>
    <cellStyle name="제목 3 2" xfId="1352" xr:uid="{00000000-0005-0000-0000-000047050000}"/>
    <cellStyle name="제목 4 2" xfId="1353" xr:uid="{00000000-0005-0000-0000-000048050000}"/>
    <cellStyle name="제목 5" xfId="1354" xr:uid="{00000000-0005-0000-0000-000049050000}"/>
    <cellStyle name="좋음 2" xfId="1355" xr:uid="{00000000-0005-0000-0000-00004A050000}"/>
    <cellStyle name="지정되지 않음" xfId="1356" xr:uid="{00000000-0005-0000-0000-00004B050000}"/>
    <cellStyle name="출력 2" xfId="1357" xr:uid="{00000000-0005-0000-0000-00004C050000}"/>
    <cellStyle name="콤" xfId="1358" xr:uid="{00000000-0005-0000-0000-00004D050000}"/>
    <cellStyle name="콤 2" xfId="2405" xr:uid="{6AB1C1FB-7913-486A-B0FC-4F040912B0D5}"/>
    <cellStyle name="콤_3.우수" xfId="1359" xr:uid="{00000000-0005-0000-0000-00004E050000}"/>
    <cellStyle name="콤_3.우수_1" xfId="1360" xr:uid="{00000000-0005-0000-0000-00004F050000}"/>
    <cellStyle name="콤_4.오수" xfId="1361" xr:uid="{00000000-0005-0000-0000-000050050000}"/>
    <cellStyle name="콤_거성토건도급계약내역(신일중고)" xfId="1362" xr:uid="{00000000-0005-0000-0000-000051050000}"/>
    <cellStyle name="콤_거성토건도급계약내역(신일중고) 2" xfId="2406" xr:uid="{D891DAF7-C99F-4639-B6C8-03078A149134}"/>
    <cellStyle name="콤_도로" xfId="1363" xr:uid="{00000000-0005-0000-0000-000052050000}"/>
    <cellStyle name="콤_부대초안" xfId="1364" xr:uid="{00000000-0005-0000-0000-000053050000}"/>
    <cellStyle name="콤_부대초안 2" xfId="2407" xr:uid="{A55EAE02-013C-4855-A92F-62D6EB8D729F}"/>
    <cellStyle name="콤_부대초안_견적의뢰" xfId="1365" xr:uid="{00000000-0005-0000-0000-000054050000}"/>
    <cellStyle name="콤_부대초안_견적의뢰 2" xfId="2408" xr:uid="{400508AB-72A9-45F8-B73A-5958305AC20E}"/>
    <cellStyle name="콤_부대초안_김포투찰" xfId="1366" xr:uid="{00000000-0005-0000-0000-000055050000}"/>
    <cellStyle name="콤_부대초안_김포투찰_견적의뢰" xfId="1367" xr:uid="{00000000-0005-0000-0000-000056050000}"/>
    <cellStyle name="콤_부대초안_김포투찰_견적의뢰 2" xfId="2409" xr:uid="{D501E838-F4FB-4B13-8442-66B6DC218E0C}"/>
    <cellStyle name="콤_실행예산" xfId="1368" xr:uid="{00000000-0005-0000-0000-000057050000}"/>
    <cellStyle name="콤_토목내역서" xfId="1369" xr:uid="{00000000-0005-0000-0000-000058050000}"/>
    <cellStyle name="콤_토목내역서 2" xfId="2410" xr:uid="{54F28197-5A57-4889-BD45-6A21A012B03D}"/>
    <cellStyle name="콤_토목내역서_도로" xfId="1370" xr:uid="{00000000-0005-0000-0000-000059050000}"/>
    <cellStyle name="콤_토목내역서_부대초안" xfId="1371" xr:uid="{00000000-0005-0000-0000-00005A050000}"/>
    <cellStyle name="콤_토목내역서_부대초안 2" xfId="2411" xr:uid="{890BC503-7ED5-4C81-83F1-E30B2010C629}"/>
    <cellStyle name="콤_토목내역서_부대초안_견적의뢰" xfId="1372" xr:uid="{00000000-0005-0000-0000-00005B050000}"/>
    <cellStyle name="콤_토목내역서_부대초안_견적의뢰 2" xfId="2412" xr:uid="{1F79FB04-5383-483B-AA8B-5BF7D834E776}"/>
    <cellStyle name="콤_토목내역서_부대초안_김포투찰" xfId="1373" xr:uid="{00000000-0005-0000-0000-00005C050000}"/>
    <cellStyle name="콤_토목내역서_부대초안_김포투찰_견적의뢰" xfId="1374" xr:uid="{00000000-0005-0000-0000-00005D050000}"/>
    <cellStyle name="콤_토목내역서_부대초안_김포투찰_견적의뢰 2" xfId="2413" xr:uid="{276A62B2-49A8-4D17-8F61-E6D961CB29F9}"/>
    <cellStyle name="콤마" xfId="1375" xr:uid="{00000000-0005-0000-0000-00005E050000}"/>
    <cellStyle name="콤마 [" xfId="1376" xr:uid="{00000000-0005-0000-0000-00005F050000}"/>
    <cellStyle name="콤마 [ 2" xfId="2414" xr:uid="{9751FE77-62EB-4976-86BE-864616129684}"/>
    <cellStyle name="콤마 [#]" xfId="1377" xr:uid="{00000000-0005-0000-0000-000060050000}"/>
    <cellStyle name="콤마 [#] 2" xfId="2415" xr:uid="{AE1C1852-C8CE-4DEA-B228-866FE3889C39}"/>
    <cellStyle name="콤마 []" xfId="1378" xr:uid="{00000000-0005-0000-0000-000061050000}"/>
    <cellStyle name="콤마 [_거성토건도급계약내역(신일중고)" xfId="1379" xr:uid="{00000000-0005-0000-0000-000062050000}"/>
    <cellStyle name="콤마 [0]" xfId="1380" xr:uid="{00000000-0005-0000-0000-000063050000}"/>
    <cellStyle name="콤마 [0] 2" xfId="2416" xr:uid="{BE86B12F-AE61-4924-A6ED-CEC9762BF159}"/>
    <cellStyle name="콤마 [2]" xfId="1381" xr:uid="{00000000-0005-0000-0000-000064050000}"/>
    <cellStyle name="콤마 [2] 2" xfId="1382" xr:uid="{00000000-0005-0000-0000-000065050000}"/>
    <cellStyle name="콤마 [금액]" xfId="1383" xr:uid="{00000000-0005-0000-0000-000066050000}"/>
    <cellStyle name="콤마 [소수]" xfId="1384" xr:uid="{00000000-0005-0000-0000-000067050000}"/>
    <cellStyle name="콤마 [소수] 2" xfId="2417" xr:uid="{D8193183-E8C0-4533-85E0-8E6E221D65A2}"/>
    <cellStyle name="콤마 [수량]" xfId="1385" xr:uid="{00000000-0005-0000-0000-000068050000}"/>
    <cellStyle name="콤마 [수량] 2" xfId="2418" xr:uid="{1DE14B91-9626-4333-A0BB-FC57712E1D7E}"/>
    <cellStyle name="콤마[ ]" xfId="1386" xr:uid="{00000000-0005-0000-0000-000069050000}"/>
    <cellStyle name="콤마[*]" xfId="1387" xr:uid="{00000000-0005-0000-0000-00006A050000}"/>
    <cellStyle name="콤마[.]" xfId="1388" xr:uid="{00000000-0005-0000-0000-00006B050000}"/>
    <cellStyle name="콤마[0]" xfId="1389" xr:uid="{00000000-0005-0000-0000-00006C050000}"/>
    <cellStyle name="콤마_   1997   " xfId="1390" xr:uid="{00000000-0005-0000-0000-00006D050000}"/>
    <cellStyle name="통" xfId="1391" xr:uid="{00000000-0005-0000-0000-00006E050000}"/>
    <cellStyle name="통 2" xfId="2419" xr:uid="{B93C68F5-BBE5-4CA7-8CC5-7DFE0798FC32}"/>
    <cellStyle name="통_3.우수" xfId="1392" xr:uid="{00000000-0005-0000-0000-00006F050000}"/>
    <cellStyle name="통_3.우수_1" xfId="1393" xr:uid="{00000000-0005-0000-0000-000070050000}"/>
    <cellStyle name="통_4.오수" xfId="1394" xr:uid="{00000000-0005-0000-0000-000071050000}"/>
    <cellStyle name="통_거성토건도급계약내역(신일중고)" xfId="1395" xr:uid="{00000000-0005-0000-0000-000072050000}"/>
    <cellStyle name="통_거성토건도급계약내역(신일중고) 2" xfId="2420" xr:uid="{2C909A30-D251-483B-9A40-0202A41E0C89}"/>
    <cellStyle name="통_도로" xfId="1396" xr:uid="{00000000-0005-0000-0000-000073050000}"/>
    <cellStyle name="통_부대초안" xfId="1397" xr:uid="{00000000-0005-0000-0000-000074050000}"/>
    <cellStyle name="통_부대초안 2" xfId="2421" xr:uid="{C26ADD5D-2843-4CCE-9E1E-3F5009CFB954}"/>
    <cellStyle name="통_부대초안_견적의뢰" xfId="1398" xr:uid="{00000000-0005-0000-0000-000075050000}"/>
    <cellStyle name="통_부대초안_견적의뢰 2" xfId="2422" xr:uid="{F296B5DB-294B-4225-BEEF-9523BD349C34}"/>
    <cellStyle name="통_부대초안_김포투찰" xfId="1399" xr:uid="{00000000-0005-0000-0000-000076050000}"/>
    <cellStyle name="통_부대초안_김포투찰_견적의뢰" xfId="1400" xr:uid="{00000000-0005-0000-0000-000077050000}"/>
    <cellStyle name="통_부대초안_김포투찰_견적의뢰 2" xfId="2423" xr:uid="{218EFA27-7858-48FD-B906-A3E7DFA9BDFF}"/>
    <cellStyle name="통_실행예산" xfId="1401" xr:uid="{00000000-0005-0000-0000-000078050000}"/>
    <cellStyle name="통_토목내역서" xfId="1402" xr:uid="{00000000-0005-0000-0000-000079050000}"/>
    <cellStyle name="통_토목내역서 2" xfId="2424" xr:uid="{42001D08-C82E-491A-9832-0D55F7B97AA0}"/>
    <cellStyle name="통_토목내역서_도로" xfId="1403" xr:uid="{00000000-0005-0000-0000-00007A050000}"/>
    <cellStyle name="통_토목내역서_부대초안" xfId="1404" xr:uid="{00000000-0005-0000-0000-00007B050000}"/>
    <cellStyle name="통_토목내역서_부대초안 2" xfId="2425" xr:uid="{53786CF0-5C08-436E-AD40-F82002F01CFA}"/>
    <cellStyle name="통_토목내역서_부대초안_견적의뢰" xfId="1405" xr:uid="{00000000-0005-0000-0000-00007C050000}"/>
    <cellStyle name="통_토목내역서_부대초안_견적의뢰 2" xfId="2426" xr:uid="{24BC2168-2383-4ACB-BCA3-EAB7310694FA}"/>
    <cellStyle name="통_토목내역서_부대초안_김포투찰" xfId="1406" xr:uid="{00000000-0005-0000-0000-00007D050000}"/>
    <cellStyle name="통_토목내역서_부대초안_김포투찰_견적의뢰" xfId="1407" xr:uid="{00000000-0005-0000-0000-00007E050000}"/>
    <cellStyle name="통_토목내역서_부대초안_김포투찰_견적의뢰 2" xfId="2427" xr:uid="{884EFCB4-E49D-4711-909C-18840AA05D9B}"/>
    <cellStyle name="통화 [" xfId="1408" xr:uid="{00000000-0005-0000-0000-00007F050000}"/>
    <cellStyle name="통화 [ 2" xfId="2428" xr:uid="{6CFA5EE9-A31D-419E-9DEB-ED2028C0DCCC}"/>
    <cellStyle name="통화 [0] 2" xfId="1409" xr:uid="{00000000-0005-0000-0000-000080050000}"/>
    <cellStyle name="통화 [0] 2 2" xfId="2429" xr:uid="{FF5313F7-6E18-4A3E-B2B3-27C3401A6C49}"/>
    <cellStyle name="통화 [0] 3" xfId="1410" xr:uid="{00000000-0005-0000-0000-000081050000}"/>
    <cellStyle name="통화 [0] 3 2" xfId="2430" xr:uid="{5B2FA6EA-383E-4489-9258-6757E63B19B9}"/>
    <cellStyle name="퍼센트" xfId="1411" xr:uid="{00000000-0005-0000-0000-000082050000}"/>
    <cellStyle name="표" xfId="1412" xr:uid="{00000000-0005-0000-0000-000083050000}"/>
    <cellStyle name="표 2" xfId="2431" xr:uid="{D646C00A-B218-49DE-A3B1-CBC474EFED50}"/>
    <cellStyle name="표_3.우수" xfId="1413" xr:uid="{00000000-0005-0000-0000-000084050000}"/>
    <cellStyle name="표_3.우수_1" xfId="1414" xr:uid="{00000000-0005-0000-0000-000085050000}"/>
    <cellStyle name="표_4.오수" xfId="1415" xr:uid="{00000000-0005-0000-0000-000086050000}"/>
    <cellStyle name="표_거성토건도급계약내역(신일중고)" xfId="1416" xr:uid="{00000000-0005-0000-0000-000087050000}"/>
    <cellStyle name="표_거성토건도급계약내역(신일중고) 2" xfId="2432" xr:uid="{D67754D4-C827-4FDF-BA8E-C55860DC90CD}"/>
    <cellStyle name="표_도로" xfId="1417" xr:uid="{00000000-0005-0000-0000-000088050000}"/>
    <cellStyle name="표_부대초안" xfId="1418" xr:uid="{00000000-0005-0000-0000-000089050000}"/>
    <cellStyle name="표_부대초안 2" xfId="2433" xr:uid="{989C6871-7E2C-4D5D-A058-CAF85F316183}"/>
    <cellStyle name="표_부대초안_견적의뢰" xfId="1419" xr:uid="{00000000-0005-0000-0000-00008A050000}"/>
    <cellStyle name="표_부대초안_견적의뢰 2" xfId="2434" xr:uid="{8A14776B-9E6E-46C1-B8D5-C2C32FFE0012}"/>
    <cellStyle name="표_부대초안_김포투찰" xfId="1420" xr:uid="{00000000-0005-0000-0000-00008B050000}"/>
    <cellStyle name="표_부대초안_김포투찰_견적의뢰" xfId="1421" xr:uid="{00000000-0005-0000-0000-00008C050000}"/>
    <cellStyle name="표_부대초안_김포투찰_견적의뢰 2" xfId="2435" xr:uid="{3410C6A1-EB50-45A6-88D9-CC7FB1C30729}"/>
    <cellStyle name="표_실행예산" xfId="1422" xr:uid="{00000000-0005-0000-0000-00008D050000}"/>
    <cellStyle name="표_토목내역서" xfId="1423" xr:uid="{00000000-0005-0000-0000-00008E050000}"/>
    <cellStyle name="표_토목내역서 2" xfId="2436" xr:uid="{FC0E4DA9-09D0-42DA-A00D-5C13853A1B60}"/>
    <cellStyle name="표_토목내역서_도로" xfId="1424" xr:uid="{00000000-0005-0000-0000-00008F050000}"/>
    <cellStyle name="표_토목내역서_부대초안" xfId="1425" xr:uid="{00000000-0005-0000-0000-000090050000}"/>
    <cellStyle name="표_토목내역서_부대초안 2" xfId="2437" xr:uid="{65E4332A-21E9-4721-AD4D-0F6716B99124}"/>
    <cellStyle name="표_토목내역서_부대초안_견적의뢰" xfId="1426" xr:uid="{00000000-0005-0000-0000-000091050000}"/>
    <cellStyle name="표_토목내역서_부대초안_견적의뢰 2" xfId="2438" xr:uid="{7D06A9DC-CF38-4C9B-B9D7-F0BDFBF372CB}"/>
    <cellStyle name="표_토목내역서_부대초안_김포투찰" xfId="1427" xr:uid="{00000000-0005-0000-0000-000092050000}"/>
    <cellStyle name="표_토목내역서_부대초안_김포투찰_견적의뢰" xfId="1428" xr:uid="{00000000-0005-0000-0000-000093050000}"/>
    <cellStyle name="표_토목내역서_부대초안_김포투찰_견적의뢰 2" xfId="2439" xr:uid="{5AD88D30-A6FC-44FE-AA96-D9E403D2486F}"/>
    <cellStyle name="표준" xfId="0" builtinId="0"/>
    <cellStyle name="표준 10" xfId="1429" xr:uid="{00000000-0005-0000-0000-000095050000}"/>
    <cellStyle name="표준 10 2" xfId="2440" xr:uid="{DBF10A6D-9A33-44F7-AC75-8BCDC5A08666}"/>
    <cellStyle name="표준 11" xfId="1430" xr:uid="{00000000-0005-0000-0000-000096050000}"/>
    <cellStyle name="표준 11 2" xfId="2441" xr:uid="{57FD5EED-B78E-4BFC-90DB-D82A39A84642}"/>
    <cellStyle name="표준 12" xfId="1431" xr:uid="{00000000-0005-0000-0000-000097050000}"/>
    <cellStyle name="표준 13" xfId="1432" xr:uid="{00000000-0005-0000-0000-000098050000}"/>
    <cellStyle name="표준 13 2" xfId="2442" xr:uid="{30339B40-A40A-4AB2-8439-C7AA1960DA2D}"/>
    <cellStyle name="표준 14" xfId="1433" xr:uid="{00000000-0005-0000-0000-000099050000}"/>
    <cellStyle name="표준 14 2" xfId="2443" xr:uid="{56F423B7-A904-4A4E-ABAC-95B07C8D05FB}"/>
    <cellStyle name="표준 15" xfId="1434" xr:uid="{00000000-0005-0000-0000-00009A050000}"/>
    <cellStyle name="표준 15 2" xfId="2444" xr:uid="{1041B6CB-DC4A-415D-8A1E-4C743A93B9C0}"/>
    <cellStyle name="표준 16" xfId="1435" xr:uid="{00000000-0005-0000-0000-00009B050000}"/>
    <cellStyle name="표준 16 2" xfId="2445" xr:uid="{654B4342-46E8-48BF-97E5-92B22C0C1FF6}"/>
    <cellStyle name="표준 17" xfId="1469" xr:uid="{EF7BCC3A-C545-4AC3-8A72-83C606D2578F}"/>
    <cellStyle name="표준 18" xfId="1472" xr:uid="{706929DA-3397-4DD4-8491-C270448B1998}"/>
    <cellStyle name="표준 18 2" xfId="2464" xr:uid="{1AC7648C-991A-4A8E-8379-ACBF26F74779}"/>
    <cellStyle name="표준 2" xfId="1436" xr:uid="{00000000-0005-0000-0000-00009C050000}"/>
    <cellStyle name="표준 2 2" xfId="1437" xr:uid="{00000000-0005-0000-0000-00009D050000}"/>
    <cellStyle name="표준 2 2 2" xfId="1438" xr:uid="{00000000-0005-0000-0000-00009E050000}"/>
    <cellStyle name="표준 2 2 2 2" xfId="2447" xr:uid="{2D695A0E-1FDC-42B5-AEDE-CF41749DDC04}"/>
    <cellStyle name="표준 2 2 3" xfId="1439" xr:uid="{00000000-0005-0000-0000-00009F050000}"/>
    <cellStyle name="표준 2 2 3 2" xfId="2448" xr:uid="{751726E3-62CB-4118-B44A-25808DEE09A1}"/>
    <cellStyle name="표준 2 2 4" xfId="2446" xr:uid="{A5F381E5-3E7D-48EB-AA0E-37221EAA4465}"/>
    <cellStyle name="표준 2 3" xfId="1440" xr:uid="{00000000-0005-0000-0000-0000A0050000}"/>
    <cellStyle name="표준 2 3 2" xfId="2449" xr:uid="{F69D3C85-4DA6-47A2-8AFF-F18263C3B5A4}"/>
    <cellStyle name="표준 2 4" xfId="1441" xr:uid="{00000000-0005-0000-0000-0000A1050000}"/>
    <cellStyle name="표준 2 6" xfId="1442" xr:uid="{00000000-0005-0000-0000-0000A2050000}"/>
    <cellStyle name="표준 2_G-2빌딩(홈스웰)" xfId="1443" xr:uid="{00000000-0005-0000-0000-0000A3050000}"/>
    <cellStyle name="표준 3" xfId="1444" xr:uid="{00000000-0005-0000-0000-0000A4050000}"/>
    <cellStyle name="표준 3 2" xfId="1445" xr:uid="{00000000-0005-0000-0000-0000A5050000}"/>
    <cellStyle name="표준 3 2 2" xfId="1446" xr:uid="{00000000-0005-0000-0000-0000A6050000}"/>
    <cellStyle name="표준 3 2 2 2" xfId="2452" xr:uid="{9002978F-B81E-4AE0-BB31-80E46117BFD0}"/>
    <cellStyle name="표준 3 2 3" xfId="2451" xr:uid="{A01C4ADE-681C-4A29-A834-588B76CAE36C}"/>
    <cellStyle name="표준 3 3" xfId="1447" xr:uid="{00000000-0005-0000-0000-0000A7050000}"/>
    <cellStyle name="표준 3 4" xfId="1448" xr:uid="{00000000-0005-0000-0000-0000A8050000}"/>
    <cellStyle name="표준 3 5" xfId="2450" xr:uid="{BDC4FD82-5579-457F-9977-3D9529AFB6FF}"/>
    <cellStyle name="표준 3_개나리13단지  프리액션 타견적(대양,홈스웰)131205" xfId="1449" xr:uid="{00000000-0005-0000-0000-0000A9050000}"/>
    <cellStyle name="표준 4" xfId="1450" xr:uid="{00000000-0005-0000-0000-0000AA050000}"/>
    <cellStyle name="표준 4 2" xfId="1451" xr:uid="{00000000-0005-0000-0000-0000AB050000}"/>
    <cellStyle name="표준 4 2 2" xfId="2454" xr:uid="{F35E30BB-302E-4E39-828B-7F87F9B83726}"/>
    <cellStyle name="표준 4 3" xfId="1452" xr:uid="{00000000-0005-0000-0000-0000AC050000}"/>
    <cellStyle name="표준 4 4" xfId="1453" xr:uid="{00000000-0005-0000-0000-0000AD050000}"/>
    <cellStyle name="표준 4 5" xfId="2453" xr:uid="{3C3A452A-EA4D-4308-9EE4-2FAD3FE04B45}"/>
    <cellStyle name="표준 5" xfId="1454" xr:uid="{00000000-0005-0000-0000-0000AE050000}"/>
    <cellStyle name="표준 5 2" xfId="1455" xr:uid="{00000000-0005-0000-0000-0000AF050000}"/>
    <cellStyle name="표준 5 2 2" xfId="2456" xr:uid="{C60593BD-897E-4D6C-A09A-964C623A49C5}"/>
    <cellStyle name="표준 5 3" xfId="1456" xr:uid="{00000000-0005-0000-0000-0000B0050000}"/>
    <cellStyle name="표준 5 4" xfId="2455" xr:uid="{15ED6479-4DAE-49BD-980E-6F8F4C8B30D9}"/>
    <cellStyle name="표준 6" xfId="1457" xr:uid="{00000000-0005-0000-0000-0000B1050000}"/>
    <cellStyle name="표준 6 2" xfId="1458" xr:uid="{00000000-0005-0000-0000-0000B2050000}"/>
    <cellStyle name="표준 6 2 2" xfId="2458" xr:uid="{C01305E4-62DE-488E-82ED-2BF2A1105671}"/>
    <cellStyle name="표준 6 3" xfId="2457" xr:uid="{614901F0-208D-4B31-B77C-8FEBA3C357CE}"/>
    <cellStyle name="표준 7" xfId="1459" xr:uid="{00000000-0005-0000-0000-0000B3050000}"/>
    <cellStyle name="표준 7 2" xfId="1460" xr:uid="{00000000-0005-0000-0000-0000B4050000}"/>
    <cellStyle name="표준 7 2 2" xfId="2460" xr:uid="{8819FAEE-5A95-46BB-82C9-F996743A6B26}"/>
    <cellStyle name="표준 7 3" xfId="1474" xr:uid="{F0C8701C-271C-4451-A0E0-54177653C395}"/>
    <cellStyle name="표준 7 4" xfId="2459" xr:uid="{4557555D-911A-451C-9623-467FCB732CA1}"/>
    <cellStyle name="표준 8" xfId="1461" xr:uid="{00000000-0005-0000-0000-0000B5050000}"/>
    <cellStyle name="표준 8 2" xfId="1462" xr:uid="{00000000-0005-0000-0000-0000B6050000}"/>
    <cellStyle name="표준 8 2 2" xfId="2462" xr:uid="{C82675FF-02C8-43B1-9CF8-7B106F15DF73}"/>
    <cellStyle name="표준 8 3" xfId="2461" xr:uid="{91EC2112-4089-48EA-B341-8A39BA6D9070}"/>
    <cellStyle name="표준 9" xfId="1463" xr:uid="{00000000-0005-0000-0000-0000B7050000}"/>
    <cellStyle name="標準_Akia(F）-8" xfId="1464" xr:uid="{00000000-0005-0000-0000-0000B8050000}"/>
    <cellStyle name="하이퍼링크 2" xfId="1476" xr:uid="{EAC0C8B3-7A21-4903-9014-55DD54A5E68D}"/>
    <cellStyle name="합산" xfId="1465" xr:uid="{00000000-0005-0000-0000-0000BA050000}"/>
    <cellStyle name="화폐기호" xfId="1466" xr:uid="{00000000-0005-0000-0000-0000BB050000}"/>
    <cellStyle name="화폐기호0" xfId="1467" xr:uid="{00000000-0005-0000-0000-0000BC050000}"/>
    <cellStyle name="ㅣ" xfId="1468" xr:uid="{00000000-0005-0000-0000-0000BD050000}"/>
  </cellStyles>
  <dxfs count="0"/>
  <tableStyles count="0" defaultTableStyle="TableStyleMedium9" defaultPivotStyle="PivotStyleLight16"/>
  <colors>
    <mruColors>
      <color rgb="FF0000FF"/>
      <color rgb="FFFDC4B5"/>
      <color rgb="FFFED0E2"/>
      <color rgb="FFFF7C80"/>
      <color rgb="FFF7BBEE"/>
      <color rgb="FF99FF66"/>
      <color rgb="FFFCC0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64190</xdr:colOff>
      <xdr:row>20</xdr:row>
      <xdr:rowOff>9525</xdr:rowOff>
    </xdr:from>
    <xdr:to>
      <xdr:col>6</xdr:col>
      <xdr:colOff>649640</xdr:colOff>
      <xdr:row>21</xdr:row>
      <xdr:rowOff>301875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11F778A-CF1F-4DCB-9073-C3C8690EDBEA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8740" y="7629525"/>
          <a:ext cx="2700000" cy="54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59121</xdr:rowOff>
    </xdr:from>
    <xdr:to>
      <xdr:col>9</xdr:col>
      <xdr:colOff>692597</xdr:colOff>
      <xdr:row>0</xdr:row>
      <xdr:rowOff>59121</xdr:rowOff>
    </xdr:to>
    <xdr:cxnSp macro="">
      <xdr:nvCxnSpPr>
        <xdr:cNvPr id="7" name="직선 연결선 6">
          <a:extLst>
            <a:ext uri="{FF2B5EF4-FFF2-40B4-BE49-F238E27FC236}">
              <a16:creationId xmlns:a16="http://schemas.microsoft.com/office/drawing/2014/main" id="{1C5869B8-DE22-C4F5-6026-A98F08F6CABE}"/>
            </a:ext>
          </a:extLst>
        </xdr:cNvPr>
        <xdr:cNvCxnSpPr/>
      </xdr:nvCxnSpPr>
      <xdr:spPr bwMode="auto">
        <a:xfrm>
          <a:off x="0" y="59121"/>
          <a:ext cx="7018511" cy="0"/>
        </a:xfrm>
        <a:prstGeom prst="line">
          <a:avLst/>
        </a:prstGeom>
        <a:solidFill>
          <a:srgbClr val="FFFFFF"/>
        </a:solidFill>
        <a:ln w="101600" cap="flat" cmpd="thickThin" algn="ctr">
          <a:solidFill>
            <a:schemeClr val="accent1">
              <a:lumMod val="5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0</xdr:col>
      <xdr:colOff>1714</xdr:colOff>
      <xdr:row>0</xdr:row>
      <xdr:rowOff>117100</xdr:rowOff>
    </xdr:from>
    <xdr:to>
      <xdr:col>9</xdr:col>
      <xdr:colOff>695433</xdr:colOff>
      <xdr:row>2</xdr:row>
      <xdr:rowOff>19708</xdr:rowOff>
    </xdr:to>
    <xdr:pic>
      <xdr:nvPicPr>
        <xdr:cNvPr id="3" name="그림 2" descr="맑은 파란 하늘을 배경으로 하는 건물 외관">
          <a:extLst>
            <a:ext uri="{FF2B5EF4-FFF2-40B4-BE49-F238E27FC236}">
              <a16:creationId xmlns:a16="http://schemas.microsoft.com/office/drawing/2014/main" id="{53F987B2-64FC-A00D-A1E5-4E688029B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" y="117100"/>
          <a:ext cx="7019633" cy="6646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222437</xdr:colOff>
      <xdr:row>1</xdr:row>
      <xdr:rowOff>590550</xdr:rowOff>
    </xdr:from>
    <xdr:to>
      <xdr:col>20</xdr:col>
      <xdr:colOff>270062</xdr:colOff>
      <xdr:row>1</xdr:row>
      <xdr:rowOff>590550</xdr:rowOff>
    </xdr:to>
    <xdr:cxnSp macro="">
      <xdr:nvCxnSpPr>
        <xdr:cNvPr id="61541" name="직선 연결선 3">
          <a:extLst>
            <a:ext uri="{FF2B5EF4-FFF2-40B4-BE49-F238E27FC236}">
              <a16:creationId xmlns:a16="http://schemas.microsoft.com/office/drawing/2014/main" id="{00000000-0008-0000-0100-000065F00000}"/>
            </a:ext>
          </a:extLst>
        </xdr:cNvPr>
        <xdr:cNvCxnSpPr>
          <a:cxnSpLocks noChangeShapeType="1"/>
        </xdr:cNvCxnSpPr>
      </xdr:nvCxnSpPr>
      <xdr:spPr bwMode="auto">
        <a:xfrm>
          <a:off x="2822202" y="971550"/>
          <a:ext cx="5616948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222437</xdr:colOff>
      <xdr:row>2</xdr:row>
      <xdr:rowOff>28575</xdr:rowOff>
    </xdr:from>
    <xdr:to>
      <xdr:col>20</xdr:col>
      <xdr:colOff>270062</xdr:colOff>
      <xdr:row>2</xdr:row>
      <xdr:rowOff>28575</xdr:rowOff>
    </xdr:to>
    <xdr:cxnSp macro="">
      <xdr:nvCxnSpPr>
        <xdr:cNvPr id="61542" name="직선 연결선 4">
          <a:extLst>
            <a:ext uri="{FF2B5EF4-FFF2-40B4-BE49-F238E27FC236}">
              <a16:creationId xmlns:a16="http://schemas.microsoft.com/office/drawing/2014/main" id="{00000000-0008-0000-0100-000066F00000}"/>
            </a:ext>
          </a:extLst>
        </xdr:cNvPr>
        <xdr:cNvCxnSpPr>
          <a:cxnSpLocks noChangeShapeType="1"/>
        </xdr:cNvCxnSpPr>
      </xdr:nvCxnSpPr>
      <xdr:spPr bwMode="auto">
        <a:xfrm>
          <a:off x="2822202" y="1025899"/>
          <a:ext cx="5616948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17</xdr:col>
      <xdr:colOff>488156</xdr:colOff>
      <xdr:row>4</xdr:row>
      <xdr:rowOff>11906</xdr:rowOff>
    </xdr:from>
    <xdr:to>
      <xdr:col>27</xdr:col>
      <xdr:colOff>0</xdr:colOff>
      <xdr:row>6</xdr:row>
      <xdr:rowOff>214312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329AB5F-8427-4748-9B30-0B0223900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4097" y="2096200"/>
          <a:ext cx="4151079" cy="953201"/>
        </a:xfrm>
        <a:prstGeom prst="rect">
          <a:avLst/>
        </a:prstGeom>
      </xdr:spPr>
    </xdr:pic>
    <xdr:clientData/>
  </xdr:twoCellAnchor>
  <xdr:twoCellAnchor editAs="oneCell">
    <xdr:from>
      <xdr:col>24</xdr:col>
      <xdr:colOff>495085</xdr:colOff>
      <xdr:row>6</xdr:row>
      <xdr:rowOff>229228</xdr:rowOff>
    </xdr:from>
    <xdr:to>
      <xdr:col>27</xdr:col>
      <xdr:colOff>75676</xdr:colOff>
      <xdr:row>9</xdr:row>
      <xdr:rowOff>261478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5926FD-DFDC-CB9D-8D27-1D373FCE8E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clrChange>
            <a:clrFrom>
              <a:srgbClr val="A3797E">
                <a:alpha val="65098"/>
              </a:srgbClr>
            </a:clrFrom>
            <a:clrTo>
              <a:srgbClr val="A3797E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  <a14:imgEffect>
                    <a14:sharpenSoften amount="50000"/>
                  </a14:imgEffect>
                  <a14:imgEffect>
                    <a14:saturation sat="200000"/>
                  </a14:imgEffect>
                  <a14:imgEffect>
                    <a14:brightnessContrast contrast="40000"/>
                  </a14:imgEffect>
                </a14:imgLayer>
              </a14:imgProps>
            </a:ext>
          </a:extLst>
        </a:blip>
        <a:srcRect l="21631" t="20458" r="18715" b="25296"/>
        <a:stretch>
          <a:fillRect/>
        </a:stretch>
      </xdr:blipFill>
      <xdr:spPr>
        <a:xfrm>
          <a:off x="10333049" y="2869014"/>
          <a:ext cx="1063770" cy="1080000"/>
        </a:xfrm>
        <a:prstGeom prst="rect">
          <a:avLst/>
        </a:prstGeom>
        <a:effectLst>
          <a:outerShdw blurRad="50800" dist="50800" dir="5400000" algn="ctr" rotWithShape="0">
            <a:srgbClr val="000000">
              <a:alpha val="0"/>
            </a:srgbClr>
          </a:outerShdw>
          <a:reflection stA="0" endPos="0" dir="5400000" sy="-100000" algn="bl" rotWithShape="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419100</xdr:rowOff>
    </xdr:from>
    <xdr:to>
      <xdr:col>7</xdr:col>
      <xdr:colOff>800100</xdr:colOff>
      <xdr:row>0</xdr:row>
      <xdr:rowOff>419100</xdr:rowOff>
    </xdr:to>
    <xdr:cxnSp macro="">
      <xdr:nvCxnSpPr>
        <xdr:cNvPr id="60641" name="직선 연결선 4">
          <a:extLst>
            <a:ext uri="{FF2B5EF4-FFF2-40B4-BE49-F238E27FC236}">
              <a16:creationId xmlns:a16="http://schemas.microsoft.com/office/drawing/2014/main" id="{00000000-0008-0000-0200-0000E1EC0000}"/>
            </a:ext>
          </a:extLst>
        </xdr:cNvPr>
        <xdr:cNvCxnSpPr>
          <a:cxnSpLocks noChangeShapeType="1"/>
        </xdr:cNvCxnSpPr>
      </xdr:nvCxnSpPr>
      <xdr:spPr bwMode="auto">
        <a:xfrm>
          <a:off x="1952625" y="419100"/>
          <a:ext cx="4048125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190500</xdr:colOff>
      <xdr:row>1</xdr:row>
      <xdr:rowOff>9525</xdr:rowOff>
    </xdr:from>
    <xdr:to>
      <xdr:col>7</xdr:col>
      <xdr:colOff>800100</xdr:colOff>
      <xdr:row>1</xdr:row>
      <xdr:rowOff>9525</xdr:rowOff>
    </xdr:to>
    <xdr:cxnSp macro="">
      <xdr:nvCxnSpPr>
        <xdr:cNvPr id="60642" name="직선 연결선 7">
          <a:extLst>
            <a:ext uri="{FF2B5EF4-FFF2-40B4-BE49-F238E27FC236}">
              <a16:creationId xmlns:a16="http://schemas.microsoft.com/office/drawing/2014/main" id="{00000000-0008-0000-0200-0000E2EC0000}"/>
            </a:ext>
          </a:extLst>
        </xdr:cNvPr>
        <xdr:cNvCxnSpPr>
          <a:cxnSpLocks noChangeShapeType="1"/>
        </xdr:cNvCxnSpPr>
      </xdr:nvCxnSpPr>
      <xdr:spPr bwMode="auto">
        <a:xfrm>
          <a:off x="1952625" y="457200"/>
          <a:ext cx="4048125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9525</xdr:colOff>
      <xdr:row>35</xdr:row>
      <xdr:rowOff>32755</xdr:rowOff>
    </xdr:from>
    <xdr:to>
      <xdr:col>6</xdr:col>
      <xdr:colOff>1024575</xdr:colOff>
      <xdr:row>1048576</xdr:row>
      <xdr:rowOff>11755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20792E5-E5E8-4FB0-BD0B-27593797DFE4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9900655"/>
          <a:ext cx="2520000" cy="36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419100</xdr:rowOff>
    </xdr:from>
    <xdr:to>
      <xdr:col>7</xdr:col>
      <xdr:colOff>800100</xdr:colOff>
      <xdr:row>0</xdr:row>
      <xdr:rowOff>419100</xdr:rowOff>
    </xdr:to>
    <xdr:cxnSp macro="">
      <xdr:nvCxnSpPr>
        <xdr:cNvPr id="2" name="직선 연결선 4">
          <a:extLst>
            <a:ext uri="{FF2B5EF4-FFF2-40B4-BE49-F238E27FC236}">
              <a16:creationId xmlns:a16="http://schemas.microsoft.com/office/drawing/2014/main" id="{7F3C2AAB-05BB-4FAA-965E-2A67894134A1}"/>
            </a:ext>
          </a:extLst>
        </xdr:cNvPr>
        <xdr:cNvCxnSpPr>
          <a:cxnSpLocks noChangeShapeType="1"/>
        </xdr:cNvCxnSpPr>
      </xdr:nvCxnSpPr>
      <xdr:spPr bwMode="auto">
        <a:xfrm>
          <a:off x="1952625" y="419100"/>
          <a:ext cx="4048125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190500</xdr:colOff>
      <xdr:row>1</xdr:row>
      <xdr:rowOff>9525</xdr:rowOff>
    </xdr:from>
    <xdr:to>
      <xdr:col>7</xdr:col>
      <xdr:colOff>800100</xdr:colOff>
      <xdr:row>1</xdr:row>
      <xdr:rowOff>9525</xdr:rowOff>
    </xdr:to>
    <xdr:cxnSp macro="">
      <xdr:nvCxnSpPr>
        <xdr:cNvPr id="3" name="직선 연결선 7">
          <a:extLst>
            <a:ext uri="{FF2B5EF4-FFF2-40B4-BE49-F238E27FC236}">
              <a16:creationId xmlns:a16="http://schemas.microsoft.com/office/drawing/2014/main" id="{31E59543-6563-4C7A-BA15-64F248204BA2}"/>
            </a:ext>
          </a:extLst>
        </xdr:cNvPr>
        <xdr:cNvCxnSpPr>
          <a:cxnSpLocks noChangeShapeType="1"/>
        </xdr:cNvCxnSpPr>
      </xdr:nvCxnSpPr>
      <xdr:spPr bwMode="auto">
        <a:xfrm>
          <a:off x="1952625" y="457200"/>
          <a:ext cx="4048125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133350</xdr:colOff>
      <xdr:row>35</xdr:row>
      <xdr:rowOff>38100</xdr:rowOff>
    </xdr:from>
    <xdr:to>
      <xdr:col>7</xdr:col>
      <xdr:colOff>53025</xdr:colOff>
      <xdr:row>1048576</xdr:row>
      <xdr:rowOff>17100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04029F9-AF41-45DB-8AFB-34EAF48FD517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10239375"/>
          <a:ext cx="2520000" cy="36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198020</xdr:colOff>
      <xdr:row>0</xdr:row>
      <xdr:rowOff>419100</xdr:rowOff>
    </xdr:from>
    <xdr:to>
      <xdr:col>8</xdr:col>
      <xdr:colOff>985085</xdr:colOff>
      <xdr:row>0</xdr:row>
      <xdr:rowOff>419100</xdr:rowOff>
    </xdr:to>
    <xdr:cxnSp macro="">
      <xdr:nvCxnSpPr>
        <xdr:cNvPr id="2" name="직선 연결선 4">
          <a:extLst>
            <a:ext uri="{FF2B5EF4-FFF2-40B4-BE49-F238E27FC236}">
              <a16:creationId xmlns:a16="http://schemas.microsoft.com/office/drawing/2014/main" id="{DACAE39F-061A-4DEC-A352-258BE1E222A8}"/>
            </a:ext>
          </a:extLst>
        </xdr:cNvPr>
        <xdr:cNvCxnSpPr>
          <a:cxnSpLocks noChangeShapeType="1"/>
        </xdr:cNvCxnSpPr>
      </xdr:nvCxnSpPr>
      <xdr:spPr bwMode="auto">
        <a:xfrm>
          <a:off x="455195" y="419100"/>
          <a:ext cx="7083090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187993</xdr:colOff>
      <xdr:row>1</xdr:row>
      <xdr:rowOff>9525</xdr:rowOff>
    </xdr:from>
    <xdr:to>
      <xdr:col>8</xdr:col>
      <xdr:colOff>985085</xdr:colOff>
      <xdr:row>1</xdr:row>
      <xdr:rowOff>9525</xdr:rowOff>
    </xdr:to>
    <xdr:cxnSp macro="">
      <xdr:nvCxnSpPr>
        <xdr:cNvPr id="3" name="직선 연결선 7">
          <a:extLst>
            <a:ext uri="{FF2B5EF4-FFF2-40B4-BE49-F238E27FC236}">
              <a16:creationId xmlns:a16="http://schemas.microsoft.com/office/drawing/2014/main" id="{61456EAA-3BEA-48D6-A9F6-79E9B2E167E7}"/>
            </a:ext>
          </a:extLst>
        </xdr:cNvPr>
        <xdr:cNvCxnSpPr>
          <a:cxnSpLocks noChangeShapeType="1"/>
        </xdr:cNvCxnSpPr>
      </xdr:nvCxnSpPr>
      <xdr:spPr bwMode="auto">
        <a:xfrm>
          <a:off x="445168" y="457200"/>
          <a:ext cx="7093117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133350</xdr:colOff>
      <xdr:row>35</xdr:row>
      <xdr:rowOff>38100</xdr:rowOff>
    </xdr:from>
    <xdr:to>
      <xdr:col>7</xdr:col>
      <xdr:colOff>53025</xdr:colOff>
      <xdr:row>1048576</xdr:row>
      <xdr:rowOff>17100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2F5F6F8-5A43-4971-BF54-4A843FDFEB0B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3675" y="10239375"/>
          <a:ext cx="2520000" cy="36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334536</xdr:colOff>
      <xdr:row>0</xdr:row>
      <xdr:rowOff>419100</xdr:rowOff>
    </xdr:from>
    <xdr:to>
      <xdr:col>22</xdr:col>
      <xdr:colOff>35092</xdr:colOff>
      <xdr:row>0</xdr:row>
      <xdr:rowOff>419100</xdr:rowOff>
    </xdr:to>
    <xdr:cxnSp macro="">
      <xdr:nvCxnSpPr>
        <xdr:cNvPr id="2" name="직선 연결선 4">
          <a:extLst>
            <a:ext uri="{FF2B5EF4-FFF2-40B4-BE49-F238E27FC236}">
              <a16:creationId xmlns:a16="http://schemas.microsoft.com/office/drawing/2014/main" id="{F55F131D-1CDD-475C-A797-32CF4E5A7EDE}"/>
            </a:ext>
          </a:extLst>
        </xdr:cNvPr>
        <xdr:cNvCxnSpPr>
          <a:cxnSpLocks noChangeShapeType="1"/>
        </xdr:cNvCxnSpPr>
      </xdr:nvCxnSpPr>
      <xdr:spPr bwMode="auto">
        <a:xfrm>
          <a:off x="1016325" y="419100"/>
          <a:ext cx="6458293" cy="0"/>
        </a:xfrm>
        <a:prstGeom prst="line">
          <a:avLst/>
        </a:prstGeom>
        <a:noFill/>
        <a:ln w="28575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331812</xdr:colOff>
      <xdr:row>1</xdr:row>
      <xdr:rowOff>16094</xdr:rowOff>
    </xdr:from>
    <xdr:to>
      <xdr:col>22</xdr:col>
      <xdr:colOff>36648</xdr:colOff>
      <xdr:row>1</xdr:row>
      <xdr:rowOff>16094</xdr:rowOff>
    </xdr:to>
    <xdr:cxnSp macro="">
      <xdr:nvCxnSpPr>
        <xdr:cNvPr id="3" name="직선 연결선 7">
          <a:extLst>
            <a:ext uri="{FF2B5EF4-FFF2-40B4-BE49-F238E27FC236}">
              <a16:creationId xmlns:a16="http://schemas.microsoft.com/office/drawing/2014/main" id="{1C6D57A0-3165-4D95-9CF1-28616C2269B6}"/>
            </a:ext>
          </a:extLst>
        </xdr:cNvPr>
        <xdr:cNvCxnSpPr>
          <a:cxnSpLocks noChangeShapeType="1"/>
        </xdr:cNvCxnSpPr>
      </xdr:nvCxnSpPr>
      <xdr:spPr bwMode="auto">
        <a:xfrm>
          <a:off x="1014984" y="456215"/>
          <a:ext cx="6221250" cy="0"/>
        </a:xfrm>
        <a:prstGeom prst="line">
          <a:avLst/>
        </a:prstGeom>
        <a:noFill/>
        <a:ln w="12700" algn="ctr">
          <a:solidFill>
            <a:srgbClr val="7F7F7F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457;&#50864;\&#50504;&#50577;&#49884;\&#47928;&#50976;&#49457;\2001&#45800;&#44032;&#44228;&#50557;(&#44148;&#49444;&#44277;&#49324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1652;&#44148;&#49444;\&#49688;&#50896;&#49884;\My%20Documents\2001&#45380;&#44036;&#45800;&#44032;\2001&#45800;&#44032;&#44228;&#50557;(&#44148;&#49444;&#44277;&#4932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조명율표"/>
    </sheetNames>
    <sheetDataSet>
      <sheetData sheetId="0">
        <row r="72">
          <cell r="AA72">
            <v>56840</v>
          </cell>
        </row>
        <row r="170">
          <cell r="S170">
            <v>5856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 및 재료비"/>
      <sheetName val="중기사용료"/>
      <sheetName val="중기사용료산출근거"/>
      <sheetName val="Sheet1"/>
      <sheetName val="단가산출1"/>
      <sheetName val="단가산출2"/>
      <sheetName val="일위대가"/>
      <sheetName val="일위대가data"/>
      <sheetName val="이름표"/>
      <sheetName val="일위대가 (2)"/>
      <sheetName val="2009노임(공사)"/>
      <sheetName val="수량산출서"/>
      <sheetName val="수량집계표"/>
      <sheetName val="일위대가(가설)"/>
      <sheetName val="수량산출"/>
      <sheetName val="단가"/>
      <sheetName val="시설물일위"/>
      <sheetName val="매인"/>
      <sheetName val="터널조도"/>
      <sheetName val="부하계산서"/>
      <sheetName val="데이타"/>
      <sheetName val="식재인부"/>
      <sheetName val="품셈"/>
      <sheetName val="대목"/>
      <sheetName val="2001단가계약(건설공사)"/>
      <sheetName val="표지 (2)"/>
      <sheetName val="b_balju_cho"/>
      <sheetName val="단가비교표"/>
      <sheetName val="Sales Comparison"/>
      <sheetName val="I一般比"/>
      <sheetName val="수목데이타"/>
      <sheetName val="조명율표"/>
      <sheetName val="수로BOX"/>
      <sheetName val="2"/>
      <sheetName val="과세내역(세부)"/>
      <sheetName val="하조서"/>
      <sheetName val="공사개요"/>
      <sheetName val="노임단가"/>
      <sheetName val="단가조사"/>
      <sheetName val="DATA"/>
      <sheetName val="공사설계서"/>
    </sheetNames>
    <sheetDataSet>
      <sheetData sheetId="0" refreshError="1">
        <row r="34">
          <cell r="U34">
            <v>276.44</v>
          </cell>
        </row>
        <row r="39">
          <cell r="U39">
            <v>204000</v>
          </cell>
        </row>
        <row r="51">
          <cell r="AA51">
            <v>63210</v>
          </cell>
        </row>
        <row r="72">
          <cell r="AA72">
            <v>56840</v>
          </cell>
        </row>
        <row r="90">
          <cell r="AA90">
            <v>51490</v>
          </cell>
        </row>
        <row r="91">
          <cell r="AA91">
            <v>37050</v>
          </cell>
        </row>
        <row r="143">
          <cell r="S143">
            <v>900</v>
          </cell>
        </row>
        <row r="144">
          <cell r="S144">
            <v>1372</v>
          </cell>
        </row>
        <row r="145">
          <cell r="S145">
            <v>499.6</v>
          </cell>
        </row>
        <row r="170">
          <cell r="S170">
            <v>5856</v>
          </cell>
        </row>
        <row r="171">
          <cell r="S171">
            <v>264705</v>
          </cell>
        </row>
        <row r="172">
          <cell r="S172">
            <v>450</v>
          </cell>
        </row>
        <row r="173">
          <cell r="S173">
            <v>668</v>
          </cell>
        </row>
        <row r="215">
          <cell r="S215">
            <v>1370</v>
          </cell>
        </row>
      </sheetData>
      <sheetData sheetId="1"/>
      <sheetData sheetId="2" refreshError="1">
        <row r="20">
          <cell r="G20">
            <v>4631</v>
          </cell>
        </row>
        <row r="24">
          <cell r="G24">
            <v>0</v>
          </cell>
        </row>
        <row r="28">
          <cell r="G28">
            <v>0</v>
          </cell>
        </row>
        <row r="95">
          <cell r="G95">
            <v>4659</v>
          </cell>
        </row>
        <row r="99">
          <cell r="G99">
            <v>9868</v>
          </cell>
        </row>
        <row r="103">
          <cell r="G103">
            <v>11928</v>
          </cell>
        </row>
        <row r="155">
          <cell r="G155">
            <v>3763</v>
          </cell>
        </row>
        <row r="159">
          <cell r="G159">
            <v>11060</v>
          </cell>
        </row>
        <row r="163">
          <cell r="G163">
            <v>6759</v>
          </cell>
        </row>
        <row r="215">
          <cell r="G215">
            <v>10938</v>
          </cell>
        </row>
        <row r="219">
          <cell r="G219">
            <v>19113</v>
          </cell>
        </row>
        <row r="223">
          <cell r="G223">
            <v>5605</v>
          </cell>
        </row>
        <row r="245">
          <cell r="G245">
            <v>1228</v>
          </cell>
        </row>
        <row r="249">
          <cell r="G249">
            <v>9868</v>
          </cell>
        </row>
        <row r="253">
          <cell r="G253">
            <v>7035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zoomScaleNormal="7" zoomScaleSheetLayoutView="4" workbookViewId="0"/>
  </sheetViews>
  <sheetFormatPr defaultRowHeight="13.5"/>
  <sheetData/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28C4-12D9-4BD5-8640-EE030E0AF60E}">
  <sheetPr>
    <tabColor theme="8"/>
  </sheetPr>
  <dimension ref="A1:J35"/>
  <sheetViews>
    <sheetView showGridLines="0" tabSelected="1" zoomScaleNormal="100" zoomScaleSheetLayoutView="145" workbookViewId="0"/>
  </sheetViews>
  <sheetFormatPr defaultColWidth="0" defaultRowHeight="30" customHeight="1" zeroHeight="1"/>
  <cols>
    <col min="1" max="10" width="8.21875" customWidth="1"/>
    <col min="11" max="16384" width="8.88671875" hidden="1"/>
  </cols>
  <sheetData>
    <row r="1" spans="1:10" ht="30" customHeight="1"/>
    <row r="2" spans="1:10" ht="30" customHeight="1"/>
    <row r="3" spans="1:10" ht="30" customHeight="1">
      <c r="A3" s="341" t="s">
        <v>104</v>
      </c>
      <c r="B3" s="341"/>
      <c r="C3" s="341"/>
      <c r="D3" s="341"/>
      <c r="E3" s="341"/>
      <c r="F3" s="341"/>
      <c r="G3" s="341"/>
      <c r="H3" s="341"/>
      <c r="I3" s="341"/>
      <c r="J3" s="341"/>
    </row>
    <row r="4" spans="1:10" ht="30" customHeight="1">
      <c r="A4" s="341"/>
      <c r="B4" s="341"/>
      <c r="C4" s="341"/>
      <c r="D4" s="341"/>
      <c r="E4" s="341"/>
      <c r="F4" s="341"/>
      <c r="G4" s="341"/>
      <c r="H4" s="341"/>
      <c r="I4" s="341"/>
      <c r="J4" s="341"/>
    </row>
    <row r="5" spans="1:10" ht="30" customHeight="1">
      <c r="A5" s="341"/>
      <c r="B5" s="341"/>
      <c r="C5" s="341"/>
      <c r="D5" s="341"/>
      <c r="E5" s="341"/>
      <c r="F5" s="341"/>
      <c r="G5" s="341"/>
      <c r="H5" s="341"/>
      <c r="I5" s="341"/>
      <c r="J5" s="341"/>
    </row>
    <row r="6" spans="1:10" ht="30" customHeight="1">
      <c r="A6" s="342" t="s">
        <v>105</v>
      </c>
      <c r="B6" s="342"/>
      <c r="C6" s="342"/>
      <c r="D6" s="342"/>
      <c r="E6" s="342"/>
      <c r="F6" s="342"/>
      <c r="G6" s="342"/>
      <c r="H6" s="342"/>
      <c r="I6" s="342"/>
      <c r="J6" s="342"/>
    </row>
    <row r="7" spans="1:10" ht="30" customHeight="1">
      <c r="A7" s="343" t="s">
        <v>196</v>
      </c>
      <c r="B7" s="343"/>
      <c r="C7" s="343"/>
      <c r="D7" s="343"/>
      <c r="E7" s="343"/>
      <c r="F7" s="343"/>
      <c r="G7" s="343"/>
      <c r="H7" s="343"/>
      <c r="I7" s="343"/>
      <c r="J7" s="343"/>
    </row>
    <row r="8" spans="1:10" ht="30" customHeight="1">
      <c r="A8" s="80"/>
      <c r="B8" s="80"/>
      <c r="C8" s="80"/>
      <c r="D8" s="80"/>
      <c r="E8" s="80"/>
      <c r="F8" s="80"/>
      <c r="G8" s="80"/>
      <c r="H8" s="80"/>
      <c r="I8" s="80"/>
      <c r="J8" s="80"/>
    </row>
    <row r="9" spans="1:10" ht="30" customHeight="1">
      <c r="A9" s="80"/>
      <c r="B9" s="80"/>
      <c r="C9" s="80"/>
      <c r="D9" s="80"/>
      <c r="E9" s="80"/>
      <c r="F9" s="80"/>
      <c r="G9" s="80"/>
      <c r="H9" s="80"/>
      <c r="I9" s="80"/>
      <c r="J9" s="80"/>
    </row>
    <row r="10" spans="1:10" ht="30" customHeight="1">
      <c r="A10" s="345" t="str">
        <f>"고객명 : "&amp;'1. 견적서'!E9</f>
        <v xml:space="preserve">고객명 : </v>
      </c>
      <c r="B10" s="345"/>
      <c r="C10" s="345"/>
      <c r="D10" s="345"/>
      <c r="E10" s="345"/>
      <c r="F10" s="345"/>
      <c r="G10" s="345"/>
      <c r="H10" s="345"/>
      <c r="I10" s="345"/>
      <c r="J10" s="345"/>
    </row>
    <row r="11" spans="1:10" ht="30" customHeight="1">
      <c r="A11" s="80"/>
      <c r="B11" s="80"/>
      <c r="C11" s="80"/>
      <c r="D11" s="80"/>
      <c r="E11" s="80"/>
      <c r="F11" s="80"/>
      <c r="G11" s="80"/>
      <c r="H11" s="80"/>
      <c r="I11" s="80"/>
      <c r="J11" s="80"/>
    </row>
    <row r="12" spans="1:10" ht="30" customHeight="1">
      <c r="A12" s="80"/>
      <c r="B12" s="80"/>
      <c r="C12" s="80"/>
      <c r="D12" s="80"/>
      <c r="E12" s="80"/>
      <c r="F12" s="80"/>
      <c r="G12" s="80"/>
      <c r="H12" s="80"/>
      <c r="I12" s="80"/>
      <c r="J12" s="80"/>
    </row>
    <row r="13" spans="1:10" ht="30" customHeight="1">
      <c r="A13" s="80"/>
      <c r="B13" s="80"/>
      <c r="C13" s="80"/>
      <c r="D13" s="80"/>
      <c r="E13" s="80"/>
      <c r="F13" s="80"/>
      <c r="G13" s="80"/>
      <c r="H13" s="80"/>
      <c r="I13" s="80"/>
      <c r="J13" s="80"/>
    </row>
    <row r="14" spans="1:10" ht="30" customHeight="1">
      <c r="A14" s="80"/>
      <c r="B14" s="80"/>
      <c r="C14" s="80"/>
      <c r="D14" s="80"/>
      <c r="E14" s="80"/>
      <c r="F14" s="80"/>
      <c r="G14" s="80"/>
      <c r="H14" s="80"/>
      <c r="I14" s="80"/>
      <c r="J14" s="80"/>
    </row>
    <row r="15" spans="1:10" ht="30" customHeight="1">
      <c r="A15" s="80"/>
      <c r="B15" s="80"/>
      <c r="C15" s="80"/>
      <c r="D15" s="80"/>
      <c r="E15" s="80"/>
      <c r="F15" s="80"/>
      <c r="G15" s="80"/>
      <c r="H15" s="80"/>
      <c r="I15" s="80"/>
      <c r="J15" s="80"/>
    </row>
    <row r="16" spans="1:10" ht="30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</row>
    <row r="17" spans="1:10" ht="30" customHeight="1"/>
    <row r="18" spans="1:10" ht="30" customHeight="1">
      <c r="A18" s="344">
        <f ca="1">TODAY()</f>
        <v>46087</v>
      </c>
      <c r="B18" s="344"/>
      <c r="C18" s="344"/>
      <c r="D18" s="344"/>
      <c r="E18" s="344"/>
      <c r="F18" s="344"/>
      <c r="G18" s="344"/>
      <c r="H18" s="344"/>
      <c r="I18" s="344"/>
      <c r="J18" s="344"/>
    </row>
    <row r="19" spans="1:10" ht="24" customHeight="1"/>
    <row r="20" spans="1:10" ht="30" customHeight="1"/>
    <row r="21" spans="1:10" ht="20.100000000000001" customHeight="1"/>
    <row r="22" spans="1:10" ht="24.95" customHeight="1"/>
    <row r="23" spans="1:10" ht="9.9499999999999993" customHeight="1">
      <c r="A23" s="82"/>
      <c r="B23" s="82"/>
      <c r="C23" s="82"/>
      <c r="D23" s="82"/>
      <c r="E23" s="82"/>
      <c r="F23" s="82"/>
      <c r="G23" s="82"/>
      <c r="H23" s="82"/>
      <c r="I23" s="82"/>
      <c r="J23" s="82"/>
    </row>
    <row r="24" spans="1:10" s="81" customFormat="1" ht="17.100000000000001" customHeight="1">
      <c r="A24" s="198" t="s">
        <v>106</v>
      </c>
      <c r="B24" s="82"/>
      <c r="C24" s="82"/>
      <c r="D24" s="82"/>
      <c r="E24" s="82"/>
      <c r="F24" s="82"/>
      <c r="G24" s="82"/>
      <c r="H24" s="82"/>
      <c r="I24" s="82"/>
      <c r="J24" s="82"/>
    </row>
    <row r="25" spans="1:10" s="81" customFormat="1" ht="17.100000000000001" customHeight="1">
      <c r="A25" s="340" t="s">
        <v>180</v>
      </c>
      <c r="B25" s="340"/>
      <c r="C25" s="340"/>
      <c r="D25" s="340"/>
      <c r="E25" s="340"/>
      <c r="F25" s="340"/>
      <c r="G25" s="340"/>
      <c r="H25" s="196"/>
      <c r="I25" s="196"/>
      <c r="J25" s="197" t="s">
        <v>183</v>
      </c>
    </row>
    <row r="26" spans="1:10" s="81" customFormat="1" ht="17.100000000000001" customHeight="1">
      <c r="A26" s="340" t="s">
        <v>181</v>
      </c>
      <c r="B26" s="340"/>
      <c r="C26" s="340"/>
      <c r="D26" s="340"/>
      <c r="E26" s="340"/>
      <c r="F26" s="340"/>
      <c r="G26" s="340"/>
      <c r="H26" s="196"/>
      <c r="I26" s="196"/>
      <c r="J26" s="197" t="s">
        <v>184</v>
      </c>
    </row>
    <row r="27" spans="1:10" s="81" customFormat="1" ht="13.5">
      <c r="A27" s="340" t="s">
        <v>182</v>
      </c>
      <c r="B27" s="340"/>
      <c r="C27" s="340"/>
      <c r="D27" s="340"/>
      <c r="E27" s="340"/>
      <c r="F27" s="340"/>
      <c r="G27" s="340"/>
      <c r="H27" s="196"/>
      <c r="I27" s="196"/>
      <c r="J27" s="197" t="s">
        <v>185</v>
      </c>
    </row>
    <row r="28" spans="1:10" ht="13.5">
      <c r="A28" s="82"/>
      <c r="B28" s="82"/>
      <c r="C28" s="82"/>
      <c r="D28" s="82"/>
      <c r="E28" s="82"/>
      <c r="F28" s="82"/>
      <c r="G28" s="82"/>
      <c r="H28" s="82"/>
      <c r="I28" s="82"/>
      <c r="J28" s="82"/>
    </row>
    <row r="29" spans="1:10" ht="13.5" hidden="1"/>
    <row r="30" spans="1:10" ht="13.5" hidden="1"/>
    <row r="31" spans="1:10" ht="13.5" hidden="1"/>
    <row r="32" spans="1:10" ht="13.5" hidden="1"/>
    <row r="33" ht="13.5" hidden="1"/>
    <row r="34" ht="13.5" hidden="1"/>
    <row r="35" ht="34.5" hidden="1" customHeight="1"/>
  </sheetData>
  <mergeCells count="8">
    <mergeCell ref="A25:G25"/>
    <mergeCell ref="A26:G26"/>
    <mergeCell ref="A27:G27"/>
    <mergeCell ref="A3:J5"/>
    <mergeCell ref="A6:J6"/>
    <mergeCell ref="A7:J7"/>
    <mergeCell ref="A18:J18"/>
    <mergeCell ref="A10:J10"/>
  </mergeCells>
  <phoneticPr fontId="4" type="noConversion"/>
  <printOptions horizontalCentered="1"/>
  <pageMargins left="0.39370078740157483" right="0.39370078740157483" top="0.70866141732283472" bottom="0.70866141732283472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8"/>
  </sheetPr>
  <dimension ref="A1:AL36"/>
  <sheetViews>
    <sheetView showGridLines="0" showZeros="0" zoomScale="70" zoomScaleNormal="70" zoomScaleSheetLayoutView="85" zoomScalePageLayoutView="55" workbookViewId="0"/>
  </sheetViews>
  <sheetFormatPr defaultColWidth="0" defaultRowHeight="13.5" zeroHeight="1"/>
  <cols>
    <col min="1" max="1" width="2.77734375" style="4" customWidth="1"/>
    <col min="2" max="2" width="0.88671875" style="4" customWidth="1"/>
    <col min="3" max="3" width="5.77734375" style="4" customWidth="1"/>
    <col min="4" max="5" width="5.6640625" style="4" customWidth="1"/>
    <col min="6" max="6" width="5.44140625" style="4" customWidth="1"/>
    <col min="7" max="17" width="4.77734375" style="4" customWidth="1"/>
    <col min="18" max="19" width="5.88671875" style="4" customWidth="1"/>
    <col min="20" max="23" width="4.77734375" style="4" customWidth="1"/>
    <col min="24" max="25" width="5.88671875" style="4" customWidth="1"/>
    <col min="26" max="26" width="8.5546875" style="4" customWidth="1"/>
    <col min="27" max="28" width="2.77734375" style="4" customWidth="1"/>
    <col min="29" max="36" width="8.88671875" style="4" hidden="1" customWidth="1"/>
    <col min="37" max="38" width="0" style="4" hidden="1" customWidth="1"/>
    <col min="39" max="16384" width="8.88671875" style="4" hidden="1"/>
  </cols>
  <sheetData>
    <row r="1" spans="1:28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s="6" customFormat="1" ht="48.75">
      <c r="A2" s="422" t="s">
        <v>39</v>
      </c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  <c r="N2" s="423"/>
      <c r="O2" s="423"/>
      <c r="P2" s="423"/>
      <c r="Q2" s="423"/>
      <c r="R2" s="423"/>
      <c r="S2" s="423"/>
      <c r="T2" s="423"/>
      <c r="U2" s="423"/>
      <c r="V2" s="423"/>
      <c r="W2" s="423"/>
      <c r="X2" s="423"/>
      <c r="Y2" s="423"/>
      <c r="Z2" s="423"/>
      <c r="AA2" s="423"/>
      <c r="AB2" s="5"/>
    </row>
    <row r="3" spans="1:28" s="6" customFormat="1" ht="39.75" customHeight="1">
      <c r="A3" s="425" t="s">
        <v>70</v>
      </c>
      <c r="B3" s="426"/>
      <c r="C3" s="426"/>
      <c r="D3" s="426"/>
      <c r="E3" s="426"/>
      <c r="F3" s="426"/>
      <c r="G3" s="426"/>
      <c r="H3" s="426"/>
      <c r="I3" s="426"/>
      <c r="J3" s="426"/>
      <c r="K3" s="426"/>
      <c r="L3" s="426"/>
      <c r="M3" s="426"/>
      <c r="N3" s="426"/>
      <c r="O3" s="426"/>
      <c r="P3" s="426"/>
      <c r="Q3" s="426"/>
      <c r="R3" s="426"/>
      <c r="S3" s="426"/>
      <c r="T3" s="426"/>
      <c r="U3" s="426"/>
      <c r="V3" s="426"/>
      <c r="W3" s="426"/>
      <c r="X3" s="426"/>
      <c r="Y3" s="426"/>
      <c r="Z3" s="426"/>
      <c r="AA3" s="426"/>
      <c r="AB3" s="427"/>
    </row>
    <row r="4" spans="1:28" s="6" customFormat="1" ht="30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424"/>
      <c r="T4" s="424"/>
      <c r="U4" s="424"/>
      <c r="V4" s="424"/>
      <c r="W4" s="424"/>
      <c r="X4" s="424"/>
      <c r="Y4" s="424"/>
      <c r="Z4" s="424"/>
      <c r="AA4" s="424"/>
      <c r="AB4" s="9"/>
    </row>
    <row r="5" spans="1:28" s="6" customFormat="1" ht="39.75" customHeight="1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63"/>
      <c r="T5" s="63"/>
      <c r="U5" s="63"/>
      <c r="V5" s="63"/>
      <c r="W5" s="63"/>
      <c r="X5" s="63"/>
      <c r="Y5" s="63"/>
      <c r="Z5" s="63"/>
      <c r="AA5" s="63"/>
      <c r="AB5" s="9"/>
    </row>
    <row r="6" spans="1:28" s="6" customFormat="1" ht="20.100000000000001" customHeight="1">
      <c r="A6" s="10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3"/>
      <c r="AB6" s="5"/>
    </row>
    <row r="7" spans="1:28" s="6" customFormat="1" ht="20.100000000000001" customHeight="1" thickBot="1">
      <c r="A7" s="10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3"/>
      <c r="AB7" s="5"/>
    </row>
    <row r="8" spans="1:28" s="6" customFormat="1" ht="32.25" customHeight="1">
      <c r="A8" s="10"/>
      <c r="C8" s="220" t="s">
        <v>74</v>
      </c>
      <c r="D8" s="220"/>
      <c r="E8" s="439">
        <f ca="1">TODAY()</f>
        <v>46087</v>
      </c>
      <c r="F8" s="439"/>
      <c r="G8" s="439"/>
      <c r="H8" s="439"/>
      <c r="I8" s="439"/>
      <c r="J8" s="439"/>
      <c r="K8" s="439"/>
      <c r="L8" s="440"/>
      <c r="M8" s="428" t="s">
        <v>29</v>
      </c>
      <c r="N8" s="431" t="s">
        <v>72</v>
      </c>
      <c r="O8" s="432"/>
      <c r="P8" s="433"/>
      <c r="Q8" s="434" t="s">
        <v>73</v>
      </c>
      <c r="R8" s="435"/>
      <c r="S8" s="435"/>
      <c r="T8" s="435"/>
      <c r="U8" s="435"/>
      <c r="V8" s="435"/>
      <c r="W8" s="435"/>
      <c r="X8" s="435"/>
      <c r="Y8" s="435"/>
      <c r="Z8" s="435"/>
      <c r="AA8" s="436"/>
      <c r="AB8" s="5"/>
    </row>
    <row r="9" spans="1:28" s="6" customFormat="1" ht="32.1" customHeight="1">
      <c r="A9" s="11"/>
      <c r="B9" s="221"/>
      <c r="C9" s="220" t="s">
        <v>75</v>
      </c>
      <c r="D9" s="220"/>
      <c r="E9" s="23"/>
      <c r="F9" s="220"/>
      <c r="G9" s="220"/>
      <c r="H9" s="220"/>
      <c r="I9" s="220"/>
      <c r="J9" s="220"/>
      <c r="K9" s="220"/>
      <c r="L9" s="149"/>
      <c r="M9" s="429"/>
      <c r="N9" s="402" t="s">
        <v>24</v>
      </c>
      <c r="O9" s="403"/>
      <c r="P9" s="404"/>
      <c r="Q9" s="418" t="s">
        <v>66</v>
      </c>
      <c r="R9" s="419"/>
      <c r="S9" s="419"/>
      <c r="T9" s="420"/>
      <c r="U9" s="402" t="s">
        <v>25</v>
      </c>
      <c r="V9" s="403"/>
      <c r="W9" s="404"/>
      <c r="X9" s="444" t="s">
        <v>67</v>
      </c>
      <c r="Y9" s="445"/>
      <c r="Z9" s="445"/>
      <c r="AA9" s="446"/>
      <c r="AB9" s="5"/>
    </row>
    <row r="10" spans="1:28" s="6" customFormat="1" ht="32.1" customHeight="1">
      <c r="A10" s="11"/>
      <c r="B10" s="221"/>
      <c r="C10" s="220" t="s">
        <v>76</v>
      </c>
      <c r="D10" s="220"/>
      <c r="E10" s="437" t="s">
        <v>212</v>
      </c>
      <c r="F10" s="437"/>
      <c r="G10" s="437"/>
      <c r="H10" s="437"/>
      <c r="I10" s="437"/>
      <c r="J10" s="437"/>
      <c r="K10" s="437"/>
      <c r="L10" s="438"/>
      <c r="M10" s="429"/>
      <c r="N10" s="402" t="s">
        <v>26</v>
      </c>
      <c r="O10" s="403"/>
      <c r="P10" s="404"/>
      <c r="Q10" s="418" t="s">
        <v>68</v>
      </c>
      <c r="R10" s="419"/>
      <c r="S10" s="419"/>
      <c r="T10" s="419"/>
      <c r="U10" s="419"/>
      <c r="V10" s="419"/>
      <c r="W10" s="419"/>
      <c r="X10" s="419"/>
      <c r="Y10" s="419"/>
      <c r="Z10" s="419"/>
      <c r="AA10" s="441"/>
      <c r="AB10" s="5"/>
    </row>
    <row r="11" spans="1:28" s="6" customFormat="1" ht="32.1" customHeight="1">
      <c r="A11" s="11"/>
      <c r="B11" s="221"/>
      <c r="C11" s="220" t="s">
        <v>48</v>
      </c>
      <c r="D11" s="222"/>
      <c r="E11" s="220"/>
      <c r="F11" s="405" t="s">
        <v>109</v>
      </c>
      <c r="G11" s="405"/>
      <c r="H11" s="405"/>
      <c r="I11" s="405"/>
      <c r="J11" s="405"/>
      <c r="K11" s="405"/>
      <c r="L11" s="406"/>
      <c r="M11" s="429"/>
      <c r="N11" s="402" t="s">
        <v>27</v>
      </c>
      <c r="O11" s="403"/>
      <c r="P11" s="404"/>
      <c r="Q11" s="418" t="s">
        <v>28</v>
      </c>
      <c r="R11" s="419"/>
      <c r="S11" s="419"/>
      <c r="T11" s="420"/>
      <c r="U11" s="402" t="s">
        <v>18</v>
      </c>
      <c r="V11" s="403"/>
      <c r="W11" s="404"/>
      <c r="X11" s="410" t="s">
        <v>69</v>
      </c>
      <c r="Y11" s="411"/>
      <c r="Z11" s="411"/>
      <c r="AA11" s="412"/>
      <c r="AB11" s="5"/>
    </row>
    <row r="12" spans="1:28" s="6" customFormat="1" ht="32.1" customHeight="1" thickBot="1">
      <c r="A12" s="11" t="s">
        <v>49</v>
      </c>
      <c r="B12" s="221"/>
      <c r="C12" s="442" t="s">
        <v>110</v>
      </c>
      <c r="D12" s="442"/>
      <c r="E12" s="442"/>
      <c r="F12" s="442"/>
      <c r="G12" s="442"/>
      <c r="H12" s="442"/>
      <c r="I12" s="442"/>
      <c r="J12" s="442"/>
      <c r="K12" s="442"/>
      <c r="L12" s="443"/>
      <c r="M12" s="430"/>
      <c r="N12" s="415" t="s">
        <v>50</v>
      </c>
      <c r="O12" s="416"/>
      <c r="P12" s="417"/>
      <c r="Q12" s="387"/>
      <c r="R12" s="388"/>
      <c r="S12" s="388"/>
      <c r="T12" s="389"/>
      <c r="U12" s="415" t="s">
        <v>51</v>
      </c>
      <c r="V12" s="416"/>
      <c r="W12" s="417"/>
      <c r="X12" s="387"/>
      <c r="Y12" s="388"/>
      <c r="Z12" s="388"/>
      <c r="AA12" s="413"/>
      <c r="AB12" s="5"/>
    </row>
    <row r="13" spans="1:28" s="6" customFormat="1" ht="20.100000000000001" customHeight="1">
      <c r="A13" s="11" t="s">
        <v>30</v>
      </c>
      <c r="B13" s="221"/>
      <c r="C13" s="224"/>
      <c r="D13" s="222"/>
      <c r="E13" s="222"/>
      <c r="F13" s="421"/>
      <c r="G13" s="421"/>
      <c r="H13" s="421"/>
      <c r="I13" s="421"/>
      <c r="J13" s="421"/>
      <c r="K13" s="225"/>
      <c r="L13" s="225"/>
      <c r="M13" s="12"/>
      <c r="N13" s="409"/>
      <c r="O13" s="409"/>
      <c r="P13" s="409"/>
      <c r="Q13" s="414"/>
      <c r="R13" s="414"/>
      <c r="S13" s="414"/>
      <c r="T13" s="414"/>
      <c r="U13" s="409"/>
      <c r="V13" s="409"/>
      <c r="W13" s="409"/>
      <c r="X13" s="414"/>
      <c r="Y13" s="414"/>
      <c r="Z13" s="414"/>
      <c r="AA13" s="414"/>
      <c r="AB13" s="5"/>
    </row>
    <row r="14" spans="1:28" s="6" customFormat="1" ht="35.1" customHeight="1">
      <c r="A14" s="10"/>
      <c r="B14" s="226"/>
      <c r="C14" s="13"/>
      <c r="D14" s="354" t="s">
        <v>77</v>
      </c>
      <c r="E14" s="355"/>
      <c r="F14" s="355"/>
      <c r="G14" s="355"/>
      <c r="H14" s="355"/>
      <c r="I14" s="14"/>
      <c r="J14" s="69">
        <f>E9</f>
        <v>0</v>
      </c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70"/>
      <c r="AB14" s="15"/>
    </row>
    <row r="15" spans="1:28" s="17" customFormat="1" ht="35.1" customHeight="1">
      <c r="A15" s="16"/>
      <c r="B15" s="227"/>
      <c r="C15" s="13"/>
      <c r="D15" s="354" t="s">
        <v>78</v>
      </c>
      <c r="E15" s="355"/>
      <c r="F15" s="355"/>
      <c r="G15" s="355"/>
      <c r="H15" s="355"/>
      <c r="I15" s="14"/>
      <c r="J15" s="68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67"/>
      <c r="AB15" s="15"/>
    </row>
    <row r="16" spans="1:28" s="17" customFormat="1" ht="35.1" customHeight="1">
      <c r="A16" s="16"/>
      <c r="B16" s="227"/>
      <c r="C16" s="13"/>
      <c r="D16" s="354" t="s">
        <v>199</v>
      </c>
      <c r="E16" s="355"/>
      <c r="F16" s="355"/>
      <c r="G16" s="355"/>
      <c r="H16" s="355"/>
      <c r="I16" s="14"/>
      <c r="J16" s="407"/>
      <c r="K16" s="407"/>
      <c r="L16" s="407"/>
      <c r="M16" s="407"/>
      <c r="N16" s="407"/>
      <c r="O16" s="407"/>
      <c r="P16" s="407"/>
      <c r="Q16" s="407"/>
      <c r="R16" s="407"/>
      <c r="S16" s="407"/>
      <c r="T16" s="407"/>
      <c r="U16" s="407"/>
      <c r="V16" s="407"/>
      <c r="W16" s="407"/>
      <c r="X16" s="407"/>
      <c r="Y16" s="407"/>
      <c r="Z16" s="407"/>
      <c r="AA16" s="408"/>
      <c r="AB16" s="15"/>
    </row>
    <row r="17" spans="1:28" s="17" customFormat="1" ht="39.950000000000003" customHeight="1">
      <c r="A17" s="16"/>
      <c r="B17" s="227"/>
      <c r="C17" s="13"/>
      <c r="D17" s="354" t="s">
        <v>198</v>
      </c>
      <c r="E17" s="355"/>
      <c r="F17" s="355"/>
      <c r="G17" s="355"/>
      <c r="H17" s="355"/>
      <c r="I17" s="14"/>
      <c r="J17" s="358"/>
      <c r="K17" s="358"/>
      <c r="L17" s="358"/>
      <c r="M17" s="358"/>
      <c r="N17" s="358"/>
      <c r="O17" s="358"/>
      <c r="P17" s="358"/>
      <c r="Q17" s="359"/>
      <c r="R17" s="398" t="s">
        <v>55</v>
      </c>
      <c r="S17" s="399"/>
      <c r="T17" s="399"/>
      <c r="U17" s="399"/>
      <c r="V17" s="400"/>
      <c r="W17" s="396"/>
      <c r="X17" s="397"/>
      <c r="Y17" s="397"/>
      <c r="Z17" s="252" t="s">
        <v>56</v>
      </c>
      <c r="AA17" s="253"/>
      <c r="AB17" s="15"/>
    </row>
    <row r="18" spans="1:28" s="6" customFormat="1" ht="35.1" customHeight="1">
      <c r="A18" s="10"/>
      <c r="B18" s="226"/>
      <c r="C18" s="18"/>
      <c r="D18" s="346" t="s">
        <v>197</v>
      </c>
      <c r="E18" s="347"/>
      <c r="F18" s="347"/>
      <c r="G18" s="347"/>
      <c r="H18" s="347"/>
      <c r="I18" s="19"/>
      <c r="J18" s="358"/>
      <c r="K18" s="358"/>
      <c r="L18" s="358"/>
      <c r="M18" s="358"/>
      <c r="N18" s="358"/>
      <c r="O18" s="358"/>
      <c r="P18" s="358"/>
      <c r="Q18" s="359"/>
      <c r="R18" s="398" t="s">
        <v>201</v>
      </c>
      <c r="S18" s="399"/>
      <c r="T18" s="399"/>
      <c r="U18" s="399"/>
      <c r="V18" s="400"/>
      <c r="W18" s="360"/>
      <c r="X18" s="361"/>
      <c r="Y18" s="361"/>
      <c r="Z18" s="361"/>
      <c r="AA18" s="362"/>
      <c r="AB18" s="15"/>
    </row>
    <row r="19" spans="1:28" s="6" customFormat="1" ht="24" customHeight="1">
      <c r="A19" s="10"/>
      <c r="B19" s="226"/>
      <c r="C19" s="13"/>
      <c r="D19" s="354" t="s">
        <v>200</v>
      </c>
      <c r="E19" s="355"/>
      <c r="F19" s="355"/>
      <c r="G19" s="355"/>
      <c r="H19" s="355"/>
      <c r="I19" s="14"/>
      <c r="J19" s="356" t="s">
        <v>267</v>
      </c>
      <c r="K19" s="356"/>
      <c r="L19" s="356"/>
      <c r="M19" s="356"/>
      <c r="N19" s="356"/>
      <c r="O19" s="356"/>
      <c r="P19" s="356"/>
      <c r="Q19" s="356"/>
      <c r="R19" s="356"/>
      <c r="S19" s="356"/>
      <c r="T19" s="356"/>
      <c r="U19" s="356"/>
      <c r="V19" s="356"/>
      <c r="W19" s="356"/>
      <c r="X19" s="356"/>
      <c r="Y19" s="356"/>
      <c r="Z19" s="356"/>
      <c r="AA19" s="357"/>
      <c r="AB19" s="15"/>
    </row>
    <row r="20" spans="1:28" s="6" customFormat="1" ht="20.100000000000001" customHeight="1">
      <c r="A20" s="10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15"/>
    </row>
    <row r="21" spans="1:28" s="23" customFormat="1" ht="47.1" customHeight="1">
      <c r="A21" s="20"/>
      <c r="B21" s="21"/>
      <c r="C21" s="348" t="s">
        <v>71</v>
      </c>
      <c r="D21" s="349"/>
      <c r="E21" s="349"/>
      <c r="F21" s="349"/>
      <c r="G21" s="349"/>
      <c r="H21" s="349"/>
      <c r="I21" s="349"/>
      <c r="J21" s="349"/>
      <c r="K21" s="350"/>
      <c r="L21" s="351" t="s">
        <v>19</v>
      </c>
      <c r="M21" s="352"/>
      <c r="N21" s="352"/>
      <c r="O21" s="353">
        <f>V21</f>
        <v>0</v>
      </c>
      <c r="P21" s="353"/>
      <c r="Q21" s="353"/>
      <c r="R21" s="353"/>
      <c r="S21" s="353"/>
      <c r="T21" s="72" t="s">
        <v>20</v>
      </c>
      <c r="U21" s="72" t="s">
        <v>21</v>
      </c>
      <c r="V21" s="401">
        <f>T27</f>
        <v>0</v>
      </c>
      <c r="W21" s="401"/>
      <c r="X21" s="401"/>
      <c r="Y21" s="401"/>
      <c r="Z21" s="401"/>
      <c r="AA21" s="73" t="s">
        <v>31</v>
      </c>
      <c r="AB21" s="22"/>
    </row>
    <row r="22" spans="1:28" s="6" customFormat="1" ht="35.1" customHeight="1">
      <c r="A22" s="10"/>
      <c r="B22" s="24"/>
      <c r="C22" s="223" t="s">
        <v>32</v>
      </c>
      <c r="D22" s="375" t="s">
        <v>22</v>
      </c>
      <c r="E22" s="376"/>
      <c r="F22" s="376"/>
      <c r="G22" s="376"/>
      <c r="H22" s="376"/>
      <c r="I22" s="376"/>
      <c r="J22" s="376"/>
      <c r="K22" s="377"/>
      <c r="L22" s="375" t="s">
        <v>33</v>
      </c>
      <c r="M22" s="376"/>
      <c r="N22" s="376"/>
      <c r="O22" s="377"/>
      <c r="P22" s="375" t="s">
        <v>34</v>
      </c>
      <c r="Q22" s="376"/>
      <c r="R22" s="376"/>
      <c r="S22" s="377"/>
      <c r="T22" s="375" t="s">
        <v>23</v>
      </c>
      <c r="U22" s="376"/>
      <c r="V22" s="376"/>
      <c r="W22" s="376"/>
      <c r="X22" s="377"/>
      <c r="Y22" s="375" t="s">
        <v>38</v>
      </c>
      <c r="Z22" s="376"/>
      <c r="AA22" s="377"/>
      <c r="AB22" s="5"/>
    </row>
    <row r="23" spans="1:28" s="6" customFormat="1" ht="35.1" customHeight="1">
      <c r="A23" s="10"/>
      <c r="B23" s="24"/>
      <c r="C23" s="65">
        <v>1</v>
      </c>
      <c r="D23" s="390" t="s">
        <v>93</v>
      </c>
      <c r="E23" s="391"/>
      <c r="F23" s="391"/>
      <c r="G23" s="391"/>
      <c r="H23" s="391"/>
      <c r="I23" s="391"/>
      <c r="J23" s="391"/>
      <c r="K23" s="392"/>
      <c r="L23" s="375" t="s">
        <v>91</v>
      </c>
      <c r="M23" s="376"/>
      <c r="N23" s="376"/>
      <c r="O23" s="377"/>
      <c r="P23" s="378">
        <v>1</v>
      </c>
      <c r="Q23" s="379"/>
      <c r="R23" s="379"/>
      <c r="S23" s="380"/>
      <c r="T23" s="393"/>
      <c r="U23" s="394"/>
      <c r="V23" s="394"/>
      <c r="W23" s="394"/>
      <c r="X23" s="395"/>
      <c r="Y23" s="372" t="s">
        <v>107</v>
      </c>
      <c r="Z23" s="373"/>
      <c r="AA23" s="374"/>
      <c r="AB23" s="5"/>
    </row>
    <row r="24" spans="1:28" s="6" customFormat="1" ht="35.1" customHeight="1">
      <c r="A24" s="10"/>
      <c r="B24" s="24"/>
      <c r="C24" s="64">
        <v>2</v>
      </c>
      <c r="D24" s="390" t="s">
        <v>94</v>
      </c>
      <c r="E24" s="391"/>
      <c r="F24" s="391"/>
      <c r="G24" s="391"/>
      <c r="H24" s="391"/>
      <c r="I24" s="391"/>
      <c r="J24" s="391"/>
      <c r="K24" s="392"/>
      <c r="L24" s="375" t="s">
        <v>44</v>
      </c>
      <c r="M24" s="376"/>
      <c r="N24" s="376"/>
      <c r="O24" s="377"/>
      <c r="P24" s="378">
        <v>1</v>
      </c>
      <c r="Q24" s="379"/>
      <c r="R24" s="379"/>
      <c r="S24" s="380"/>
      <c r="T24" s="393"/>
      <c r="U24" s="394"/>
      <c r="V24" s="394"/>
      <c r="W24" s="394"/>
      <c r="X24" s="395"/>
      <c r="Y24" s="372" t="s">
        <v>268</v>
      </c>
      <c r="Z24" s="373"/>
      <c r="AA24" s="374"/>
      <c r="AB24" s="5"/>
    </row>
    <row r="25" spans="1:28" s="6" customFormat="1" ht="35.1" customHeight="1">
      <c r="A25" s="10"/>
      <c r="B25" s="24"/>
      <c r="C25" s="64">
        <v>3</v>
      </c>
      <c r="D25" s="390" t="s">
        <v>90</v>
      </c>
      <c r="E25" s="391"/>
      <c r="F25" s="391"/>
      <c r="G25" s="391"/>
      <c r="H25" s="391"/>
      <c r="I25" s="391"/>
      <c r="J25" s="391"/>
      <c r="K25" s="392"/>
      <c r="L25" s="375" t="s">
        <v>44</v>
      </c>
      <c r="M25" s="376"/>
      <c r="N25" s="376"/>
      <c r="O25" s="377"/>
      <c r="P25" s="378">
        <v>1</v>
      </c>
      <c r="Q25" s="379"/>
      <c r="R25" s="379"/>
      <c r="S25" s="380"/>
      <c r="T25" s="393"/>
      <c r="U25" s="394"/>
      <c r="V25" s="394"/>
      <c r="W25" s="394"/>
      <c r="X25" s="395"/>
      <c r="Y25" s="372"/>
      <c r="Z25" s="373"/>
      <c r="AA25" s="374"/>
      <c r="AB25" s="5"/>
    </row>
    <row r="26" spans="1:28" s="28" customFormat="1" ht="35.1" customHeight="1">
      <c r="A26" s="25"/>
      <c r="B26" s="26"/>
      <c r="C26" s="455" t="s">
        <v>35</v>
      </c>
      <c r="D26" s="455"/>
      <c r="E26" s="455"/>
      <c r="F26" s="455"/>
      <c r="G26" s="455"/>
      <c r="H26" s="455"/>
      <c r="I26" s="455"/>
      <c r="J26" s="455"/>
      <c r="K26" s="456"/>
      <c r="L26" s="454"/>
      <c r="M26" s="455"/>
      <c r="N26" s="455"/>
      <c r="O26" s="456"/>
      <c r="P26" s="457"/>
      <c r="Q26" s="458"/>
      <c r="R26" s="458"/>
      <c r="S26" s="459"/>
      <c r="T26" s="384"/>
      <c r="U26" s="385"/>
      <c r="V26" s="385"/>
      <c r="W26" s="385"/>
      <c r="X26" s="386"/>
      <c r="Y26" s="372"/>
      <c r="Z26" s="373"/>
      <c r="AA26" s="374"/>
      <c r="AB26" s="27"/>
    </row>
    <row r="27" spans="1:28" s="28" customFormat="1" ht="39.75" customHeight="1">
      <c r="A27" s="25"/>
      <c r="B27" s="26"/>
      <c r="C27" s="363" t="s">
        <v>95</v>
      </c>
      <c r="D27" s="364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364"/>
      <c r="P27" s="364"/>
      <c r="Q27" s="364"/>
      <c r="R27" s="364"/>
      <c r="S27" s="365"/>
      <c r="T27" s="381"/>
      <c r="U27" s="382"/>
      <c r="V27" s="382"/>
      <c r="W27" s="382"/>
      <c r="X27" s="383"/>
      <c r="Y27" s="366" t="s">
        <v>210</v>
      </c>
      <c r="Z27" s="367"/>
      <c r="AA27" s="368"/>
      <c r="AB27" s="27"/>
    </row>
    <row r="28" spans="1:28" s="28" customFormat="1" ht="39.75" customHeight="1">
      <c r="A28" s="25"/>
      <c r="B28" s="26"/>
      <c r="C28" s="363" t="s">
        <v>108</v>
      </c>
      <c r="D28" s="364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364"/>
      <c r="P28" s="364"/>
      <c r="Q28" s="364"/>
      <c r="R28" s="364"/>
      <c r="S28" s="365"/>
      <c r="T28" s="381"/>
      <c r="U28" s="382"/>
      <c r="V28" s="382"/>
      <c r="W28" s="382"/>
      <c r="X28" s="383"/>
      <c r="Y28" s="369"/>
      <c r="Z28" s="370"/>
      <c r="AA28" s="371"/>
      <c r="AB28" s="27"/>
    </row>
    <row r="29" spans="1:28" s="6" customFormat="1" ht="24" customHeight="1">
      <c r="A29" s="10"/>
      <c r="C29" s="450"/>
      <c r="D29" s="450"/>
      <c r="E29" s="450"/>
      <c r="F29" s="450"/>
      <c r="G29" s="450"/>
      <c r="H29" s="450"/>
      <c r="I29" s="450"/>
      <c r="J29" s="450"/>
      <c r="K29" s="450"/>
      <c r="L29" s="451"/>
      <c r="M29" s="451"/>
      <c r="N29" s="451"/>
      <c r="O29" s="451"/>
      <c r="P29" s="451"/>
      <c r="Q29" s="451"/>
      <c r="R29" s="451"/>
      <c r="S29" s="451"/>
      <c r="T29" s="452"/>
      <c r="U29" s="452"/>
      <c r="V29" s="452"/>
      <c r="W29" s="452"/>
      <c r="X29" s="452"/>
      <c r="Y29" s="453"/>
      <c r="Z29" s="453"/>
      <c r="AA29" s="453"/>
      <c r="AB29" s="5"/>
    </row>
    <row r="30" spans="1:28" s="6" customFormat="1" ht="39.75" customHeight="1">
      <c r="A30" s="10"/>
      <c r="B30" s="226"/>
      <c r="C30" s="447" t="s">
        <v>234</v>
      </c>
      <c r="D30" s="448"/>
      <c r="E30" s="448"/>
      <c r="F30" s="448"/>
      <c r="G30" s="448"/>
      <c r="H30" s="448"/>
      <c r="I30" s="448"/>
      <c r="J30" s="448"/>
      <c r="K30" s="448"/>
      <c r="L30" s="448"/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8"/>
      <c r="Y30" s="448"/>
      <c r="Z30" s="448"/>
      <c r="AA30" s="449"/>
      <c r="AB30" s="5"/>
    </row>
    <row r="31" spans="1:28" s="31" customFormat="1" ht="39.75" customHeight="1">
      <c r="A31" s="29"/>
      <c r="B31" s="229"/>
      <c r="C31" s="240" t="s">
        <v>252</v>
      </c>
      <c r="D31" s="243"/>
      <c r="E31" s="243"/>
      <c r="F31" s="243"/>
      <c r="G31" s="243"/>
      <c r="H31" s="243"/>
      <c r="I31" s="243"/>
      <c r="J31" s="244"/>
      <c r="K31" s="244"/>
      <c r="L31" s="244"/>
      <c r="M31" s="244"/>
      <c r="N31" s="244"/>
      <c r="O31" s="244"/>
      <c r="P31" s="245" t="s">
        <v>253</v>
      </c>
      <c r="Q31" s="244"/>
      <c r="R31" s="244"/>
      <c r="S31" s="244"/>
      <c r="T31" s="244"/>
      <c r="U31" s="244"/>
      <c r="V31" s="244"/>
      <c r="W31" s="244"/>
      <c r="X31" s="244"/>
      <c r="Y31" s="244"/>
      <c r="Z31" s="244"/>
      <c r="AA31" s="241"/>
      <c r="AB31" s="30"/>
    </row>
    <row r="32" spans="1:28" s="31" customFormat="1" ht="39.75" customHeight="1">
      <c r="A32" s="29"/>
      <c r="B32" s="229"/>
      <c r="C32" s="240" t="s">
        <v>255</v>
      </c>
      <c r="D32" s="243"/>
      <c r="E32" s="243"/>
      <c r="F32" s="243"/>
      <c r="G32" s="243"/>
      <c r="H32" s="243"/>
      <c r="I32" s="243"/>
      <c r="J32" s="244"/>
      <c r="K32" s="244"/>
      <c r="L32" s="244"/>
      <c r="M32" s="244"/>
      <c r="N32" s="244"/>
      <c r="O32" s="244"/>
      <c r="P32" s="245" t="s">
        <v>254</v>
      </c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1"/>
      <c r="AB32" s="30"/>
    </row>
    <row r="33" spans="1:28" s="31" customFormat="1" ht="39.75" customHeight="1">
      <c r="A33" s="29"/>
      <c r="B33" s="229"/>
      <c r="C33" s="242" t="s">
        <v>256</v>
      </c>
      <c r="D33" s="243"/>
      <c r="E33" s="243"/>
      <c r="F33" s="243"/>
      <c r="G33" s="243"/>
      <c r="H33" s="243"/>
      <c r="I33" s="243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1"/>
      <c r="AB33" s="30"/>
    </row>
    <row r="34" spans="1:28" s="31" customFormat="1" ht="39.75" customHeight="1">
      <c r="A34" s="29"/>
      <c r="B34" s="229"/>
      <c r="C34" s="242" t="s">
        <v>257</v>
      </c>
      <c r="D34" s="243"/>
      <c r="E34" s="243"/>
      <c r="F34" s="243"/>
      <c r="G34" s="243"/>
      <c r="H34" s="243"/>
      <c r="I34" s="243"/>
      <c r="J34" s="244"/>
      <c r="K34" s="244"/>
      <c r="L34" s="244"/>
      <c r="M34" s="244"/>
      <c r="N34" s="244"/>
      <c r="O34" s="244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1"/>
      <c r="AB34" s="30"/>
    </row>
    <row r="35" spans="1:28" s="31" customFormat="1" ht="39.75" customHeight="1">
      <c r="A35" s="29"/>
      <c r="B35" s="229"/>
      <c r="C35" s="246" t="s">
        <v>265</v>
      </c>
      <c r="D35" s="247"/>
      <c r="E35" s="247"/>
      <c r="F35" s="247"/>
      <c r="G35" s="247"/>
      <c r="H35" s="247"/>
      <c r="I35" s="247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9"/>
      <c r="AB35" s="30"/>
    </row>
    <row r="36" spans="1:28" s="31" customFormat="1" ht="27.95" customHeight="1" thickBot="1">
      <c r="A36" s="32"/>
      <c r="B36" s="33"/>
      <c r="C36" s="232"/>
      <c r="D36" s="230"/>
      <c r="E36" s="231"/>
      <c r="F36" s="231"/>
      <c r="G36" s="231"/>
      <c r="H36" s="231"/>
      <c r="I36" s="231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4"/>
    </row>
  </sheetData>
  <mergeCells count="84">
    <mergeCell ref="T23:X23"/>
    <mergeCell ref="T25:X25"/>
    <mergeCell ref="L26:O26"/>
    <mergeCell ref="P26:S26"/>
    <mergeCell ref="C26:K26"/>
    <mergeCell ref="C30:AA30"/>
    <mergeCell ref="C29:D29"/>
    <mergeCell ref="E29:K29"/>
    <mergeCell ref="L29:O29"/>
    <mergeCell ref="P29:S29"/>
    <mergeCell ref="T29:X29"/>
    <mergeCell ref="Y29:AA29"/>
    <mergeCell ref="A2:AA2"/>
    <mergeCell ref="S4:AA4"/>
    <mergeCell ref="N9:P9"/>
    <mergeCell ref="Q9:T9"/>
    <mergeCell ref="U9:W9"/>
    <mergeCell ref="A3:AB3"/>
    <mergeCell ref="M8:M12"/>
    <mergeCell ref="N8:P8"/>
    <mergeCell ref="Q8:AA8"/>
    <mergeCell ref="E10:L10"/>
    <mergeCell ref="E8:L8"/>
    <mergeCell ref="Q10:AA10"/>
    <mergeCell ref="N12:P12"/>
    <mergeCell ref="C12:L12"/>
    <mergeCell ref="X9:AA9"/>
    <mergeCell ref="N11:P11"/>
    <mergeCell ref="N10:P10"/>
    <mergeCell ref="F11:L11"/>
    <mergeCell ref="D16:H16"/>
    <mergeCell ref="J16:AA16"/>
    <mergeCell ref="U13:W13"/>
    <mergeCell ref="X11:AA11"/>
    <mergeCell ref="X12:AA12"/>
    <mergeCell ref="X13:AA13"/>
    <mergeCell ref="U12:W12"/>
    <mergeCell ref="Q11:T11"/>
    <mergeCell ref="U11:W11"/>
    <mergeCell ref="D15:H15"/>
    <mergeCell ref="N13:P13"/>
    <mergeCell ref="Q13:T13"/>
    <mergeCell ref="F13:J13"/>
    <mergeCell ref="D14:H14"/>
    <mergeCell ref="Q12:T12"/>
    <mergeCell ref="D25:K25"/>
    <mergeCell ref="D23:K23"/>
    <mergeCell ref="D24:K24"/>
    <mergeCell ref="D17:H17"/>
    <mergeCell ref="J17:Q17"/>
    <mergeCell ref="T24:X24"/>
    <mergeCell ref="W17:Y17"/>
    <mergeCell ref="R17:V17"/>
    <mergeCell ref="R18:V18"/>
    <mergeCell ref="P23:S23"/>
    <mergeCell ref="L22:O22"/>
    <mergeCell ref="L23:O23"/>
    <mergeCell ref="D22:K22"/>
    <mergeCell ref="T22:X22"/>
    <mergeCell ref="V21:Z21"/>
    <mergeCell ref="C27:S27"/>
    <mergeCell ref="Y27:AA28"/>
    <mergeCell ref="Y23:AA23"/>
    <mergeCell ref="Y22:AA22"/>
    <mergeCell ref="Y24:AA24"/>
    <mergeCell ref="Y26:AA26"/>
    <mergeCell ref="Y25:AA25"/>
    <mergeCell ref="P25:S25"/>
    <mergeCell ref="L25:O25"/>
    <mergeCell ref="P24:S24"/>
    <mergeCell ref="L24:O24"/>
    <mergeCell ref="C28:S28"/>
    <mergeCell ref="P22:S22"/>
    <mergeCell ref="T28:X28"/>
    <mergeCell ref="T26:X26"/>
    <mergeCell ref="T27:X27"/>
    <mergeCell ref="D18:H18"/>
    <mergeCell ref="C21:K21"/>
    <mergeCell ref="L21:N21"/>
    <mergeCell ref="O21:S21"/>
    <mergeCell ref="D19:H19"/>
    <mergeCell ref="J19:AA19"/>
    <mergeCell ref="J18:Q18"/>
    <mergeCell ref="W18:AA18"/>
  </mergeCells>
  <phoneticPr fontId="4" type="noConversion"/>
  <printOptions horizontalCentered="1"/>
  <pageMargins left="0.23622047244094491" right="0.23622047244094491" top="0.84" bottom="0.34" header="0.31496062992125984" footer="0.31496062992125984"/>
  <pageSetup paperSize="9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tabColor theme="8"/>
    <pageSetUpPr fitToPage="1"/>
  </sheetPr>
  <dimension ref="A1:XFC36"/>
  <sheetViews>
    <sheetView showGridLines="0" zoomScaleNormal="100" zoomScaleSheetLayoutView="115" workbookViewId="0">
      <selection sqref="A1:J1"/>
    </sheetView>
  </sheetViews>
  <sheetFormatPr defaultColWidth="0" defaultRowHeight="13.5" zeroHeight="1"/>
  <cols>
    <col min="1" max="1" width="3" style="35" customWidth="1"/>
    <col min="2" max="2" width="4.77734375" style="35" customWidth="1"/>
    <col min="3" max="3" width="12.77734375" style="35" customWidth="1"/>
    <col min="4" max="4" width="9.77734375" style="35" customWidth="1"/>
    <col min="5" max="6" width="8.77734375" style="35" customWidth="1"/>
    <col min="7" max="7" width="12.77734375" style="35" customWidth="1"/>
    <col min="8" max="8" width="15.77734375" style="35" customWidth="1"/>
    <col min="9" max="9" width="13.77734375" style="35" customWidth="1"/>
    <col min="10" max="10" width="2.77734375" style="35" customWidth="1"/>
    <col min="11" max="41" width="0" style="35" hidden="1" customWidth="1"/>
    <col min="42" max="16383" width="8.88671875" style="35" hidden="1"/>
    <col min="16384" max="16384" width="23.5546875" style="35" hidden="1" customWidth="1"/>
  </cols>
  <sheetData>
    <row r="1" spans="1:10" ht="35.25" customHeight="1">
      <c r="A1" s="460" t="s">
        <v>117</v>
      </c>
      <c r="B1" s="460"/>
      <c r="C1" s="460"/>
      <c r="D1" s="460"/>
      <c r="E1" s="460"/>
      <c r="F1" s="460"/>
      <c r="G1" s="460"/>
      <c r="H1" s="460"/>
      <c r="I1" s="460"/>
      <c r="J1" s="460"/>
    </row>
    <row r="2" spans="1:10" ht="27.95" customHeight="1" thickBot="1">
      <c r="A2" s="37"/>
      <c r="B2" s="37"/>
      <c r="C2" s="37"/>
      <c r="D2" s="37"/>
      <c r="E2" s="37"/>
      <c r="F2" s="37"/>
      <c r="G2" s="37"/>
      <c r="H2" s="37"/>
      <c r="I2" s="37"/>
    </row>
    <row r="3" spans="1:10" ht="27.95" customHeight="1" thickBot="1">
      <c r="A3" s="474" t="s">
        <v>47</v>
      </c>
      <c r="B3" s="475"/>
      <c r="C3" s="476"/>
      <c r="D3" s="38"/>
      <c r="E3" s="38"/>
      <c r="F3" s="38"/>
      <c r="G3" s="38"/>
      <c r="H3" s="38"/>
      <c r="I3" s="38"/>
    </row>
    <row r="4" spans="1:10" ht="27.95" customHeight="1">
      <c r="A4" s="321" t="s">
        <v>5</v>
      </c>
      <c r="B4" s="39"/>
      <c r="C4" s="40" t="s">
        <v>6</v>
      </c>
      <c r="D4" s="41" t="s">
        <v>41</v>
      </c>
      <c r="E4" s="465" t="s">
        <v>36</v>
      </c>
      <c r="F4" s="466"/>
      <c r="G4" s="42" t="s">
        <v>2</v>
      </c>
      <c r="H4" s="43" t="s">
        <v>40</v>
      </c>
      <c r="I4" s="470" t="s">
        <v>3</v>
      </c>
      <c r="J4" s="471"/>
    </row>
    <row r="5" spans="1:10" ht="27.95" customHeight="1">
      <c r="A5" s="322" t="s">
        <v>8</v>
      </c>
      <c r="B5" s="44"/>
      <c r="C5" s="66" t="s">
        <v>4</v>
      </c>
      <c r="D5" s="45"/>
      <c r="E5" s="477"/>
      <c r="F5" s="478"/>
      <c r="G5" s="478"/>
      <c r="H5" s="478"/>
      <c r="I5" s="478"/>
      <c r="J5" s="479"/>
    </row>
    <row r="6" spans="1:10" ht="27.95" customHeight="1">
      <c r="A6" s="323"/>
      <c r="B6" s="250" t="s">
        <v>99</v>
      </c>
      <c r="C6" s="83" t="s">
        <v>114</v>
      </c>
      <c r="D6" s="45" t="s">
        <v>42</v>
      </c>
      <c r="E6" s="463"/>
      <c r="F6" s="464"/>
      <c r="G6" s="47"/>
      <c r="H6" s="47" t="str">
        <f>IF(E6*G6=0, "", E6*G6)</f>
        <v/>
      </c>
      <c r="I6" s="472"/>
      <c r="J6" s="473"/>
    </row>
    <row r="7" spans="1:10" ht="27.95" customHeight="1">
      <c r="A7" s="323"/>
      <c r="B7" s="250" t="s">
        <v>98</v>
      </c>
      <c r="C7" s="83" t="s">
        <v>114</v>
      </c>
      <c r="D7" s="45" t="s">
        <v>43</v>
      </c>
      <c r="E7" s="463"/>
      <c r="F7" s="464"/>
      <c r="G7" s="47"/>
      <c r="H7" s="47" t="str">
        <f>IF(E7*G7=0, "", E7*G7)</f>
        <v/>
      </c>
      <c r="I7" s="472"/>
      <c r="J7" s="473"/>
    </row>
    <row r="8" spans="1:10" ht="27.95" customHeight="1">
      <c r="A8" s="323"/>
      <c r="B8" s="250" t="s">
        <v>97</v>
      </c>
      <c r="C8" s="83" t="s">
        <v>114</v>
      </c>
      <c r="D8" s="45" t="s">
        <v>42</v>
      </c>
      <c r="E8" s="463"/>
      <c r="F8" s="464"/>
      <c r="G8" s="47"/>
      <c r="H8" s="47" t="str">
        <f>IF(E8*G8=0, "", E8*G8)</f>
        <v/>
      </c>
      <c r="I8" s="472"/>
      <c r="J8" s="473"/>
    </row>
    <row r="9" spans="1:10" ht="27.95" customHeight="1">
      <c r="A9" s="323"/>
      <c r="B9" s="250" t="s">
        <v>96</v>
      </c>
      <c r="C9" s="83" t="s">
        <v>114</v>
      </c>
      <c r="D9" s="58" t="s">
        <v>42</v>
      </c>
      <c r="E9" s="463"/>
      <c r="F9" s="464"/>
      <c r="G9" s="47"/>
      <c r="H9" s="47" t="str">
        <f>IF(E9*G9=0, "", E9*G9)</f>
        <v/>
      </c>
      <c r="I9" s="472"/>
      <c r="J9" s="473"/>
    </row>
    <row r="10" spans="1:10" ht="27.95" customHeight="1">
      <c r="A10" s="467" t="s">
        <v>61</v>
      </c>
      <c r="B10" s="468"/>
      <c r="C10" s="469"/>
      <c r="D10" s="58"/>
      <c r="E10" s="463"/>
      <c r="F10" s="480"/>
      <c r="G10" s="46"/>
      <c r="H10" s="47"/>
      <c r="I10" s="472"/>
      <c r="J10" s="473"/>
    </row>
    <row r="11" spans="1:10" ht="27.95" customHeight="1">
      <c r="A11" s="322" t="s">
        <v>9</v>
      </c>
      <c r="B11" s="44"/>
      <c r="C11" s="66" t="s">
        <v>0</v>
      </c>
      <c r="D11" s="48" t="s">
        <v>44</v>
      </c>
      <c r="E11" s="461" t="s">
        <v>46</v>
      </c>
      <c r="F11" s="462"/>
      <c r="G11" s="49">
        <v>0.1</v>
      </c>
      <c r="H11" s="50"/>
      <c r="I11" s="481" t="s">
        <v>59</v>
      </c>
      <c r="J11" s="482"/>
    </row>
    <row r="12" spans="1:10" ht="27.95" customHeight="1">
      <c r="A12" s="322" t="s">
        <v>10</v>
      </c>
      <c r="B12" s="44"/>
      <c r="C12" s="66" t="s">
        <v>14</v>
      </c>
      <c r="D12" s="48" t="s">
        <v>45</v>
      </c>
      <c r="E12" s="461" t="s">
        <v>46</v>
      </c>
      <c r="F12" s="462"/>
      <c r="G12" s="49">
        <v>1.1000000000000001</v>
      </c>
      <c r="H12" s="50"/>
      <c r="I12" s="523" t="s">
        <v>17</v>
      </c>
      <c r="J12" s="524"/>
    </row>
    <row r="13" spans="1:10" ht="27.95" customHeight="1">
      <c r="A13" s="322" t="s">
        <v>11</v>
      </c>
      <c r="B13" s="44"/>
      <c r="C13" s="66" t="s">
        <v>1</v>
      </c>
      <c r="D13" s="48" t="s">
        <v>44</v>
      </c>
      <c r="E13" s="461" t="s">
        <v>63</v>
      </c>
      <c r="F13" s="462"/>
      <c r="G13" s="49">
        <v>0.2</v>
      </c>
      <c r="H13" s="50"/>
      <c r="I13" s="523" t="s">
        <v>15</v>
      </c>
      <c r="J13" s="524"/>
    </row>
    <row r="14" spans="1:10" ht="27.95" customHeight="1">
      <c r="A14" s="322" t="s">
        <v>12</v>
      </c>
      <c r="B14" s="44"/>
      <c r="C14" s="66" t="s">
        <v>64</v>
      </c>
      <c r="D14" s="48"/>
      <c r="E14" s="461" t="s">
        <v>65</v>
      </c>
      <c r="F14" s="462"/>
      <c r="G14" s="49"/>
      <c r="H14" s="71"/>
      <c r="I14" s="528"/>
      <c r="J14" s="529"/>
    </row>
    <row r="15" spans="1:10" ht="27.95" customHeight="1">
      <c r="A15" s="322" t="s">
        <v>13</v>
      </c>
      <c r="B15" s="44"/>
      <c r="C15" s="66" t="s">
        <v>79</v>
      </c>
      <c r="D15" s="48"/>
      <c r="E15" s="461"/>
      <c r="F15" s="462"/>
      <c r="G15" s="530"/>
      <c r="H15" s="71"/>
      <c r="I15" s="528"/>
      <c r="J15" s="529"/>
    </row>
    <row r="16" spans="1:10" ht="7.5" customHeight="1">
      <c r="A16" s="325"/>
      <c r="B16" s="52"/>
      <c r="C16" s="52"/>
      <c r="D16" s="53"/>
      <c r="E16" s="52"/>
      <c r="F16" s="52"/>
      <c r="G16" s="52"/>
      <c r="H16" s="52"/>
      <c r="I16" s="52"/>
      <c r="J16" s="324"/>
    </row>
    <row r="17" spans="1:10" s="36" customFormat="1" ht="27.95" customHeight="1" thickBot="1">
      <c r="A17" s="326" t="s">
        <v>82</v>
      </c>
      <c r="B17" s="54"/>
      <c r="C17" s="84" t="s">
        <v>62</v>
      </c>
      <c r="D17" s="85"/>
      <c r="E17" s="86"/>
      <c r="F17" s="86"/>
      <c r="G17" s="55"/>
      <c r="H17" s="56"/>
      <c r="I17" s="491"/>
      <c r="J17" s="492"/>
    </row>
    <row r="18" spans="1:10" ht="15" customHeight="1" thickBot="1">
      <c r="A18" s="37"/>
      <c r="B18" s="37"/>
      <c r="C18" s="37"/>
      <c r="D18" s="37"/>
      <c r="E18" s="37"/>
      <c r="F18" s="37"/>
      <c r="G18" s="37"/>
      <c r="H18" s="37"/>
      <c r="I18" s="37"/>
    </row>
    <row r="19" spans="1:10" ht="24" customHeight="1">
      <c r="A19" s="488" t="s">
        <v>127</v>
      </c>
      <c r="B19" s="489"/>
      <c r="C19" s="489"/>
      <c r="D19" s="489"/>
      <c r="E19" s="489"/>
      <c r="F19" s="489"/>
      <c r="G19" s="489"/>
      <c r="H19" s="489"/>
      <c r="I19" s="489"/>
      <c r="J19" s="490"/>
    </row>
    <row r="20" spans="1:10" ht="20.100000000000001" customHeight="1">
      <c r="A20" s="109"/>
      <c r="B20" s="110" t="s">
        <v>187</v>
      </c>
      <c r="C20" s="74"/>
      <c r="D20" s="74"/>
      <c r="E20" s="74"/>
      <c r="F20" s="74"/>
      <c r="G20" s="74"/>
      <c r="H20" s="74"/>
      <c r="I20" s="74"/>
      <c r="J20" s="111"/>
    </row>
    <row r="21" spans="1:10" ht="20.100000000000001" customHeight="1">
      <c r="A21" s="112"/>
      <c r="B21" s="113" t="s">
        <v>190</v>
      </c>
      <c r="C21" s="74"/>
      <c r="D21" s="74"/>
      <c r="E21" s="74"/>
      <c r="F21" s="74"/>
      <c r="G21" s="74"/>
      <c r="H21" s="74"/>
      <c r="I21" s="74"/>
      <c r="J21" s="111"/>
    </row>
    <row r="22" spans="1:10" ht="20.100000000000001" customHeight="1">
      <c r="A22" s="112"/>
      <c r="B22" s="113" t="s">
        <v>191</v>
      </c>
      <c r="C22" s="74"/>
      <c r="D22" s="74"/>
      <c r="E22" s="74"/>
      <c r="F22" s="74"/>
      <c r="G22" s="74"/>
      <c r="H22" s="74"/>
      <c r="I22" s="74"/>
      <c r="J22" s="111"/>
    </row>
    <row r="23" spans="1:10" ht="20.100000000000001" customHeight="1">
      <c r="A23" s="112"/>
      <c r="B23" s="113" t="s">
        <v>192</v>
      </c>
      <c r="C23" s="74"/>
      <c r="D23" s="74"/>
      <c r="E23" s="74"/>
      <c r="F23" s="74"/>
      <c r="G23" s="74"/>
      <c r="H23" s="74"/>
      <c r="I23" s="74"/>
      <c r="J23" s="111"/>
    </row>
    <row r="24" spans="1:10" ht="20.100000000000001" customHeight="1">
      <c r="A24" s="112"/>
      <c r="B24" s="113" t="s">
        <v>193</v>
      </c>
      <c r="C24" s="74"/>
      <c r="D24" s="74"/>
      <c r="E24" s="74"/>
      <c r="F24" s="74"/>
      <c r="G24" s="74"/>
      <c r="H24" s="74"/>
      <c r="I24" s="74"/>
      <c r="J24" s="111"/>
    </row>
    <row r="25" spans="1:10" ht="20.100000000000001" customHeight="1">
      <c r="A25" s="114"/>
      <c r="B25" s="115"/>
      <c r="C25" s="74"/>
      <c r="D25" s="74"/>
      <c r="E25" s="74"/>
      <c r="F25" s="74"/>
      <c r="G25" s="74"/>
      <c r="H25" s="74"/>
      <c r="I25" s="74"/>
      <c r="J25" s="111"/>
    </row>
    <row r="26" spans="1:10" ht="20.100000000000001" customHeight="1">
      <c r="A26" s="109"/>
      <c r="B26" s="110" t="s">
        <v>129</v>
      </c>
      <c r="C26" s="74"/>
      <c r="D26" s="74"/>
      <c r="E26" s="74"/>
      <c r="F26" s="74"/>
      <c r="G26" s="74"/>
      <c r="H26" s="74"/>
      <c r="I26" s="74"/>
      <c r="J26" s="111"/>
    </row>
    <row r="27" spans="1:10">
      <c r="A27" s="116"/>
      <c r="B27" s="493" t="s">
        <v>102</v>
      </c>
      <c r="C27" s="494"/>
      <c r="D27" s="514" t="s">
        <v>122</v>
      </c>
      <c r="E27" s="515"/>
      <c r="F27" s="515"/>
      <c r="G27" s="515"/>
      <c r="H27" s="515"/>
      <c r="I27" s="494"/>
      <c r="J27" s="117"/>
    </row>
    <row r="28" spans="1:10">
      <c r="A28" s="118"/>
      <c r="B28" s="495" t="s">
        <v>118</v>
      </c>
      <c r="C28" s="496"/>
      <c r="D28" s="505" t="s">
        <v>128</v>
      </c>
      <c r="E28" s="506"/>
      <c r="F28" s="506"/>
      <c r="G28" s="506"/>
      <c r="H28" s="506"/>
      <c r="I28" s="507"/>
      <c r="J28" s="119"/>
    </row>
    <row r="29" spans="1:10">
      <c r="A29" s="118"/>
      <c r="B29" s="497"/>
      <c r="C29" s="498"/>
      <c r="D29" s="508"/>
      <c r="E29" s="509"/>
      <c r="F29" s="509"/>
      <c r="G29" s="509"/>
      <c r="H29" s="509"/>
      <c r="I29" s="510"/>
      <c r="J29" s="119"/>
    </row>
    <row r="30" spans="1:10">
      <c r="A30" s="118"/>
      <c r="B30" s="499"/>
      <c r="C30" s="500"/>
      <c r="D30" s="511"/>
      <c r="E30" s="512"/>
      <c r="F30" s="512"/>
      <c r="G30" s="512"/>
      <c r="H30" s="512"/>
      <c r="I30" s="513"/>
      <c r="J30" s="119"/>
    </row>
    <row r="31" spans="1:10">
      <c r="A31" s="118"/>
      <c r="B31" s="501" t="s">
        <v>119</v>
      </c>
      <c r="C31" s="502"/>
      <c r="D31" s="516" t="s">
        <v>123</v>
      </c>
      <c r="E31" s="517"/>
      <c r="F31" s="517"/>
      <c r="G31" s="517"/>
      <c r="H31" s="517"/>
      <c r="I31" s="518"/>
      <c r="J31" s="120"/>
    </row>
    <row r="32" spans="1:10">
      <c r="A32" s="118"/>
      <c r="B32" s="503" t="s">
        <v>120</v>
      </c>
      <c r="C32" s="504"/>
      <c r="D32" s="519" t="s">
        <v>124</v>
      </c>
      <c r="E32" s="520"/>
      <c r="F32" s="520"/>
      <c r="G32" s="520"/>
      <c r="H32" s="520"/>
      <c r="I32" s="521"/>
      <c r="J32" s="120"/>
    </row>
    <row r="33" spans="1:10">
      <c r="A33" s="118"/>
      <c r="B33" s="499"/>
      <c r="C33" s="500"/>
      <c r="D33" s="525" t="s">
        <v>125</v>
      </c>
      <c r="E33" s="526"/>
      <c r="F33" s="526"/>
      <c r="G33" s="526"/>
      <c r="H33" s="526"/>
      <c r="I33" s="527"/>
      <c r="J33" s="120"/>
    </row>
    <row r="34" spans="1:10">
      <c r="A34" s="118"/>
      <c r="B34" s="483" t="s">
        <v>121</v>
      </c>
      <c r="C34" s="484"/>
      <c r="D34" s="485" t="s">
        <v>126</v>
      </c>
      <c r="E34" s="486"/>
      <c r="F34" s="486"/>
      <c r="G34" s="486"/>
      <c r="H34" s="486"/>
      <c r="I34" s="487"/>
      <c r="J34" s="120"/>
    </row>
    <row r="35" spans="1:10" ht="34.5" customHeight="1" thickBot="1">
      <c r="A35" s="121"/>
      <c r="B35" s="122"/>
      <c r="C35" s="122"/>
      <c r="D35" s="122"/>
      <c r="E35" s="122"/>
      <c r="F35" s="122"/>
      <c r="G35" s="122"/>
      <c r="H35" s="122"/>
      <c r="I35" s="122"/>
      <c r="J35" s="123"/>
    </row>
    <row r="36" spans="1:10" ht="30" customHeight="1">
      <c r="A36" s="522"/>
      <c r="B36" s="522"/>
      <c r="C36" s="522"/>
      <c r="D36" s="522"/>
      <c r="E36" s="522"/>
      <c r="F36" s="522"/>
      <c r="G36" s="522"/>
      <c r="H36" s="522"/>
      <c r="I36" s="522"/>
      <c r="J36" s="522"/>
    </row>
  </sheetData>
  <mergeCells count="40">
    <mergeCell ref="A36:J36"/>
    <mergeCell ref="I12:J12"/>
    <mergeCell ref="I13:J13"/>
    <mergeCell ref="D33:I33"/>
    <mergeCell ref="E14:F14"/>
    <mergeCell ref="I14:J14"/>
    <mergeCell ref="I15:J15"/>
    <mergeCell ref="E15:G15"/>
    <mergeCell ref="I10:J10"/>
    <mergeCell ref="E10:F10"/>
    <mergeCell ref="E13:F13"/>
    <mergeCell ref="I11:J11"/>
    <mergeCell ref="B34:C34"/>
    <mergeCell ref="D34:I34"/>
    <mergeCell ref="A19:J19"/>
    <mergeCell ref="I17:J17"/>
    <mergeCell ref="B27:C27"/>
    <mergeCell ref="B28:C30"/>
    <mergeCell ref="B31:C31"/>
    <mergeCell ref="B32:C33"/>
    <mergeCell ref="D28:I30"/>
    <mergeCell ref="D27:I27"/>
    <mergeCell ref="D31:I31"/>
    <mergeCell ref="D32:I32"/>
    <mergeCell ref="A1:J1"/>
    <mergeCell ref="E12:F12"/>
    <mergeCell ref="E11:F11"/>
    <mergeCell ref="E9:F9"/>
    <mergeCell ref="E8:F8"/>
    <mergeCell ref="E7:F7"/>
    <mergeCell ref="E6:F6"/>
    <mergeCell ref="E4:F4"/>
    <mergeCell ref="A10:C10"/>
    <mergeCell ref="I4:J4"/>
    <mergeCell ref="I6:J6"/>
    <mergeCell ref="I7:J7"/>
    <mergeCell ref="I8:J8"/>
    <mergeCell ref="A3:C3"/>
    <mergeCell ref="E5:J5"/>
    <mergeCell ref="I9:J9"/>
  </mergeCells>
  <phoneticPr fontId="4" type="noConversion"/>
  <printOptions horizontalCentered="1"/>
  <pageMargins left="0.39370078740157483" right="0.39370078740157483" top="0.78740157480314965" bottom="0.39370078740157483" header="0.31496062992125984" footer="0.47244094488188981"/>
  <pageSetup paperSize="9" scale="8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BE7B-C807-494F-8040-F42CFDC35488}">
  <sheetPr>
    <tabColor theme="8"/>
    <pageSetUpPr fitToPage="1"/>
  </sheetPr>
  <dimension ref="A1:AO36"/>
  <sheetViews>
    <sheetView showGridLines="0" zoomScaleNormal="100" zoomScaleSheetLayoutView="115" workbookViewId="0">
      <selection sqref="A1:J1"/>
    </sheetView>
  </sheetViews>
  <sheetFormatPr defaultColWidth="0" defaultRowHeight="13.5" zeroHeight="1"/>
  <cols>
    <col min="1" max="1" width="3" style="35" customWidth="1"/>
    <col min="2" max="2" width="4.77734375" style="35" customWidth="1"/>
    <col min="3" max="3" width="12.77734375" style="35" customWidth="1"/>
    <col min="4" max="4" width="9.77734375" style="35" customWidth="1"/>
    <col min="5" max="6" width="8.77734375" style="35" customWidth="1"/>
    <col min="7" max="7" width="12.77734375" style="35" customWidth="1"/>
    <col min="8" max="8" width="15.77734375" style="35" customWidth="1"/>
    <col min="9" max="9" width="13.77734375" style="35" customWidth="1"/>
    <col min="10" max="10" width="2.77734375" style="35" customWidth="1"/>
    <col min="11" max="41" width="0" style="35" hidden="1" customWidth="1"/>
    <col min="42" max="16384" width="8.88671875" style="35" hidden="1"/>
  </cols>
  <sheetData>
    <row r="1" spans="1:10" ht="35.25" customHeight="1">
      <c r="A1" s="460" t="s">
        <v>130</v>
      </c>
      <c r="B1" s="460"/>
      <c r="C1" s="460"/>
      <c r="D1" s="460"/>
      <c r="E1" s="460"/>
      <c r="F1" s="460"/>
      <c r="G1" s="460"/>
      <c r="H1" s="460"/>
      <c r="I1" s="460"/>
      <c r="J1" s="460"/>
    </row>
    <row r="2" spans="1:10" ht="27.95" customHeight="1" thickBot="1">
      <c r="A2" s="37"/>
      <c r="B2" s="37"/>
      <c r="C2" s="37"/>
      <c r="D2" s="37"/>
      <c r="E2" s="37"/>
      <c r="F2" s="37"/>
      <c r="G2" s="37"/>
      <c r="H2" s="37"/>
      <c r="I2" s="37"/>
    </row>
    <row r="3" spans="1:10" ht="27.95" customHeight="1" thickBot="1">
      <c r="A3" s="531" t="s">
        <v>54</v>
      </c>
      <c r="B3" s="532"/>
      <c r="C3" s="533"/>
      <c r="D3" s="38"/>
      <c r="E3" s="38"/>
      <c r="F3" s="38"/>
      <c r="G3" s="38"/>
      <c r="H3" s="38"/>
      <c r="I3" s="38"/>
    </row>
    <row r="4" spans="1:10" ht="27.95" customHeight="1">
      <c r="A4" s="327" t="s">
        <v>5</v>
      </c>
      <c r="B4" s="87"/>
      <c r="C4" s="88" t="s">
        <v>6</v>
      </c>
      <c r="D4" s="89" t="s">
        <v>41</v>
      </c>
      <c r="E4" s="534" t="s">
        <v>36</v>
      </c>
      <c r="F4" s="535"/>
      <c r="G4" s="90" t="s">
        <v>2</v>
      </c>
      <c r="H4" s="90" t="s">
        <v>40</v>
      </c>
      <c r="I4" s="536" t="s">
        <v>3</v>
      </c>
      <c r="J4" s="537"/>
    </row>
    <row r="5" spans="1:10" ht="27.95" customHeight="1">
      <c r="A5" s="328" t="s">
        <v>8</v>
      </c>
      <c r="B5" s="91"/>
      <c r="C5" s="92" t="s">
        <v>37</v>
      </c>
      <c r="D5" s="93"/>
      <c r="E5" s="540"/>
      <c r="F5" s="541"/>
      <c r="G5" s="541"/>
      <c r="H5" s="541"/>
      <c r="I5" s="541"/>
      <c r="J5" s="542"/>
    </row>
    <row r="6" spans="1:10" ht="27.95" customHeight="1">
      <c r="A6" s="329"/>
      <c r="B6" s="94" t="s">
        <v>101</v>
      </c>
      <c r="C6" s="95" t="s">
        <v>113</v>
      </c>
      <c r="D6" s="96" t="s">
        <v>53</v>
      </c>
      <c r="E6" s="538"/>
      <c r="F6" s="539"/>
      <c r="G6" s="46"/>
      <c r="H6" s="47" t="str">
        <f>IF(E6*G6=0, "", E6*G6)</f>
        <v/>
      </c>
      <c r="I6" s="472"/>
      <c r="J6" s="473"/>
    </row>
    <row r="7" spans="1:10" ht="27.95" customHeight="1">
      <c r="A7" s="330"/>
      <c r="B7" s="97" t="s">
        <v>100</v>
      </c>
      <c r="C7" s="98" t="s">
        <v>113</v>
      </c>
      <c r="D7" s="96" t="s">
        <v>53</v>
      </c>
      <c r="E7" s="538"/>
      <c r="F7" s="539"/>
      <c r="G7" s="46"/>
      <c r="H7" s="47" t="str">
        <f>IF(E7*G7=0, "", E7*G7)</f>
        <v/>
      </c>
      <c r="I7" s="472"/>
      <c r="J7" s="473"/>
    </row>
    <row r="8" spans="1:10" ht="27.95" customHeight="1">
      <c r="A8" s="330"/>
      <c r="B8" s="97" t="s">
        <v>111</v>
      </c>
      <c r="C8" s="98" t="s">
        <v>113</v>
      </c>
      <c r="D8" s="96" t="s">
        <v>53</v>
      </c>
      <c r="E8" s="538"/>
      <c r="F8" s="539"/>
      <c r="G8" s="46"/>
      <c r="H8" s="47" t="str">
        <f>IF(E8*G8=0, "", E8*G8)</f>
        <v/>
      </c>
      <c r="I8" s="472"/>
      <c r="J8" s="473"/>
    </row>
    <row r="9" spans="1:10" ht="27.95" customHeight="1">
      <c r="A9" s="330"/>
      <c r="B9" s="97" t="s">
        <v>112</v>
      </c>
      <c r="C9" s="98" t="s">
        <v>113</v>
      </c>
      <c r="D9" s="96" t="s">
        <v>53</v>
      </c>
      <c r="E9" s="538"/>
      <c r="F9" s="539"/>
      <c r="G9" s="46"/>
      <c r="H9" s="47" t="str">
        <f>IF(E9*G9=0, "", E9*G9)</f>
        <v/>
      </c>
      <c r="I9" s="472"/>
      <c r="J9" s="473"/>
    </row>
    <row r="10" spans="1:10" ht="27.95" customHeight="1">
      <c r="A10" s="543" t="s">
        <v>60</v>
      </c>
      <c r="B10" s="544"/>
      <c r="C10" s="545"/>
      <c r="D10" s="96"/>
      <c r="E10" s="546"/>
      <c r="F10" s="547"/>
      <c r="G10" s="59"/>
      <c r="H10" s="57"/>
      <c r="I10" s="472"/>
      <c r="J10" s="473"/>
    </row>
    <row r="11" spans="1:10" ht="27.95" customHeight="1">
      <c r="A11" s="328" t="s">
        <v>9</v>
      </c>
      <c r="B11" s="91"/>
      <c r="C11" s="92" t="s">
        <v>0</v>
      </c>
      <c r="D11" s="251" t="s">
        <v>264</v>
      </c>
      <c r="E11" s="461" t="s">
        <v>52</v>
      </c>
      <c r="F11" s="462"/>
      <c r="G11" s="75">
        <v>0.1</v>
      </c>
      <c r="H11" s="50"/>
      <c r="I11" s="481" t="s">
        <v>59</v>
      </c>
      <c r="J11" s="482"/>
    </row>
    <row r="12" spans="1:10" ht="27.95" customHeight="1">
      <c r="A12" s="328" t="s">
        <v>10</v>
      </c>
      <c r="B12" s="91"/>
      <c r="C12" s="92" t="s">
        <v>14</v>
      </c>
      <c r="D12" s="251" t="s">
        <v>264</v>
      </c>
      <c r="E12" s="461" t="s">
        <v>52</v>
      </c>
      <c r="F12" s="462"/>
      <c r="G12" s="75">
        <v>1.1000000000000001</v>
      </c>
      <c r="H12" s="50"/>
      <c r="I12" s="523" t="s">
        <v>17</v>
      </c>
      <c r="J12" s="524"/>
    </row>
    <row r="13" spans="1:10" ht="27.95" customHeight="1">
      <c r="A13" s="328" t="s">
        <v>11</v>
      </c>
      <c r="B13" s="91"/>
      <c r="C13" s="92" t="s">
        <v>1</v>
      </c>
      <c r="D13" s="251" t="s">
        <v>264</v>
      </c>
      <c r="E13" s="461" t="s">
        <v>63</v>
      </c>
      <c r="F13" s="462"/>
      <c r="G13" s="49">
        <v>0.2</v>
      </c>
      <c r="H13" s="50"/>
      <c r="I13" s="523" t="s">
        <v>15</v>
      </c>
      <c r="J13" s="524"/>
    </row>
    <row r="14" spans="1:10" ht="27.95" customHeight="1">
      <c r="A14" s="331" t="s">
        <v>12</v>
      </c>
      <c r="B14" s="99"/>
      <c r="C14" s="100" t="s">
        <v>7</v>
      </c>
      <c r="D14" s="93"/>
      <c r="E14" s="461" t="s">
        <v>65</v>
      </c>
      <c r="F14" s="462"/>
      <c r="G14" s="49"/>
      <c r="H14" s="71"/>
      <c r="I14" s="528"/>
      <c r="J14" s="529"/>
    </row>
    <row r="15" spans="1:10" ht="27.95" customHeight="1">
      <c r="A15" s="331" t="s">
        <v>81</v>
      </c>
      <c r="B15" s="99"/>
      <c r="C15" s="101" t="s">
        <v>83</v>
      </c>
      <c r="D15" s="93"/>
      <c r="E15" s="461"/>
      <c r="F15" s="462"/>
      <c r="G15" s="530"/>
      <c r="H15" s="51"/>
      <c r="I15" s="528"/>
      <c r="J15" s="529"/>
    </row>
    <row r="16" spans="1:10" ht="7.5" customHeight="1">
      <c r="A16" s="332"/>
      <c r="B16" s="60"/>
      <c r="C16" s="61"/>
      <c r="D16" s="62"/>
      <c r="E16" s="52"/>
      <c r="F16" s="52"/>
      <c r="G16" s="52"/>
      <c r="H16" s="52"/>
      <c r="I16" s="52"/>
      <c r="J16" s="324"/>
    </row>
    <row r="17" spans="1:10" s="36" customFormat="1" ht="27.95" customHeight="1" thickBot="1">
      <c r="A17" s="333" t="s">
        <v>82</v>
      </c>
      <c r="B17" s="102"/>
      <c r="C17" s="103" t="s">
        <v>62</v>
      </c>
      <c r="D17" s="104"/>
      <c r="E17" s="104"/>
      <c r="F17" s="104"/>
      <c r="G17" s="105"/>
      <c r="H17" s="106"/>
      <c r="I17" s="548"/>
      <c r="J17" s="549"/>
    </row>
    <row r="18" spans="1:10" ht="15" customHeight="1" thickBot="1">
      <c r="A18" s="37"/>
      <c r="B18" s="37"/>
      <c r="C18" s="37"/>
      <c r="D18" s="37"/>
      <c r="E18" s="37"/>
      <c r="F18" s="37"/>
      <c r="G18" s="37"/>
      <c r="H18" s="37"/>
      <c r="I18" s="37"/>
    </row>
    <row r="19" spans="1:10" ht="24" customHeight="1">
      <c r="A19" s="550" t="s">
        <v>127</v>
      </c>
      <c r="B19" s="551"/>
      <c r="C19" s="551"/>
      <c r="D19" s="551"/>
      <c r="E19" s="551"/>
      <c r="F19" s="551"/>
      <c r="G19" s="551"/>
      <c r="H19" s="551"/>
      <c r="I19" s="551"/>
      <c r="J19" s="552"/>
    </row>
    <row r="20" spans="1:10" ht="20.100000000000001" customHeight="1">
      <c r="A20" s="109"/>
      <c r="B20" s="110" t="s">
        <v>187</v>
      </c>
      <c r="C20" s="74"/>
      <c r="D20" s="74"/>
      <c r="E20" s="74"/>
      <c r="F20" s="74"/>
      <c r="G20" s="74"/>
      <c r="H20" s="74"/>
      <c r="I20" s="74"/>
      <c r="J20" s="111"/>
    </row>
    <row r="21" spans="1:10" ht="20.100000000000001" customHeight="1">
      <c r="A21" s="112"/>
      <c r="B21" s="113" t="s">
        <v>190</v>
      </c>
      <c r="C21" s="74"/>
      <c r="D21" s="74"/>
      <c r="E21" s="74"/>
      <c r="F21" s="74"/>
      <c r="G21" s="74"/>
      <c r="H21" s="74"/>
      <c r="I21" s="74"/>
      <c r="J21" s="111"/>
    </row>
    <row r="22" spans="1:10" ht="20.100000000000001" customHeight="1">
      <c r="A22" s="112"/>
      <c r="B22" s="113" t="s">
        <v>191</v>
      </c>
      <c r="C22" s="74"/>
      <c r="D22" s="74"/>
      <c r="E22" s="74"/>
      <c r="F22" s="74"/>
      <c r="G22" s="74"/>
      <c r="H22" s="74"/>
      <c r="I22" s="74"/>
      <c r="J22" s="111"/>
    </row>
    <row r="23" spans="1:10" ht="20.100000000000001" customHeight="1">
      <c r="A23" s="112"/>
      <c r="B23" s="113" t="s">
        <v>192</v>
      </c>
      <c r="C23" s="74"/>
      <c r="D23" s="74"/>
      <c r="E23" s="74"/>
      <c r="F23" s="74"/>
      <c r="G23" s="74"/>
      <c r="H23" s="74"/>
      <c r="I23" s="74"/>
      <c r="J23" s="111"/>
    </row>
    <row r="24" spans="1:10" ht="20.100000000000001" customHeight="1">
      <c r="A24" s="112"/>
      <c r="B24" s="113" t="s">
        <v>193</v>
      </c>
      <c r="C24" s="74"/>
      <c r="D24" s="74"/>
      <c r="E24" s="74"/>
      <c r="F24" s="74"/>
      <c r="G24" s="74"/>
      <c r="H24" s="74"/>
      <c r="I24" s="74"/>
      <c r="J24" s="111"/>
    </row>
    <row r="25" spans="1:10" ht="20.100000000000001" customHeight="1">
      <c r="A25" s="114"/>
      <c r="B25" s="115"/>
      <c r="C25" s="74"/>
      <c r="D25" s="74"/>
      <c r="E25" s="74"/>
      <c r="F25" s="74"/>
      <c r="G25" s="74"/>
      <c r="H25" s="74"/>
      <c r="I25" s="74"/>
      <c r="J25" s="111"/>
    </row>
    <row r="26" spans="1:10" ht="20.100000000000001" customHeight="1">
      <c r="A26" s="109"/>
      <c r="B26" s="110" t="s">
        <v>188</v>
      </c>
      <c r="C26" s="74"/>
      <c r="D26" s="74"/>
      <c r="E26" s="74"/>
      <c r="F26" s="74"/>
      <c r="G26" s="74"/>
      <c r="H26" s="74"/>
      <c r="I26" s="74"/>
      <c r="J26" s="111"/>
    </row>
    <row r="27" spans="1:10">
      <c r="A27" s="116"/>
      <c r="B27" s="493" t="s">
        <v>102</v>
      </c>
      <c r="C27" s="494"/>
      <c r="D27" s="514" t="s">
        <v>189</v>
      </c>
      <c r="E27" s="515"/>
      <c r="F27" s="515"/>
      <c r="G27" s="515"/>
      <c r="H27" s="515"/>
      <c r="I27" s="494"/>
      <c r="J27" s="117"/>
    </row>
    <row r="28" spans="1:10">
      <c r="A28" s="118"/>
      <c r="B28" s="495" t="s">
        <v>118</v>
      </c>
      <c r="C28" s="496"/>
      <c r="D28" s="505" t="s">
        <v>131</v>
      </c>
      <c r="E28" s="506"/>
      <c r="F28" s="506"/>
      <c r="G28" s="506"/>
      <c r="H28" s="506"/>
      <c r="I28" s="507"/>
      <c r="J28" s="119"/>
    </row>
    <row r="29" spans="1:10">
      <c r="A29" s="118"/>
      <c r="B29" s="497"/>
      <c r="C29" s="498"/>
      <c r="D29" s="508"/>
      <c r="E29" s="509"/>
      <c r="F29" s="509"/>
      <c r="G29" s="509"/>
      <c r="H29" s="509"/>
      <c r="I29" s="510"/>
      <c r="J29" s="119"/>
    </row>
    <row r="30" spans="1:10">
      <c r="A30" s="118"/>
      <c r="B30" s="499"/>
      <c r="C30" s="500"/>
      <c r="D30" s="511"/>
      <c r="E30" s="512"/>
      <c r="F30" s="512"/>
      <c r="G30" s="512"/>
      <c r="H30" s="512"/>
      <c r="I30" s="513"/>
      <c r="J30" s="119"/>
    </row>
    <row r="31" spans="1:10">
      <c r="A31" s="118"/>
      <c r="B31" s="501" t="s">
        <v>119</v>
      </c>
      <c r="C31" s="502"/>
      <c r="D31" s="516" t="s">
        <v>132</v>
      </c>
      <c r="E31" s="517"/>
      <c r="F31" s="517"/>
      <c r="G31" s="517"/>
      <c r="H31" s="517"/>
      <c r="I31" s="518"/>
      <c r="J31" s="120"/>
    </row>
    <row r="32" spans="1:10">
      <c r="A32" s="118"/>
      <c r="B32" s="503" t="s">
        <v>120</v>
      </c>
      <c r="C32" s="504"/>
      <c r="D32" s="519" t="s">
        <v>133</v>
      </c>
      <c r="E32" s="520"/>
      <c r="F32" s="520"/>
      <c r="G32" s="520"/>
      <c r="H32" s="520"/>
      <c r="I32" s="521"/>
      <c r="J32" s="120"/>
    </row>
    <row r="33" spans="1:10">
      <c r="A33" s="118"/>
      <c r="B33" s="499"/>
      <c r="C33" s="500"/>
      <c r="D33" s="525" t="s">
        <v>134</v>
      </c>
      <c r="E33" s="526"/>
      <c r="F33" s="526"/>
      <c r="G33" s="526"/>
      <c r="H33" s="526"/>
      <c r="I33" s="527"/>
      <c r="J33" s="120"/>
    </row>
    <row r="34" spans="1:10">
      <c r="A34" s="118"/>
      <c r="B34" s="483" t="s">
        <v>121</v>
      </c>
      <c r="C34" s="484"/>
      <c r="D34" s="485" t="s">
        <v>135</v>
      </c>
      <c r="E34" s="486"/>
      <c r="F34" s="486"/>
      <c r="G34" s="486"/>
      <c r="H34" s="486"/>
      <c r="I34" s="487"/>
      <c r="J34" s="120"/>
    </row>
    <row r="35" spans="1:10" ht="34.5" customHeight="1" thickBot="1">
      <c r="A35" s="121"/>
      <c r="B35" s="122"/>
      <c r="C35" s="122"/>
      <c r="D35" s="122"/>
      <c r="E35" s="122"/>
      <c r="F35" s="122"/>
      <c r="G35" s="122"/>
      <c r="H35" s="122"/>
      <c r="I35" s="122"/>
      <c r="J35" s="123"/>
    </row>
    <row r="36" spans="1:10" ht="30" customHeight="1">
      <c r="A36" s="522"/>
      <c r="B36" s="522"/>
      <c r="C36" s="522"/>
      <c r="D36" s="522"/>
      <c r="E36" s="522"/>
      <c r="F36" s="522"/>
      <c r="G36" s="522"/>
      <c r="H36" s="522"/>
      <c r="I36" s="522"/>
      <c r="J36" s="522"/>
    </row>
  </sheetData>
  <mergeCells count="40">
    <mergeCell ref="A36:J36"/>
    <mergeCell ref="B34:C34"/>
    <mergeCell ref="D34:I34"/>
    <mergeCell ref="I17:J17"/>
    <mergeCell ref="A19:J19"/>
    <mergeCell ref="B27:C27"/>
    <mergeCell ref="D27:I27"/>
    <mergeCell ref="B28:C30"/>
    <mergeCell ref="D28:I30"/>
    <mergeCell ref="B31:C31"/>
    <mergeCell ref="D31:I31"/>
    <mergeCell ref="B32:C33"/>
    <mergeCell ref="D32:I32"/>
    <mergeCell ref="D33:I33"/>
    <mergeCell ref="E13:F13"/>
    <mergeCell ref="I13:J13"/>
    <mergeCell ref="E14:F14"/>
    <mergeCell ref="I14:J14"/>
    <mergeCell ref="I15:J15"/>
    <mergeCell ref="E15:G15"/>
    <mergeCell ref="A10:C10"/>
    <mergeCell ref="I10:J10"/>
    <mergeCell ref="E11:F11"/>
    <mergeCell ref="I11:J11"/>
    <mergeCell ref="E12:F12"/>
    <mergeCell ref="I12:J12"/>
    <mergeCell ref="E10:F10"/>
    <mergeCell ref="E7:F7"/>
    <mergeCell ref="I7:J7"/>
    <mergeCell ref="E8:F8"/>
    <mergeCell ref="I8:J8"/>
    <mergeCell ref="E9:F9"/>
    <mergeCell ref="I9:J9"/>
    <mergeCell ref="A1:J1"/>
    <mergeCell ref="A3:C3"/>
    <mergeCell ref="E4:F4"/>
    <mergeCell ref="I4:J4"/>
    <mergeCell ref="E6:F6"/>
    <mergeCell ref="I6:J6"/>
    <mergeCell ref="E5:J5"/>
  </mergeCells>
  <phoneticPr fontId="4" type="noConversion"/>
  <printOptions horizontalCentered="1"/>
  <pageMargins left="0.39370078740157483" right="0.39370078740157483" top="0.78740157480314965" bottom="0.39370078740157483" header="0.31496062992125984" footer="0.47244094488188981"/>
  <pageSetup paperSize="9" scale="89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AB7C-10E1-4075-9C42-CCB5D1486E54}">
  <sheetPr>
    <tabColor theme="8"/>
    <pageSetUpPr fitToPage="1"/>
  </sheetPr>
  <dimension ref="A1:AO36"/>
  <sheetViews>
    <sheetView showGridLines="0" showZeros="0" zoomScaleNormal="100" zoomScaleSheetLayoutView="115" workbookViewId="0">
      <selection sqref="A1:J1"/>
    </sheetView>
  </sheetViews>
  <sheetFormatPr defaultColWidth="0" defaultRowHeight="13.5" zeroHeight="1"/>
  <cols>
    <col min="1" max="1" width="3" style="35" customWidth="1"/>
    <col min="2" max="2" width="4.77734375" style="35" customWidth="1"/>
    <col min="3" max="3" width="12.77734375" style="35" customWidth="1"/>
    <col min="4" max="4" width="9.77734375" style="35" customWidth="1"/>
    <col min="5" max="6" width="8.77734375" style="35" customWidth="1"/>
    <col min="7" max="7" width="12.77734375" style="35" customWidth="1"/>
    <col min="8" max="8" width="15.77734375" style="35" customWidth="1"/>
    <col min="9" max="9" width="13.77734375" style="35" customWidth="1"/>
    <col min="10" max="10" width="2.77734375" style="35" customWidth="1"/>
    <col min="11" max="41" width="0" style="35" hidden="1" customWidth="1"/>
    <col min="42" max="16384" width="8.88671875" style="35" hidden="1"/>
  </cols>
  <sheetData>
    <row r="1" spans="1:10" ht="35.25" customHeight="1">
      <c r="A1" s="460" t="s">
        <v>150</v>
      </c>
      <c r="B1" s="460"/>
      <c r="C1" s="460"/>
      <c r="D1" s="460"/>
      <c r="E1" s="460"/>
      <c r="F1" s="460"/>
      <c r="G1" s="460"/>
      <c r="H1" s="460"/>
      <c r="I1" s="460"/>
      <c r="J1" s="460"/>
    </row>
    <row r="2" spans="1:10" ht="27.95" customHeight="1" thickBot="1">
      <c r="A2" s="37"/>
      <c r="B2" s="37"/>
      <c r="C2" s="37"/>
      <c r="D2" s="37"/>
      <c r="E2" s="37"/>
      <c r="F2" s="37"/>
      <c r="G2" s="37"/>
      <c r="H2" s="37"/>
      <c r="I2" s="37"/>
    </row>
    <row r="3" spans="1:10" ht="27.95" customHeight="1" thickBot="1">
      <c r="A3" s="553" t="s">
        <v>115</v>
      </c>
      <c r="B3" s="554"/>
      <c r="C3" s="555"/>
      <c r="D3" s="38"/>
      <c r="E3" s="38"/>
      <c r="F3" s="38"/>
      <c r="G3" s="38"/>
      <c r="H3" s="38"/>
      <c r="I3" s="38"/>
    </row>
    <row r="4" spans="1:10" ht="27.95" customHeight="1">
      <c r="A4" s="334" t="s">
        <v>5</v>
      </c>
      <c r="B4" s="145"/>
      <c r="C4" s="126" t="s">
        <v>6</v>
      </c>
      <c r="D4" s="127" t="s">
        <v>41</v>
      </c>
      <c r="E4" s="127" t="s">
        <v>116</v>
      </c>
      <c r="F4" s="127" t="s">
        <v>136</v>
      </c>
      <c r="G4" s="128" t="s">
        <v>2</v>
      </c>
      <c r="H4" s="128" t="s">
        <v>40</v>
      </c>
      <c r="I4" s="556" t="s">
        <v>3</v>
      </c>
      <c r="J4" s="557"/>
    </row>
    <row r="5" spans="1:10" ht="27.95" customHeight="1">
      <c r="A5" s="335" t="s">
        <v>8</v>
      </c>
      <c r="B5" s="129"/>
      <c r="C5" s="130" t="s">
        <v>37</v>
      </c>
      <c r="D5" s="131"/>
      <c r="E5" s="540"/>
      <c r="F5" s="541"/>
      <c r="G5" s="541"/>
      <c r="H5" s="541"/>
      <c r="I5" s="541"/>
      <c r="J5" s="542"/>
    </row>
    <row r="6" spans="1:10" ht="27.95" customHeight="1">
      <c r="A6" s="336"/>
      <c r="B6" s="132" t="s">
        <v>101</v>
      </c>
      <c r="C6" s="133" t="s">
        <v>113</v>
      </c>
      <c r="D6" s="134" t="s">
        <v>53</v>
      </c>
      <c r="E6" s="125"/>
      <c r="F6" s="125" t="str">
        <f>IF(E6=1,12,"")</f>
        <v/>
      </c>
      <c r="G6" s="46"/>
      <c r="H6" s="47" t="str">
        <f>IFERROR(E6*F6*G6,"")</f>
        <v/>
      </c>
      <c r="I6" s="472"/>
      <c r="J6" s="473"/>
    </row>
    <row r="7" spans="1:10" ht="27.95" customHeight="1">
      <c r="A7" s="337"/>
      <c r="B7" s="135" t="s">
        <v>100</v>
      </c>
      <c r="C7" s="136" t="s">
        <v>113</v>
      </c>
      <c r="D7" s="134" t="s">
        <v>53</v>
      </c>
      <c r="E7" s="125"/>
      <c r="F7" s="125" t="str">
        <f t="shared" ref="F7:F9" si="0">IF(E7=1,12,"")</f>
        <v/>
      </c>
      <c r="G7" s="46"/>
      <c r="H7" s="47" t="str">
        <f t="shared" ref="H7:H9" si="1">IFERROR(E7*F7*G7,"")</f>
        <v/>
      </c>
      <c r="I7" s="472"/>
      <c r="J7" s="473"/>
    </row>
    <row r="8" spans="1:10" ht="27.95" customHeight="1">
      <c r="A8" s="337"/>
      <c r="B8" s="135" t="s">
        <v>111</v>
      </c>
      <c r="C8" s="136" t="s">
        <v>113</v>
      </c>
      <c r="D8" s="134" t="s">
        <v>53</v>
      </c>
      <c r="E8" s="125"/>
      <c r="F8" s="125" t="str">
        <f t="shared" si="0"/>
        <v/>
      </c>
      <c r="G8" s="46"/>
      <c r="H8" s="47" t="str">
        <f t="shared" si="1"/>
        <v/>
      </c>
      <c r="I8" s="472"/>
      <c r="J8" s="473"/>
    </row>
    <row r="9" spans="1:10" ht="27.95" customHeight="1">
      <c r="A9" s="337"/>
      <c r="B9" s="135" t="s">
        <v>112</v>
      </c>
      <c r="C9" s="136" t="s">
        <v>113</v>
      </c>
      <c r="D9" s="134" t="s">
        <v>53</v>
      </c>
      <c r="E9" s="125"/>
      <c r="F9" s="125" t="str">
        <f t="shared" si="0"/>
        <v/>
      </c>
      <c r="G9" s="46"/>
      <c r="H9" s="47" t="str">
        <f t="shared" si="1"/>
        <v/>
      </c>
      <c r="I9" s="472"/>
      <c r="J9" s="473"/>
    </row>
    <row r="10" spans="1:10" ht="27.95" customHeight="1">
      <c r="A10" s="563" t="s">
        <v>60</v>
      </c>
      <c r="B10" s="564"/>
      <c r="C10" s="565"/>
      <c r="D10" s="134"/>
      <c r="E10" s="546"/>
      <c r="F10" s="547"/>
      <c r="G10" s="59"/>
      <c r="H10" s="57"/>
      <c r="I10" s="472"/>
      <c r="J10" s="473"/>
    </row>
    <row r="11" spans="1:10" ht="27.95" customHeight="1">
      <c r="A11" s="335" t="s">
        <v>9</v>
      </c>
      <c r="B11" s="129"/>
      <c r="C11" s="130" t="s">
        <v>0</v>
      </c>
      <c r="D11" s="131"/>
      <c r="E11" s="461" t="s">
        <v>52</v>
      </c>
      <c r="F11" s="462"/>
      <c r="G11" s="75">
        <v>0</v>
      </c>
      <c r="H11" s="50"/>
      <c r="I11" s="481"/>
      <c r="J11" s="482"/>
    </row>
    <row r="12" spans="1:10" ht="27.95" customHeight="1">
      <c r="A12" s="335" t="s">
        <v>10</v>
      </c>
      <c r="B12" s="129"/>
      <c r="C12" s="130" t="s">
        <v>14</v>
      </c>
      <c r="D12" s="131"/>
      <c r="E12" s="461" t="s">
        <v>52</v>
      </c>
      <c r="F12" s="462"/>
      <c r="G12" s="75">
        <v>0</v>
      </c>
      <c r="H12" s="50"/>
      <c r="I12" s="523"/>
      <c r="J12" s="524"/>
    </row>
    <row r="13" spans="1:10" ht="27.95" customHeight="1">
      <c r="A13" s="335" t="s">
        <v>11</v>
      </c>
      <c r="B13" s="129"/>
      <c r="C13" s="130" t="s">
        <v>1</v>
      </c>
      <c r="D13" s="131"/>
      <c r="E13" s="461" t="s">
        <v>63</v>
      </c>
      <c r="F13" s="462"/>
      <c r="G13" s="49">
        <v>0</v>
      </c>
      <c r="H13" s="50"/>
      <c r="I13" s="523"/>
      <c r="J13" s="524"/>
    </row>
    <row r="14" spans="1:10" ht="27.95" customHeight="1">
      <c r="A14" s="338" t="s">
        <v>12</v>
      </c>
      <c r="B14" s="137"/>
      <c r="C14" s="138" t="s">
        <v>7</v>
      </c>
      <c r="D14" s="131"/>
      <c r="E14" s="461" t="s">
        <v>65</v>
      </c>
      <c r="F14" s="462"/>
      <c r="G14" s="49"/>
      <c r="H14" s="50"/>
      <c r="I14" s="528"/>
      <c r="J14" s="529"/>
    </row>
    <row r="15" spans="1:10" ht="27.95" customHeight="1">
      <c r="A15" s="338" t="s">
        <v>81</v>
      </c>
      <c r="B15" s="137"/>
      <c r="C15" s="139" t="s">
        <v>83</v>
      </c>
      <c r="D15" s="131"/>
      <c r="E15" s="461"/>
      <c r="F15" s="462"/>
      <c r="G15" s="530"/>
      <c r="H15" s="51"/>
      <c r="I15" s="528"/>
      <c r="J15" s="529"/>
    </row>
    <row r="16" spans="1:10" ht="7.5" customHeight="1">
      <c r="A16" s="332"/>
      <c r="B16" s="60"/>
      <c r="C16" s="61"/>
      <c r="D16" s="62"/>
      <c r="E16" s="52"/>
      <c r="F16" s="52"/>
      <c r="G16" s="52"/>
      <c r="H16" s="52"/>
      <c r="I16" s="52"/>
      <c r="J16" s="324"/>
    </row>
    <row r="17" spans="1:10" s="36" customFormat="1" ht="27.95" customHeight="1" thickBot="1">
      <c r="A17" s="339" t="s">
        <v>82</v>
      </c>
      <c r="B17" s="140"/>
      <c r="C17" s="141" t="s">
        <v>62</v>
      </c>
      <c r="D17" s="142"/>
      <c r="E17" s="142"/>
      <c r="F17" s="142"/>
      <c r="G17" s="143"/>
      <c r="H17" s="144"/>
      <c r="I17" s="561"/>
      <c r="J17" s="562"/>
    </row>
    <row r="18" spans="1:10" ht="15" customHeight="1" thickBot="1">
      <c r="A18" s="37"/>
      <c r="B18" s="37"/>
      <c r="C18" s="37"/>
      <c r="D18" s="37"/>
      <c r="E18" s="37"/>
      <c r="F18" s="37"/>
      <c r="G18" s="37"/>
      <c r="H18" s="37"/>
      <c r="I18" s="37"/>
    </row>
    <row r="19" spans="1:10" ht="24" customHeight="1">
      <c r="A19" s="558" t="s">
        <v>127</v>
      </c>
      <c r="B19" s="559"/>
      <c r="C19" s="559"/>
      <c r="D19" s="559"/>
      <c r="E19" s="559"/>
      <c r="F19" s="559"/>
      <c r="G19" s="559"/>
      <c r="H19" s="559"/>
      <c r="I19" s="559"/>
      <c r="J19" s="560"/>
    </row>
    <row r="20" spans="1:10" ht="20.100000000000001" customHeight="1">
      <c r="A20" s="109"/>
      <c r="B20" s="110" t="s">
        <v>187</v>
      </c>
      <c r="C20" s="74"/>
      <c r="D20" s="74"/>
      <c r="E20" s="74"/>
      <c r="F20" s="74"/>
      <c r="G20" s="74"/>
      <c r="H20" s="74"/>
      <c r="I20" s="74"/>
      <c r="J20" s="111"/>
    </row>
    <row r="21" spans="1:10" ht="20.100000000000001" customHeight="1">
      <c r="A21" s="112"/>
      <c r="B21" s="113" t="s">
        <v>190</v>
      </c>
      <c r="C21" s="74"/>
      <c r="D21" s="74"/>
      <c r="E21" s="74"/>
      <c r="F21" s="74"/>
      <c r="G21" s="74"/>
      <c r="H21" s="74"/>
      <c r="I21" s="74"/>
      <c r="J21" s="111"/>
    </row>
    <row r="22" spans="1:10" ht="20.100000000000001" customHeight="1">
      <c r="A22" s="112"/>
      <c r="B22" s="113" t="s">
        <v>191</v>
      </c>
      <c r="C22" s="74"/>
      <c r="D22" s="74"/>
      <c r="E22" s="74"/>
      <c r="F22" s="74"/>
      <c r="G22" s="74"/>
      <c r="H22" s="74"/>
      <c r="I22" s="74"/>
      <c r="J22" s="111"/>
    </row>
    <row r="23" spans="1:10" ht="20.100000000000001" customHeight="1">
      <c r="A23" s="112"/>
      <c r="B23" s="113" t="s">
        <v>192</v>
      </c>
      <c r="C23" s="74"/>
      <c r="D23" s="74"/>
      <c r="E23" s="74"/>
      <c r="F23" s="74"/>
      <c r="G23" s="74"/>
      <c r="H23" s="74"/>
      <c r="I23" s="74"/>
      <c r="J23" s="111"/>
    </row>
    <row r="24" spans="1:10" ht="20.100000000000001" customHeight="1">
      <c r="A24" s="112"/>
      <c r="B24" s="113" t="s">
        <v>193</v>
      </c>
      <c r="C24" s="74"/>
      <c r="D24" s="74"/>
      <c r="E24" s="74"/>
      <c r="F24" s="74"/>
      <c r="G24" s="74"/>
      <c r="H24" s="74"/>
      <c r="I24" s="74"/>
      <c r="J24" s="111"/>
    </row>
    <row r="25" spans="1:10" ht="20.100000000000001" customHeight="1">
      <c r="A25" s="114"/>
      <c r="B25" s="115"/>
      <c r="C25" s="74"/>
      <c r="D25" s="74"/>
      <c r="E25" s="74"/>
      <c r="F25" s="74"/>
      <c r="G25" s="74"/>
      <c r="H25" s="74"/>
      <c r="I25" s="74"/>
      <c r="J25" s="111"/>
    </row>
    <row r="26" spans="1:10" ht="20.100000000000001" customHeight="1">
      <c r="A26" s="109"/>
      <c r="B26" s="110" t="s">
        <v>194</v>
      </c>
      <c r="C26" s="74"/>
      <c r="D26" s="74"/>
      <c r="E26" s="74"/>
      <c r="F26" s="74"/>
      <c r="G26" s="74"/>
      <c r="H26" s="74"/>
      <c r="I26" s="74"/>
      <c r="J26" s="111"/>
    </row>
    <row r="27" spans="1:10">
      <c r="A27" s="116"/>
      <c r="B27" s="580" t="s">
        <v>195</v>
      </c>
      <c r="C27" s="581"/>
      <c r="D27" s="581"/>
      <c r="E27" s="573"/>
      <c r="F27" s="572" t="s">
        <v>140</v>
      </c>
      <c r="G27" s="573"/>
      <c r="H27" s="203" t="s">
        <v>145</v>
      </c>
      <c r="I27" s="203" t="s">
        <v>186</v>
      </c>
      <c r="J27" s="117"/>
    </row>
    <row r="28" spans="1:10">
      <c r="A28" s="118"/>
      <c r="B28" s="582" t="s">
        <v>137</v>
      </c>
      <c r="C28" s="583"/>
      <c r="D28" s="583"/>
      <c r="E28" s="584"/>
      <c r="F28" s="574" t="s">
        <v>141</v>
      </c>
      <c r="G28" s="575"/>
      <c r="H28" s="146" t="s">
        <v>146</v>
      </c>
      <c r="I28" s="201">
        <v>46040</v>
      </c>
      <c r="J28" s="119"/>
    </row>
    <row r="29" spans="1:10">
      <c r="A29" s="118"/>
      <c r="B29" s="566" t="s">
        <v>138</v>
      </c>
      <c r="C29" s="567"/>
      <c r="D29" s="567"/>
      <c r="E29" s="568"/>
      <c r="F29" s="576" t="s">
        <v>142</v>
      </c>
      <c r="G29" s="577"/>
      <c r="H29" s="147" t="s">
        <v>146</v>
      </c>
      <c r="I29" s="202">
        <v>46040</v>
      </c>
      <c r="J29" s="119"/>
    </row>
    <row r="30" spans="1:10">
      <c r="A30" s="118"/>
      <c r="B30" s="566" t="s">
        <v>139</v>
      </c>
      <c r="C30" s="567"/>
      <c r="D30" s="567"/>
      <c r="E30" s="568"/>
      <c r="F30" s="576" t="s">
        <v>143</v>
      </c>
      <c r="G30" s="577"/>
      <c r="H30" s="147" t="s">
        <v>146</v>
      </c>
      <c r="I30" s="202">
        <v>46252</v>
      </c>
      <c r="J30" s="119"/>
    </row>
    <row r="31" spans="1:10">
      <c r="A31" s="118"/>
      <c r="B31" s="566" t="s">
        <v>147</v>
      </c>
      <c r="C31" s="567"/>
      <c r="D31" s="567"/>
      <c r="E31" s="568"/>
      <c r="F31" s="576" t="s">
        <v>144</v>
      </c>
      <c r="G31" s="577"/>
      <c r="H31" s="147" t="s">
        <v>146</v>
      </c>
      <c r="I31" s="202">
        <v>46252</v>
      </c>
      <c r="J31" s="120"/>
    </row>
    <row r="32" spans="1:10">
      <c r="A32" s="118"/>
      <c r="B32" s="569" t="s">
        <v>266</v>
      </c>
      <c r="C32" s="570"/>
      <c r="D32" s="570"/>
      <c r="E32" s="571"/>
      <c r="F32" s="578" t="s">
        <v>144</v>
      </c>
      <c r="G32" s="579"/>
      <c r="H32" s="204" t="s">
        <v>146</v>
      </c>
      <c r="I32" s="205">
        <v>46617</v>
      </c>
      <c r="J32" s="120"/>
    </row>
    <row r="33" spans="1:10">
      <c r="A33" s="118"/>
      <c r="B33" s="148" t="s">
        <v>148</v>
      </c>
      <c r="C33" s="108"/>
      <c r="D33" s="108"/>
      <c r="E33" s="108"/>
      <c r="F33" s="108"/>
      <c r="G33" s="108"/>
      <c r="H33" s="108"/>
      <c r="I33" s="108"/>
      <c r="J33" s="120"/>
    </row>
    <row r="34" spans="1:10">
      <c r="A34" s="118"/>
      <c r="B34" s="148" t="s">
        <v>149</v>
      </c>
      <c r="C34" s="108"/>
      <c r="D34" s="108"/>
      <c r="E34" s="108"/>
      <c r="F34" s="108"/>
      <c r="G34" s="108"/>
      <c r="H34" s="108"/>
      <c r="I34" s="108"/>
      <c r="J34" s="120"/>
    </row>
    <row r="35" spans="1:10" ht="34.5" customHeight="1" thickBot="1">
      <c r="A35" s="121"/>
      <c r="B35" s="122"/>
      <c r="C35" s="122"/>
      <c r="D35" s="122"/>
      <c r="E35" s="122"/>
      <c r="F35" s="122"/>
      <c r="G35" s="122"/>
      <c r="H35" s="122"/>
      <c r="I35" s="122"/>
      <c r="J35" s="123"/>
    </row>
    <row r="36" spans="1:10" ht="30" customHeight="1">
      <c r="A36" s="522"/>
      <c r="B36" s="522"/>
      <c r="C36" s="522"/>
      <c r="D36" s="522"/>
      <c r="E36" s="522"/>
      <c r="F36" s="522"/>
      <c r="G36" s="522"/>
      <c r="H36" s="522"/>
      <c r="I36" s="522"/>
      <c r="J36" s="522"/>
    </row>
  </sheetData>
  <mergeCells count="36">
    <mergeCell ref="A36:J36"/>
    <mergeCell ref="B31:E31"/>
    <mergeCell ref="B32:E32"/>
    <mergeCell ref="F27:G27"/>
    <mergeCell ref="F28:G28"/>
    <mergeCell ref="F29:G29"/>
    <mergeCell ref="F30:G30"/>
    <mergeCell ref="F31:G31"/>
    <mergeCell ref="F32:G32"/>
    <mergeCell ref="B27:E27"/>
    <mergeCell ref="B28:E28"/>
    <mergeCell ref="B29:E29"/>
    <mergeCell ref="B30:E30"/>
    <mergeCell ref="A10:C10"/>
    <mergeCell ref="E10:F10"/>
    <mergeCell ref="I10:J10"/>
    <mergeCell ref="E11:F11"/>
    <mergeCell ref="I11:J11"/>
    <mergeCell ref="A19:J19"/>
    <mergeCell ref="E13:F13"/>
    <mergeCell ref="I13:J13"/>
    <mergeCell ref="E14:F14"/>
    <mergeCell ref="I14:J14"/>
    <mergeCell ref="I15:J15"/>
    <mergeCell ref="I17:J17"/>
    <mergeCell ref="A1:J1"/>
    <mergeCell ref="A3:C3"/>
    <mergeCell ref="I4:J4"/>
    <mergeCell ref="I6:J6"/>
    <mergeCell ref="E5:J5"/>
    <mergeCell ref="E12:F12"/>
    <mergeCell ref="I12:J12"/>
    <mergeCell ref="I7:J7"/>
    <mergeCell ref="E15:G15"/>
    <mergeCell ref="I8:J8"/>
    <mergeCell ref="I9:J9"/>
  </mergeCells>
  <phoneticPr fontId="4" type="noConversion"/>
  <printOptions horizontalCentered="1"/>
  <pageMargins left="0.39370078740157483" right="0.39370078740157483" top="0.78740157480314965" bottom="0.39370078740157483" header="0.31496062992125984" footer="0.47244094488188981"/>
  <pageSetup paperSize="9" scale="89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99AA-C8D1-459E-8583-DC86818962E0}">
  <sheetPr>
    <tabColor theme="8"/>
    <pageSetUpPr fitToPage="1"/>
  </sheetPr>
  <dimension ref="A1:Z40"/>
  <sheetViews>
    <sheetView showGridLines="0" showZeros="0" view="pageBreakPreview" zoomScale="85" zoomScaleNormal="85" zoomScaleSheetLayoutView="85" workbookViewId="0">
      <selection sqref="A1:Y1"/>
    </sheetView>
  </sheetViews>
  <sheetFormatPr defaultColWidth="3.77734375" defaultRowHeight="20.100000000000001" customHeight="1"/>
  <cols>
    <col min="1" max="11" width="4" style="35" customWidth="1"/>
    <col min="12" max="14" width="2.77734375" style="35" customWidth="1"/>
    <col min="15" max="25" width="4" style="35" customWidth="1"/>
    <col min="26" max="16384" width="3.77734375" style="35"/>
  </cols>
  <sheetData>
    <row r="1" spans="1:26" ht="35.1" customHeight="1">
      <c r="A1" s="626" t="s">
        <v>179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8"/>
    </row>
    <row r="2" spans="1:26" s="158" customFormat="1" ht="21" customHeight="1">
      <c r="A2" s="181"/>
      <c r="B2" s="150"/>
      <c r="C2" s="150"/>
      <c r="D2" s="150"/>
      <c r="E2" s="150"/>
      <c r="F2" s="150"/>
      <c r="G2" s="150"/>
      <c r="H2" s="150"/>
      <c r="Y2" s="182"/>
    </row>
    <row r="3" spans="1:26" s="158" customFormat="1" ht="21" customHeight="1" thickBot="1">
      <c r="A3" s="181"/>
      <c r="B3" s="150"/>
      <c r="C3" s="150"/>
      <c r="D3" s="150"/>
      <c r="E3" s="150"/>
      <c r="F3" s="150"/>
      <c r="G3" s="150"/>
      <c r="H3" s="150"/>
      <c r="Y3" s="182"/>
    </row>
    <row r="4" spans="1:26" s="158" customFormat="1" ht="21" customHeight="1">
      <c r="A4" s="183"/>
      <c r="B4" s="585" t="s">
        <v>151</v>
      </c>
      <c r="C4" s="586"/>
      <c r="D4" s="586"/>
      <c r="E4" s="586"/>
      <c r="F4" s="586"/>
      <c r="G4" s="586"/>
      <c r="H4" s="586"/>
      <c r="I4" s="586"/>
      <c r="J4" s="586"/>
      <c r="K4" s="587"/>
      <c r="O4" s="585" t="s">
        <v>165</v>
      </c>
      <c r="P4" s="586"/>
      <c r="Q4" s="586"/>
      <c r="R4" s="586"/>
      <c r="S4" s="586"/>
      <c r="T4" s="586"/>
      <c r="U4" s="586"/>
      <c r="V4" s="586"/>
      <c r="W4" s="586"/>
      <c r="X4" s="587"/>
      <c r="Y4" s="182"/>
    </row>
    <row r="5" spans="1:26" s="158" customFormat="1" ht="21" customHeight="1" thickBot="1">
      <c r="A5" s="181"/>
      <c r="B5" s="588"/>
      <c r="C5" s="589"/>
      <c r="D5" s="589"/>
      <c r="E5" s="589"/>
      <c r="F5" s="589"/>
      <c r="G5" s="589"/>
      <c r="H5" s="589"/>
      <c r="I5" s="589"/>
      <c r="J5" s="589"/>
      <c r="K5" s="590"/>
      <c r="O5" s="588"/>
      <c r="P5" s="589"/>
      <c r="Q5" s="589"/>
      <c r="R5" s="589"/>
      <c r="S5" s="589"/>
      <c r="T5" s="589"/>
      <c r="U5" s="589"/>
      <c r="V5" s="589"/>
      <c r="W5" s="589"/>
      <c r="X5" s="590"/>
      <c r="Y5" s="182"/>
    </row>
    <row r="6" spans="1:26" s="158" customFormat="1" ht="21" customHeight="1" thickBot="1">
      <c r="A6" s="184"/>
      <c r="B6" s="38"/>
      <c r="C6" s="153"/>
      <c r="D6" s="38"/>
      <c r="E6" s="38"/>
      <c r="F6" s="38"/>
      <c r="G6" s="38"/>
      <c r="H6" s="38"/>
      <c r="I6" s="38"/>
      <c r="Y6" s="182"/>
    </row>
    <row r="7" spans="1:26" s="158" customFormat="1" ht="21" customHeight="1">
      <c r="A7" s="183"/>
      <c r="B7" s="38"/>
      <c r="C7" s="150"/>
      <c r="D7" s="154"/>
      <c r="E7" s="154"/>
      <c r="F7" s="155"/>
      <c r="G7" s="600" t="s">
        <v>152</v>
      </c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2"/>
      <c r="T7" s="199"/>
      <c r="U7" s="159"/>
      <c r="V7" s="159"/>
      <c r="W7" s="159"/>
      <c r="X7" s="159"/>
      <c r="Y7" s="185"/>
      <c r="Z7" s="159"/>
    </row>
    <row r="8" spans="1:26" s="158" customFormat="1" ht="21" customHeight="1">
      <c r="A8" s="116"/>
      <c r="B8" s="107"/>
      <c r="C8" s="150"/>
      <c r="D8" s="154"/>
      <c r="E8" s="154"/>
      <c r="F8" s="155"/>
      <c r="G8" s="603"/>
      <c r="H8" s="604"/>
      <c r="I8" s="604"/>
      <c r="J8" s="604"/>
      <c r="K8" s="604"/>
      <c r="L8" s="604"/>
      <c r="M8" s="604"/>
      <c r="N8" s="604"/>
      <c r="O8" s="604"/>
      <c r="P8" s="604"/>
      <c r="Q8" s="604"/>
      <c r="R8" s="604"/>
      <c r="S8" s="605"/>
      <c r="T8" s="199"/>
      <c r="U8" s="159"/>
      <c r="V8" s="159"/>
      <c r="W8" s="159"/>
      <c r="X8" s="159"/>
      <c r="Y8" s="185"/>
      <c r="Z8" s="159"/>
    </row>
    <row r="9" spans="1:26" s="158" customFormat="1" ht="21" customHeight="1" thickBot="1">
      <c r="A9" s="116"/>
      <c r="B9" s="107"/>
      <c r="C9" s="150"/>
      <c r="D9" s="154"/>
      <c r="E9" s="154"/>
      <c r="F9" s="155"/>
      <c r="G9" s="606"/>
      <c r="H9" s="607"/>
      <c r="I9" s="607"/>
      <c r="J9" s="607"/>
      <c r="K9" s="607"/>
      <c r="L9" s="607"/>
      <c r="M9" s="607"/>
      <c r="N9" s="607"/>
      <c r="O9" s="607"/>
      <c r="P9" s="607"/>
      <c r="Q9" s="607"/>
      <c r="R9" s="607"/>
      <c r="S9" s="608"/>
      <c r="T9" s="199"/>
      <c r="U9" s="159"/>
      <c r="V9" s="159"/>
      <c r="W9" s="159"/>
      <c r="X9" s="159"/>
      <c r="Y9" s="185"/>
      <c r="Z9" s="159"/>
    </row>
    <row r="10" spans="1:26" s="158" customFormat="1" ht="21" customHeight="1">
      <c r="A10" s="116"/>
      <c r="B10" s="107"/>
      <c r="C10" s="150"/>
      <c r="D10" s="154"/>
      <c r="E10" s="154"/>
      <c r="F10" s="164"/>
      <c r="G10" s="155"/>
      <c r="H10" s="155"/>
      <c r="I10" s="155"/>
      <c r="R10" s="159"/>
      <c r="S10" s="200"/>
      <c r="T10" s="159"/>
      <c r="U10" s="159"/>
      <c r="V10" s="159"/>
      <c r="W10" s="159"/>
      <c r="X10" s="159"/>
      <c r="Y10" s="185"/>
      <c r="Z10" s="159"/>
    </row>
    <row r="11" spans="1:26" s="158" customFormat="1" ht="21" customHeight="1" thickBot="1">
      <c r="A11" s="116"/>
      <c r="B11" s="107"/>
      <c r="C11" s="150"/>
      <c r="D11" s="156"/>
      <c r="E11" s="156"/>
      <c r="F11" s="165"/>
      <c r="G11" s="157"/>
      <c r="H11" s="155"/>
      <c r="I11" s="155"/>
      <c r="R11" s="159"/>
      <c r="S11" s="166"/>
      <c r="T11" s="159"/>
      <c r="U11" s="159"/>
      <c r="V11" s="159"/>
      <c r="W11" s="159"/>
      <c r="X11" s="159"/>
      <c r="Y11" s="185"/>
      <c r="Z11" s="159"/>
    </row>
    <row r="12" spans="1:26" s="158" customFormat="1" ht="21" customHeight="1">
      <c r="A12" s="184"/>
      <c r="B12" s="617" t="s">
        <v>153</v>
      </c>
      <c r="C12" s="618"/>
      <c r="D12" s="618"/>
      <c r="E12" s="618"/>
      <c r="F12" s="618"/>
      <c r="G12" s="618"/>
      <c r="H12" s="618"/>
      <c r="I12" s="618"/>
      <c r="J12" s="618"/>
      <c r="K12" s="619"/>
      <c r="O12" s="617" t="s">
        <v>164</v>
      </c>
      <c r="P12" s="618"/>
      <c r="Q12" s="618"/>
      <c r="R12" s="618"/>
      <c r="S12" s="618"/>
      <c r="T12" s="618"/>
      <c r="U12" s="618"/>
      <c r="V12" s="618"/>
      <c r="W12" s="618"/>
      <c r="X12" s="619"/>
      <c r="Y12" s="185"/>
      <c r="Z12" s="159"/>
    </row>
    <row r="13" spans="1:26" s="158" customFormat="1" ht="21" customHeight="1" thickBot="1">
      <c r="A13" s="184"/>
      <c r="B13" s="614" t="s">
        <v>163</v>
      </c>
      <c r="C13" s="615"/>
      <c r="D13" s="615"/>
      <c r="E13" s="615"/>
      <c r="F13" s="615"/>
      <c r="G13" s="615"/>
      <c r="H13" s="615"/>
      <c r="I13" s="615"/>
      <c r="J13" s="615"/>
      <c r="K13" s="616"/>
      <c r="O13" s="614" t="s">
        <v>163</v>
      </c>
      <c r="P13" s="615"/>
      <c r="Q13" s="615"/>
      <c r="R13" s="615"/>
      <c r="S13" s="615"/>
      <c r="T13" s="615"/>
      <c r="U13" s="615"/>
      <c r="V13" s="615"/>
      <c r="W13" s="615"/>
      <c r="X13" s="616"/>
      <c r="Y13" s="185"/>
      <c r="Z13" s="159"/>
    </row>
    <row r="14" spans="1:26" s="158" customFormat="1" ht="21" customHeight="1" thickBot="1">
      <c r="A14" s="184"/>
      <c r="B14" s="38"/>
      <c r="C14" s="153"/>
      <c r="D14" s="38"/>
      <c r="E14" s="38"/>
      <c r="F14" s="169"/>
      <c r="G14" s="173"/>
      <c r="H14" s="152"/>
      <c r="I14" s="152"/>
      <c r="Q14" s="38"/>
      <c r="R14" s="38"/>
      <c r="S14" s="169"/>
      <c r="T14" s="173"/>
      <c r="U14" s="152"/>
      <c r="V14" s="152"/>
      <c r="W14" s="159"/>
      <c r="X14" s="159"/>
      <c r="Y14" s="185"/>
      <c r="Z14" s="159"/>
    </row>
    <row r="15" spans="1:26" s="158" customFormat="1" ht="21" customHeight="1" thickBot="1">
      <c r="A15" s="186"/>
      <c r="B15" s="110"/>
      <c r="C15" s="153"/>
      <c r="D15" s="167"/>
      <c r="E15" s="168"/>
      <c r="F15" s="169"/>
      <c r="G15" s="170"/>
      <c r="H15" s="171"/>
      <c r="I15" s="172"/>
      <c r="Q15" s="167"/>
      <c r="R15" s="168"/>
      <c r="S15" s="169"/>
      <c r="T15" s="170"/>
      <c r="U15" s="171"/>
      <c r="V15" s="172"/>
      <c r="W15" s="159"/>
      <c r="X15" s="159"/>
      <c r="Y15" s="185"/>
      <c r="Z15" s="159"/>
    </row>
    <row r="16" spans="1:26" s="158" customFormat="1" ht="21" customHeight="1">
      <c r="A16" s="186"/>
      <c r="B16" s="591" t="s">
        <v>154</v>
      </c>
      <c r="C16" s="592"/>
      <c r="D16" s="592"/>
      <c r="E16" s="593"/>
      <c r="F16" s="107"/>
      <c r="G16" s="151"/>
      <c r="H16" s="591" t="s">
        <v>156</v>
      </c>
      <c r="I16" s="592"/>
      <c r="J16" s="592"/>
      <c r="K16" s="593"/>
      <c r="O16" s="591" t="s">
        <v>166</v>
      </c>
      <c r="P16" s="592"/>
      <c r="Q16" s="592"/>
      <c r="R16" s="593"/>
      <c r="S16" s="159"/>
      <c r="T16" s="159"/>
      <c r="U16" s="591" t="s">
        <v>169</v>
      </c>
      <c r="V16" s="592"/>
      <c r="W16" s="592"/>
      <c r="X16" s="593"/>
      <c r="Y16" s="185"/>
      <c r="Z16" s="159"/>
    </row>
    <row r="17" spans="1:26" s="158" customFormat="1" ht="21" customHeight="1">
      <c r="A17" s="186"/>
      <c r="B17" s="594" t="s">
        <v>155</v>
      </c>
      <c r="C17" s="595"/>
      <c r="D17" s="595"/>
      <c r="E17" s="596"/>
      <c r="F17" s="38"/>
      <c r="G17" s="38"/>
      <c r="H17" s="594" t="s">
        <v>157</v>
      </c>
      <c r="I17" s="595"/>
      <c r="J17" s="595"/>
      <c r="K17" s="596"/>
      <c r="O17" s="594" t="s">
        <v>167</v>
      </c>
      <c r="P17" s="595"/>
      <c r="Q17" s="595"/>
      <c r="R17" s="596"/>
      <c r="S17" s="159"/>
      <c r="T17" s="159"/>
      <c r="U17" s="594" t="s">
        <v>170</v>
      </c>
      <c r="V17" s="609"/>
      <c r="W17" s="609"/>
      <c r="X17" s="610"/>
      <c r="Y17" s="185"/>
      <c r="Z17" s="159"/>
    </row>
    <row r="18" spans="1:26" s="158" customFormat="1" ht="21" customHeight="1" thickBot="1">
      <c r="A18" s="184"/>
      <c r="B18" s="597"/>
      <c r="C18" s="598"/>
      <c r="D18" s="598"/>
      <c r="E18" s="599"/>
      <c r="F18" s="153"/>
      <c r="G18" s="152"/>
      <c r="H18" s="597"/>
      <c r="I18" s="598"/>
      <c r="J18" s="598"/>
      <c r="K18" s="599"/>
      <c r="O18" s="635"/>
      <c r="P18" s="595"/>
      <c r="Q18" s="595"/>
      <c r="R18" s="596"/>
      <c r="S18" s="159"/>
      <c r="T18" s="159"/>
      <c r="U18" s="594"/>
      <c r="V18" s="609"/>
      <c r="W18" s="609"/>
      <c r="X18" s="610"/>
      <c r="Y18" s="185"/>
      <c r="Z18" s="159"/>
    </row>
    <row r="19" spans="1:26" s="158" customFormat="1" ht="24" customHeight="1" thickBot="1">
      <c r="A19" s="181"/>
      <c r="B19" s="150"/>
      <c r="C19" s="150"/>
      <c r="D19" s="174"/>
      <c r="E19" s="150"/>
      <c r="F19" s="150"/>
      <c r="G19" s="150"/>
      <c r="H19" s="150"/>
      <c r="J19" s="175"/>
      <c r="O19" s="594" t="s">
        <v>168</v>
      </c>
      <c r="P19" s="609"/>
      <c r="Q19" s="609"/>
      <c r="R19" s="610"/>
      <c r="S19" s="159"/>
      <c r="T19" s="159"/>
      <c r="U19" s="594"/>
      <c r="V19" s="609"/>
      <c r="W19" s="609"/>
      <c r="X19" s="610"/>
      <c r="Y19" s="185"/>
      <c r="Z19" s="159"/>
    </row>
    <row r="20" spans="1:26" s="158" customFormat="1" ht="21" customHeight="1" thickBot="1">
      <c r="A20" s="116"/>
      <c r="B20" s="617" t="s">
        <v>158</v>
      </c>
      <c r="C20" s="618"/>
      <c r="D20" s="618"/>
      <c r="E20" s="618"/>
      <c r="F20" s="618"/>
      <c r="G20" s="618"/>
      <c r="H20" s="618"/>
      <c r="I20" s="618"/>
      <c r="J20" s="618"/>
      <c r="K20" s="619"/>
      <c r="O20" s="611"/>
      <c r="P20" s="612"/>
      <c r="Q20" s="612"/>
      <c r="R20" s="613"/>
      <c r="U20" s="611"/>
      <c r="V20" s="612"/>
      <c r="W20" s="612"/>
      <c r="X20" s="613"/>
      <c r="Y20" s="182"/>
    </row>
    <row r="21" spans="1:26" s="158" customFormat="1" ht="21" customHeight="1" thickBot="1">
      <c r="A21" s="109"/>
      <c r="B21" s="620"/>
      <c r="C21" s="621"/>
      <c r="D21" s="621"/>
      <c r="E21" s="621"/>
      <c r="F21" s="621"/>
      <c r="G21" s="621"/>
      <c r="H21" s="621"/>
      <c r="I21" s="621"/>
      <c r="J21" s="621"/>
      <c r="K21" s="622"/>
      <c r="Q21" s="177"/>
      <c r="W21" s="177"/>
      <c r="Y21" s="182"/>
    </row>
    <row r="22" spans="1:26" s="158" customFormat="1" ht="21" customHeight="1">
      <c r="A22" s="187"/>
      <c r="B22" s="124"/>
      <c r="C22" s="124"/>
      <c r="D22" s="124"/>
      <c r="E22" s="124"/>
      <c r="F22" s="124"/>
      <c r="G22" s="176"/>
      <c r="H22" s="124"/>
      <c r="I22" s="124"/>
      <c r="Q22" s="178"/>
      <c r="W22" s="178"/>
      <c r="Y22" s="182"/>
    </row>
    <row r="23" spans="1:26" s="158" customFormat="1" ht="21" customHeight="1" thickBot="1">
      <c r="A23" s="187"/>
      <c r="B23" s="124"/>
      <c r="C23" s="124"/>
      <c r="D23" s="124"/>
      <c r="E23" s="124"/>
      <c r="F23" s="124"/>
      <c r="G23" s="162"/>
      <c r="H23" s="124"/>
      <c r="I23" s="124"/>
      <c r="Q23" s="179"/>
      <c r="W23" s="179"/>
      <c r="Y23" s="182"/>
    </row>
    <row r="24" spans="1:26" s="158" customFormat="1" ht="21" customHeight="1">
      <c r="A24" s="187"/>
      <c r="B24" s="623" t="s">
        <v>159</v>
      </c>
      <c r="C24" s="618"/>
      <c r="D24" s="618"/>
      <c r="E24" s="618"/>
      <c r="F24" s="618"/>
      <c r="G24" s="618"/>
      <c r="H24" s="618"/>
      <c r="I24" s="618"/>
      <c r="J24" s="618"/>
      <c r="K24" s="619"/>
      <c r="O24" s="623" t="s">
        <v>171</v>
      </c>
      <c r="P24" s="618"/>
      <c r="Q24" s="618"/>
      <c r="R24" s="618"/>
      <c r="S24" s="618"/>
      <c r="T24" s="618"/>
      <c r="U24" s="618"/>
      <c r="V24" s="618"/>
      <c r="W24" s="618"/>
      <c r="X24" s="619"/>
      <c r="Y24" s="182"/>
    </row>
    <row r="25" spans="1:26" s="158" customFormat="1" ht="21" customHeight="1">
      <c r="A25" s="188"/>
      <c r="B25" s="632"/>
      <c r="C25" s="633"/>
      <c r="D25" s="633"/>
      <c r="E25" s="633"/>
      <c r="F25" s="633"/>
      <c r="G25" s="633"/>
      <c r="H25" s="633"/>
      <c r="I25" s="633"/>
      <c r="J25" s="633"/>
      <c r="K25" s="634"/>
      <c r="O25" s="632"/>
      <c r="P25" s="633"/>
      <c r="Q25" s="633"/>
      <c r="R25" s="633"/>
      <c r="S25" s="633"/>
      <c r="T25" s="633"/>
      <c r="U25" s="633"/>
      <c r="V25" s="633"/>
      <c r="W25" s="633"/>
      <c r="X25" s="634"/>
      <c r="Y25" s="182"/>
    </row>
    <row r="26" spans="1:26" s="158" customFormat="1" ht="21" customHeight="1" thickBot="1">
      <c r="A26" s="109"/>
      <c r="B26" s="614" t="s">
        <v>160</v>
      </c>
      <c r="C26" s="615"/>
      <c r="D26" s="615"/>
      <c r="E26" s="615"/>
      <c r="F26" s="615"/>
      <c r="G26" s="615"/>
      <c r="H26" s="615"/>
      <c r="I26" s="615"/>
      <c r="J26" s="615"/>
      <c r="K26" s="616"/>
      <c r="O26" s="614" t="s">
        <v>160</v>
      </c>
      <c r="P26" s="615"/>
      <c r="Q26" s="615"/>
      <c r="R26" s="615"/>
      <c r="S26" s="615"/>
      <c r="T26" s="615"/>
      <c r="U26" s="615"/>
      <c r="V26" s="615"/>
      <c r="W26" s="615"/>
      <c r="X26" s="616"/>
      <c r="Y26" s="182"/>
    </row>
    <row r="27" spans="1:26" s="158" customFormat="1" ht="12">
      <c r="A27" s="116"/>
      <c r="B27" s="107"/>
      <c r="C27" s="107"/>
      <c r="D27" s="107"/>
      <c r="E27" s="107"/>
      <c r="F27" s="107"/>
      <c r="G27" s="176"/>
      <c r="H27" s="124"/>
      <c r="I27" s="107"/>
      <c r="T27" s="177"/>
      <c r="Y27" s="182"/>
    </row>
    <row r="28" spans="1:26" s="158" customFormat="1" ht="12.75" thickBot="1">
      <c r="A28" s="116"/>
      <c r="B28" s="107"/>
      <c r="C28" s="107"/>
      <c r="D28" s="107"/>
      <c r="E28" s="160"/>
      <c r="F28" s="160"/>
      <c r="G28" s="163"/>
      <c r="H28" s="161"/>
      <c r="I28" s="160"/>
      <c r="T28" s="179"/>
      <c r="Y28" s="182"/>
    </row>
    <row r="29" spans="1:26" s="158" customFormat="1" ht="12">
      <c r="A29" s="116"/>
      <c r="B29" s="623" t="s">
        <v>161</v>
      </c>
      <c r="C29" s="624"/>
      <c r="D29" s="624"/>
      <c r="E29" s="624"/>
      <c r="F29" s="624"/>
      <c r="G29" s="624"/>
      <c r="H29" s="624"/>
      <c r="I29" s="624"/>
      <c r="J29" s="624"/>
      <c r="K29" s="625"/>
      <c r="O29" s="623" t="s">
        <v>173</v>
      </c>
      <c r="P29" s="624"/>
      <c r="Q29" s="624"/>
      <c r="R29" s="624"/>
      <c r="S29" s="624"/>
      <c r="T29" s="624"/>
      <c r="U29" s="624"/>
      <c r="V29" s="624"/>
      <c r="W29" s="624"/>
      <c r="X29" s="625"/>
      <c r="Y29" s="182"/>
    </row>
    <row r="30" spans="1:26" s="158" customFormat="1" ht="23.25" customHeight="1" thickBot="1">
      <c r="A30" s="116"/>
      <c r="B30" s="629"/>
      <c r="C30" s="630"/>
      <c r="D30" s="630"/>
      <c r="E30" s="630"/>
      <c r="F30" s="630"/>
      <c r="G30" s="630"/>
      <c r="H30" s="630"/>
      <c r="I30" s="630"/>
      <c r="J30" s="630"/>
      <c r="K30" s="631"/>
      <c r="O30" s="614" t="s">
        <v>175</v>
      </c>
      <c r="P30" s="615"/>
      <c r="Q30" s="615"/>
      <c r="R30" s="615"/>
      <c r="S30" s="615"/>
      <c r="T30" s="615"/>
      <c r="U30" s="615"/>
      <c r="V30" s="615"/>
      <c r="W30" s="615"/>
      <c r="X30" s="616"/>
      <c r="Y30" s="182"/>
    </row>
    <row r="31" spans="1:26" s="158" customFormat="1" ht="12.75" thickBot="1">
      <c r="A31" s="116"/>
      <c r="B31" s="614" t="s">
        <v>162</v>
      </c>
      <c r="C31" s="615"/>
      <c r="D31" s="615"/>
      <c r="E31" s="615"/>
      <c r="F31" s="615"/>
      <c r="G31" s="615"/>
      <c r="H31" s="615"/>
      <c r="I31" s="615"/>
      <c r="J31" s="615"/>
      <c r="K31" s="616"/>
      <c r="O31" s="38"/>
      <c r="P31" s="38"/>
      <c r="Q31" s="38"/>
      <c r="R31" s="38"/>
      <c r="S31" s="38"/>
      <c r="T31" s="167"/>
      <c r="U31" s="38"/>
      <c r="V31" s="38"/>
      <c r="W31" s="38"/>
      <c r="X31" s="38"/>
      <c r="Y31" s="182"/>
    </row>
    <row r="32" spans="1:26" s="158" customFormat="1" ht="12.75" thickBot="1">
      <c r="A32" s="116"/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T32" s="179"/>
      <c r="Y32" s="182"/>
    </row>
    <row r="33" spans="1:25" s="158" customFormat="1" ht="12">
      <c r="A33" s="116"/>
      <c r="B33" s="107"/>
      <c r="C33" s="107"/>
      <c r="D33" s="107"/>
      <c r="E33" s="107"/>
      <c r="F33" s="107"/>
      <c r="G33" s="107"/>
      <c r="H33" s="107"/>
      <c r="I33" s="107"/>
      <c r="O33" s="623" t="s">
        <v>174</v>
      </c>
      <c r="P33" s="624"/>
      <c r="Q33" s="624"/>
      <c r="R33" s="624"/>
      <c r="S33" s="624"/>
      <c r="T33" s="624"/>
      <c r="U33" s="624"/>
      <c r="V33" s="624"/>
      <c r="W33" s="624"/>
      <c r="X33" s="625"/>
      <c r="Y33" s="182"/>
    </row>
    <row r="34" spans="1:25" s="158" customFormat="1" ht="21" customHeight="1" thickBot="1">
      <c r="A34" s="116"/>
      <c r="B34" s="107"/>
      <c r="C34" s="107"/>
      <c r="D34" s="107"/>
      <c r="E34" s="107"/>
      <c r="F34" s="107"/>
      <c r="G34" s="107"/>
      <c r="H34" s="107"/>
      <c r="I34" s="107"/>
      <c r="O34" s="614" t="s">
        <v>172</v>
      </c>
      <c r="P34" s="615"/>
      <c r="Q34" s="615"/>
      <c r="R34" s="615"/>
      <c r="S34" s="615"/>
      <c r="T34" s="615"/>
      <c r="U34" s="615"/>
      <c r="V34" s="615"/>
      <c r="W34" s="615"/>
      <c r="X34" s="616"/>
      <c r="Y34" s="182"/>
    </row>
    <row r="35" spans="1:25" s="158" customFormat="1" ht="34.5" customHeight="1">
      <c r="A35" s="189"/>
      <c r="T35" s="177"/>
      <c r="Y35" s="182"/>
    </row>
    <row r="36" spans="1:25" s="36" customFormat="1" ht="21" customHeight="1" thickBot="1">
      <c r="A36" s="190"/>
      <c r="T36" s="180"/>
      <c r="Y36" s="191"/>
    </row>
    <row r="37" spans="1:25" s="36" customFormat="1" ht="21" customHeight="1">
      <c r="A37" s="190"/>
      <c r="O37" s="623" t="s">
        <v>176</v>
      </c>
      <c r="P37" s="624"/>
      <c r="Q37" s="624"/>
      <c r="R37" s="624"/>
      <c r="S37" s="624"/>
      <c r="T37" s="624"/>
      <c r="U37" s="624"/>
      <c r="V37" s="624"/>
      <c r="W37" s="624"/>
      <c r="X37" s="625"/>
      <c r="Y37" s="191"/>
    </row>
    <row r="38" spans="1:25" s="36" customFormat="1" ht="21" customHeight="1" thickBot="1">
      <c r="A38" s="190"/>
      <c r="O38" s="614" t="s">
        <v>177</v>
      </c>
      <c r="P38" s="615"/>
      <c r="Q38" s="615"/>
      <c r="R38" s="615"/>
      <c r="S38" s="615"/>
      <c r="T38" s="615"/>
      <c r="U38" s="615"/>
      <c r="V38" s="615"/>
      <c r="W38" s="615"/>
      <c r="X38" s="616"/>
      <c r="Y38" s="191"/>
    </row>
    <row r="39" spans="1:25" s="36" customFormat="1" ht="15" customHeight="1">
      <c r="A39" s="190"/>
      <c r="O39" s="194" t="s">
        <v>178</v>
      </c>
      <c r="P39" s="193"/>
      <c r="Q39" s="193"/>
      <c r="R39" s="193"/>
      <c r="S39" s="193"/>
      <c r="T39" s="193"/>
      <c r="U39" s="193"/>
      <c r="V39" s="193"/>
      <c r="W39" s="193"/>
      <c r="X39" s="193"/>
      <c r="Y39" s="191"/>
    </row>
    <row r="40" spans="1:25" ht="26.25" customHeight="1" thickBot="1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92"/>
      <c r="P40" s="122"/>
      <c r="Q40" s="122"/>
      <c r="R40" s="122"/>
      <c r="S40" s="122"/>
      <c r="T40" s="122"/>
      <c r="U40" s="122"/>
      <c r="V40" s="122"/>
      <c r="W40" s="122"/>
      <c r="X40" s="122"/>
      <c r="Y40" s="123"/>
    </row>
  </sheetData>
  <mergeCells count="30">
    <mergeCell ref="O34:X34"/>
    <mergeCell ref="O37:X37"/>
    <mergeCell ref="O38:X38"/>
    <mergeCell ref="A1:Y1"/>
    <mergeCell ref="B29:K30"/>
    <mergeCell ref="B31:K31"/>
    <mergeCell ref="O24:X25"/>
    <mergeCell ref="O26:X26"/>
    <mergeCell ref="O29:X29"/>
    <mergeCell ref="O30:X30"/>
    <mergeCell ref="O33:X33"/>
    <mergeCell ref="O16:R16"/>
    <mergeCell ref="O17:R18"/>
    <mergeCell ref="U16:X16"/>
    <mergeCell ref="O19:R20"/>
    <mergeCell ref="B24:K25"/>
    <mergeCell ref="B26:K26"/>
    <mergeCell ref="B12:K12"/>
    <mergeCell ref="B13:K13"/>
    <mergeCell ref="O12:X12"/>
    <mergeCell ref="O13:X13"/>
    <mergeCell ref="B20:K21"/>
    <mergeCell ref="B4:K5"/>
    <mergeCell ref="O4:X5"/>
    <mergeCell ref="B16:E16"/>
    <mergeCell ref="B17:E18"/>
    <mergeCell ref="H16:K16"/>
    <mergeCell ref="H17:K18"/>
    <mergeCell ref="G7:S9"/>
    <mergeCell ref="U17:X20"/>
  </mergeCells>
  <phoneticPr fontId="4" type="noConversion"/>
  <printOptions horizontalCentered="1"/>
  <pageMargins left="0.39370078740157483" right="0.39370078740157483" top="0.78740157480314965" bottom="0.39370078740157483" header="0.31496062992125984" footer="0.47244094488188981"/>
  <pageSetup paperSize="9" scale="86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42DC-09D0-4BEC-B181-CB889F04C045}">
  <sheetPr>
    <tabColor theme="8"/>
  </sheetPr>
  <dimension ref="B1:G20"/>
  <sheetViews>
    <sheetView workbookViewId="0">
      <selection activeCell="K19" sqref="K19"/>
    </sheetView>
  </sheetViews>
  <sheetFormatPr defaultColWidth="8.88671875" defaultRowHeight="24.95" customHeight="1"/>
  <cols>
    <col min="1" max="1" width="8.88671875" style="206"/>
    <col min="2" max="7" width="11.88671875" style="206" customWidth="1"/>
    <col min="8" max="16384" width="8.88671875" style="206"/>
  </cols>
  <sheetData>
    <row r="1" spans="2:7" ht="24.95" customHeight="1">
      <c r="B1" s="207" t="s">
        <v>208</v>
      </c>
      <c r="C1" s="207"/>
    </row>
    <row r="2" spans="2:7" ht="24.95" customHeight="1">
      <c r="B2" s="636" t="s">
        <v>102</v>
      </c>
      <c r="C2" s="636"/>
      <c r="D2" s="208" t="s">
        <v>202</v>
      </c>
      <c r="E2" s="208" t="s">
        <v>203</v>
      </c>
      <c r="F2" s="208" t="s">
        <v>204</v>
      </c>
      <c r="G2" s="208" t="s">
        <v>205</v>
      </c>
    </row>
    <row r="3" spans="2:7" ht="24.95" customHeight="1">
      <c r="B3" s="636" t="s">
        <v>206</v>
      </c>
      <c r="C3" s="208" t="s">
        <v>85</v>
      </c>
      <c r="D3" s="209">
        <v>1300000</v>
      </c>
      <c r="E3" s="209">
        <v>1200000</v>
      </c>
      <c r="F3" s="209">
        <v>900000</v>
      </c>
      <c r="G3" s="639" t="s">
        <v>207</v>
      </c>
    </row>
    <row r="4" spans="2:7" ht="24.95" customHeight="1">
      <c r="B4" s="636"/>
      <c r="C4" s="208" t="s">
        <v>87</v>
      </c>
      <c r="D4" s="211">
        <f>D3*12</f>
        <v>15600000</v>
      </c>
      <c r="E4" s="211">
        <f>E3*12</f>
        <v>14400000</v>
      </c>
      <c r="F4" s="211">
        <f>F3*12</f>
        <v>10800000</v>
      </c>
      <c r="G4" s="640"/>
    </row>
    <row r="5" spans="2:7" ht="24.95" customHeight="1">
      <c r="B5" s="210"/>
      <c r="C5" s="210"/>
    </row>
    <row r="6" spans="2:7" ht="24.95" customHeight="1">
      <c r="B6" s="210"/>
      <c r="C6" s="210"/>
    </row>
    <row r="7" spans="2:7" ht="24.95" customHeight="1" thickBot="1">
      <c r="B7" s="207" t="s">
        <v>209</v>
      </c>
      <c r="C7" s="207"/>
    </row>
    <row r="8" spans="2:7" ht="24.95" customHeight="1">
      <c r="B8" s="636" t="s">
        <v>102</v>
      </c>
      <c r="C8" s="636"/>
      <c r="D8" s="208" t="s">
        <v>202</v>
      </c>
      <c r="E8" s="212" t="s">
        <v>203</v>
      </c>
      <c r="F8" s="216" t="s">
        <v>204</v>
      </c>
      <c r="G8" s="215" t="s">
        <v>205</v>
      </c>
    </row>
    <row r="9" spans="2:7" ht="24.95" customHeight="1">
      <c r="B9" s="636" t="s">
        <v>206</v>
      </c>
      <c r="C9" s="208" t="s">
        <v>85</v>
      </c>
      <c r="D9" s="209">
        <v>1350000</v>
      </c>
      <c r="E9" s="213">
        <v>1250000</v>
      </c>
      <c r="F9" s="217">
        <v>900000</v>
      </c>
      <c r="G9" s="637" t="s">
        <v>207</v>
      </c>
    </row>
    <row r="10" spans="2:7" ht="24.95" customHeight="1" thickBot="1">
      <c r="B10" s="636"/>
      <c r="C10" s="208" t="s">
        <v>87</v>
      </c>
      <c r="D10" s="211">
        <f>D9*12</f>
        <v>16200000</v>
      </c>
      <c r="E10" s="214">
        <f>E9*12</f>
        <v>15000000</v>
      </c>
      <c r="F10" s="218">
        <f>F9*12</f>
        <v>10800000</v>
      </c>
      <c r="G10" s="638"/>
    </row>
    <row r="12" spans="2:7" ht="24.95" customHeight="1" thickBot="1">
      <c r="B12" s="207" t="s">
        <v>211</v>
      </c>
      <c r="C12" s="207"/>
    </row>
    <row r="13" spans="2:7" ht="24.95" customHeight="1">
      <c r="B13" s="636" t="s">
        <v>102</v>
      </c>
      <c r="C13" s="636"/>
      <c r="D13" s="208" t="s">
        <v>202</v>
      </c>
      <c r="E13" s="212" t="s">
        <v>203</v>
      </c>
      <c r="F13" s="216" t="s">
        <v>204</v>
      </c>
      <c r="G13" s="215" t="s">
        <v>205</v>
      </c>
    </row>
    <row r="14" spans="2:7" ht="24.95" customHeight="1">
      <c r="B14" s="636" t="s">
        <v>206</v>
      </c>
      <c r="C14" s="208" t="s">
        <v>85</v>
      </c>
      <c r="D14" s="209">
        <v>900000</v>
      </c>
      <c r="E14" s="213">
        <v>850000</v>
      </c>
      <c r="F14" s="217">
        <v>750000</v>
      </c>
      <c r="G14" s="637" t="s">
        <v>207</v>
      </c>
    </row>
    <row r="15" spans="2:7" ht="24.95" customHeight="1" thickBot="1">
      <c r="B15" s="636"/>
      <c r="C15" s="208" t="s">
        <v>87</v>
      </c>
      <c r="D15" s="211">
        <f>D14*12</f>
        <v>10800000</v>
      </c>
      <c r="E15" s="214">
        <f>E14*12</f>
        <v>10200000</v>
      </c>
      <c r="F15" s="218">
        <f>F14*12</f>
        <v>9000000</v>
      </c>
      <c r="G15" s="638"/>
    </row>
    <row r="17" spans="2:7" ht="24.95" customHeight="1" thickBot="1">
      <c r="B17" s="207" t="s">
        <v>213</v>
      </c>
      <c r="C17" s="207"/>
    </row>
    <row r="18" spans="2:7" ht="24.95" customHeight="1">
      <c r="B18" s="636" t="s">
        <v>102</v>
      </c>
      <c r="C18" s="636"/>
      <c r="D18" s="208" t="s">
        <v>202</v>
      </c>
      <c r="E18" s="212" t="s">
        <v>203</v>
      </c>
      <c r="F18" s="216" t="s">
        <v>204</v>
      </c>
      <c r="G18" s="215" t="s">
        <v>205</v>
      </c>
    </row>
    <row r="19" spans="2:7" ht="24.95" customHeight="1">
      <c r="B19" s="636" t="s">
        <v>206</v>
      </c>
      <c r="C19" s="208" t="s">
        <v>85</v>
      </c>
      <c r="D19" s="209">
        <v>900000</v>
      </c>
      <c r="E19" s="213">
        <v>800000</v>
      </c>
      <c r="F19" s="217">
        <v>650000</v>
      </c>
      <c r="G19" s="637" t="s">
        <v>207</v>
      </c>
    </row>
    <row r="20" spans="2:7" ht="24.95" customHeight="1" thickBot="1">
      <c r="B20" s="636"/>
      <c r="C20" s="208" t="s">
        <v>87</v>
      </c>
      <c r="D20" s="211">
        <f>D19*12</f>
        <v>10800000</v>
      </c>
      <c r="E20" s="214">
        <f>E19*12</f>
        <v>9600000</v>
      </c>
      <c r="F20" s="218">
        <f>F19*12</f>
        <v>7800000</v>
      </c>
      <c r="G20" s="638"/>
    </row>
  </sheetData>
  <mergeCells count="12">
    <mergeCell ref="B2:C2"/>
    <mergeCell ref="B3:B4"/>
    <mergeCell ref="G3:G4"/>
    <mergeCell ref="B8:C8"/>
    <mergeCell ref="B9:B10"/>
    <mergeCell ref="G9:G10"/>
    <mergeCell ref="B18:C18"/>
    <mergeCell ref="B19:B20"/>
    <mergeCell ref="G19:G20"/>
    <mergeCell ref="B13:C13"/>
    <mergeCell ref="B14:B15"/>
    <mergeCell ref="G14:G15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D3F9-0595-4A92-8CB7-9575DF174CD3}">
  <dimension ref="A1:H9"/>
  <sheetViews>
    <sheetView zoomScale="130" zoomScaleNormal="130" workbookViewId="0">
      <selection activeCell="D3" sqref="D3:G9"/>
    </sheetView>
  </sheetViews>
  <sheetFormatPr defaultColWidth="8.88671875" defaultRowHeight="20.100000000000001" customHeight="1"/>
  <cols>
    <col min="1" max="1" width="8.88671875" style="77"/>
    <col min="2" max="2" width="24.109375" style="77" bestFit="1" customWidth="1"/>
    <col min="3" max="3" width="35.44140625" style="77" bestFit="1" customWidth="1"/>
    <col min="4" max="4" width="9.88671875" style="77" bestFit="1" customWidth="1"/>
    <col min="5" max="5" width="12.44140625" style="219" bestFit="1" customWidth="1"/>
    <col min="6" max="6" width="8.88671875" style="77"/>
    <col min="7" max="7" width="14.109375" style="78" bestFit="1" customWidth="1"/>
    <col min="8" max="8" width="10.77734375" style="77" bestFit="1" customWidth="1"/>
    <col min="9" max="16384" width="8.88671875" style="77"/>
  </cols>
  <sheetData>
    <row r="1" spans="1:8" ht="20.100000000000001" customHeight="1">
      <c r="A1" s="76" t="s">
        <v>214</v>
      </c>
    </row>
    <row r="2" spans="1:8" ht="20.100000000000001" customHeight="1">
      <c r="A2" s="77" t="s">
        <v>5</v>
      </c>
      <c r="B2" s="77" t="s">
        <v>215</v>
      </c>
      <c r="C2" s="77" t="s">
        <v>223</v>
      </c>
      <c r="D2" s="77" t="s">
        <v>231</v>
      </c>
      <c r="E2" s="219" t="s">
        <v>233</v>
      </c>
      <c r="F2" s="77" t="s">
        <v>80</v>
      </c>
      <c r="G2" s="78" t="s">
        <v>232</v>
      </c>
      <c r="H2" s="77" t="s">
        <v>206</v>
      </c>
    </row>
    <row r="3" spans="1:8" ht="20.100000000000001" customHeight="1">
      <c r="A3" s="77">
        <v>1</v>
      </c>
      <c r="B3" s="77" t="s">
        <v>216</v>
      </c>
      <c r="C3" s="77" t="s">
        <v>224</v>
      </c>
      <c r="D3" s="77" t="s">
        <v>103</v>
      </c>
      <c r="E3" s="219">
        <v>77578.880000000005</v>
      </c>
      <c r="F3" s="77" t="s">
        <v>99</v>
      </c>
      <c r="G3" s="78">
        <v>39974</v>
      </c>
      <c r="H3" s="79">
        <v>10800000</v>
      </c>
    </row>
    <row r="4" spans="1:8" ht="20.100000000000001" customHeight="1">
      <c r="A4" s="77">
        <v>2</v>
      </c>
      <c r="B4" s="77" t="s">
        <v>217</v>
      </c>
      <c r="C4" s="77" t="s">
        <v>225</v>
      </c>
      <c r="D4" s="77" t="s">
        <v>103</v>
      </c>
      <c r="E4" s="219">
        <v>159958.14000000001</v>
      </c>
      <c r="F4" s="77" t="s">
        <v>99</v>
      </c>
      <c r="H4" s="79">
        <v>15000000</v>
      </c>
    </row>
    <row r="5" spans="1:8" ht="20.100000000000001" customHeight="1">
      <c r="A5" s="77">
        <v>3</v>
      </c>
      <c r="B5" s="77" t="s">
        <v>218</v>
      </c>
      <c r="C5" s="77" t="s">
        <v>226</v>
      </c>
      <c r="D5" s="77" t="s">
        <v>103</v>
      </c>
      <c r="E5" s="219">
        <v>70545.100000000006</v>
      </c>
      <c r="F5" s="77" t="s">
        <v>99</v>
      </c>
      <c r="H5" s="79">
        <v>10800000</v>
      </c>
    </row>
    <row r="6" spans="1:8" ht="20.100000000000001" customHeight="1">
      <c r="A6" s="77">
        <v>4</v>
      </c>
      <c r="B6" s="77" t="s">
        <v>219</v>
      </c>
      <c r="C6" s="77" t="s">
        <v>227</v>
      </c>
      <c r="D6" s="77" t="s">
        <v>103</v>
      </c>
      <c r="E6" s="219">
        <v>30771.77</v>
      </c>
      <c r="F6" s="77" t="s">
        <v>98</v>
      </c>
      <c r="G6" s="78">
        <v>44589</v>
      </c>
      <c r="H6" s="79">
        <v>4200000</v>
      </c>
    </row>
    <row r="7" spans="1:8" ht="20.100000000000001" customHeight="1">
      <c r="A7" s="77">
        <v>5</v>
      </c>
      <c r="B7" s="77" t="s">
        <v>221</v>
      </c>
      <c r="C7" s="77" t="s">
        <v>228</v>
      </c>
      <c r="D7" s="77" t="s">
        <v>103</v>
      </c>
      <c r="E7" s="219">
        <v>143763.76</v>
      </c>
      <c r="F7" s="77" t="s">
        <v>99</v>
      </c>
      <c r="H7" s="79">
        <v>15000000</v>
      </c>
    </row>
    <row r="8" spans="1:8" ht="20.100000000000001" customHeight="1">
      <c r="A8" s="77">
        <v>6</v>
      </c>
      <c r="B8" s="77" t="s">
        <v>220</v>
      </c>
      <c r="C8" s="77" t="s">
        <v>229</v>
      </c>
      <c r="D8" s="77" t="s">
        <v>103</v>
      </c>
      <c r="E8" s="219">
        <v>33408.769999999997</v>
      </c>
      <c r="F8" s="77" t="s">
        <v>98</v>
      </c>
      <c r="G8" s="78">
        <v>31665</v>
      </c>
      <c r="H8" s="79">
        <v>4200000</v>
      </c>
    </row>
    <row r="9" spans="1:8" ht="20.100000000000001" customHeight="1">
      <c r="A9" s="77">
        <v>7</v>
      </c>
      <c r="B9" s="77" t="s">
        <v>222</v>
      </c>
      <c r="C9" s="77" t="s">
        <v>230</v>
      </c>
      <c r="D9" s="77" t="s">
        <v>103</v>
      </c>
      <c r="E9" s="219">
        <v>33039.160000000003</v>
      </c>
      <c r="F9" s="77" t="s">
        <v>98</v>
      </c>
      <c r="G9" s="78">
        <v>41271</v>
      </c>
      <c r="H9" s="79">
        <v>7800000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A1ED0-8140-40F3-8706-BB98CA28A38A}">
  <dimension ref="A1:AA9"/>
  <sheetViews>
    <sheetView zoomScale="130" zoomScaleNormal="130" workbookViewId="0">
      <selection activeCell="G13" sqref="G13"/>
    </sheetView>
  </sheetViews>
  <sheetFormatPr defaultColWidth="8.88671875" defaultRowHeight="20.100000000000001" customHeight="1"/>
  <cols>
    <col min="1" max="1" width="8.88671875" style="237"/>
    <col min="2" max="2" width="18.77734375" style="237" bestFit="1" customWidth="1"/>
    <col min="3" max="3" width="36.5546875" style="237" bestFit="1" customWidth="1"/>
    <col min="4" max="4" width="8.88671875" style="239"/>
    <col min="5" max="5" width="8.88671875" style="237"/>
    <col min="6" max="6" width="11.21875" style="239" bestFit="1" customWidth="1"/>
    <col min="7" max="7" width="9.109375" style="239" bestFit="1" customWidth="1"/>
    <col min="8" max="16384" width="8.88671875" style="237"/>
  </cols>
  <sheetData>
    <row r="1" spans="1:27" ht="20.100000000000001" customHeight="1">
      <c r="A1" s="237" t="s">
        <v>249</v>
      </c>
      <c r="B1" s="237" t="s">
        <v>215</v>
      </c>
      <c r="C1" s="237" t="s">
        <v>223</v>
      </c>
      <c r="D1" s="239" t="s">
        <v>250</v>
      </c>
      <c r="E1" s="237" t="s">
        <v>80</v>
      </c>
      <c r="F1" s="239" t="s">
        <v>206</v>
      </c>
      <c r="G1" s="239" t="s">
        <v>251</v>
      </c>
    </row>
    <row r="2" spans="1:27" ht="20.100000000000001" customHeight="1">
      <c r="A2" s="237">
        <v>1</v>
      </c>
      <c r="B2" s="238" t="s">
        <v>235</v>
      </c>
      <c r="C2" s="238" t="s">
        <v>236</v>
      </c>
      <c r="D2" s="236">
        <v>163451.9</v>
      </c>
      <c r="E2" s="235" t="s">
        <v>99</v>
      </c>
      <c r="F2" s="236">
        <f>G2*12</f>
        <v>18000000</v>
      </c>
      <c r="G2" s="236">
        <v>1500000</v>
      </c>
      <c r="H2" s="235"/>
      <c r="I2" s="236"/>
      <c r="J2" s="235"/>
      <c r="K2" s="235"/>
      <c r="L2" s="235"/>
      <c r="M2" s="235"/>
      <c r="N2" s="235"/>
      <c r="O2" s="236"/>
      <c r="P2" s="236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</row>
    <row r="3" spans="1:27" ht="20.100000000000001" customHeight="1">
      <c r="A3" s="237">
        <v>2</v>
      </c>
      <c r="B3" s="238" t="s">
        <v>237</v>
      </c>
      <c r="C3" s="238" t="s">
        <v>238</v>
      </c>
      <c r="D3" s="236">
        <v>31580.2</v>
      </c>
      <c r="E3" s="235" t="s">
        <v>98</v>
      </c>
      <c r="F3" s="236">
        <f t="shared" ref="F3:F8" si="0">G3*12</f>
        <v>9600000</v>
      </c>
      <c r="G3" s="236">
        <v>800000</v>
      </c>
      <c r="H3" s="235"/>
      <c r="I3" s="236"/>
      <c r="J3" s="235"/>
      <c r="K3" s="235"/>
      <c r="L3" s="235"/>
      <c r="M3" s="235"/>
      <c r="N3" s="235"/>
      <c r="O3" s="236"/>
      <c r="P3" s="236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</row>
    <row r="4" spans="1:27" ht="20.100000000000001" customHeight="1">
      <c r="A4" s="237">
        <v>3</v>
      </c>
      <c r="B4" s="238" t="s">
        <v>239</v>
      </c>
      <c r="C4" s="238" t="s">
        <v>240</v>
      </c>
      <c r="D4" s="236">
        <v>66924.899999999994</v>
      </c>
      <c r="E4" s="235" t="s">
        <v>99</v>
      </c>
      <c r="F4" s="236">
        <f t="shared" si="0"/>
        <v>15000000</v>
      </c>
      <c r="G4" s="236">
        <v>1250000</v>
      </c>
      <c r="H4" s="235"/>
      <c r="I4" s="236"/>
      <c r="J4" s="235"/>
      <c r="K4" s="235"/>
      <c r="L4" s="235"/>
      <c r="M4" s="235"/>
      <c r="N4" s="235"/>
      <c r="O4" s="236"/>
      <c r="P4" s="236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</row>
    <row r="5" spans="1:27" ht="20.100000000000001" customHeight="1">
      <c r="A5" s="237">
        <v>4</v>
      </c>
      <c r="B5" s="238" t="s">
        <v>241</v>
      </c>
      <c r="C5" s="238" t="s">
        <v>242</v>
      </c>
      <c r="D5" s="236">
        <v>5591.3</v>
      </c>
      <c r="E5" s="235" t="s">
        <v>96</v>
      </c>
      <c r="F5" s="236">
        <f t="shared" si="0"/>
        <v>4800000</v>
      </c>
      <c r="G5" s="236">
        <v>400000</v>
      </c>
      <c r="H5" s="235"/>
      <c r="I5" s="236"/>
      <c r="J5" s="235"/>
      <c r="K5" s="235"/>
      <c r="L5" s="235"/>
      <c r="M5" s="235"/>
      <c r="N5" s="235"/>
      <c r="O5" s="236"/>
      <c r="P5" s="236"/>
      <c r="Q5" s="235"/>
      <c r="R5" s="235"/>
      <c r="S5" s="235"/>
      <c r="T5" s="235"/>
      <c r="U5" s="235"/>
      <c r="V5" s="235"/>
      <c r="W5" s="235"/>
      <c r="X5" s="235"/>
      <c r="Y5" s="235"/>
      <c r="Z5" s="235"/>
      <c r="AA5" s="235"/>
    </row>
    <row r="6" spans="1:27" ht="20.100000000000001" customHeight="1">
      <c r="A6" s="237">
        <v>5</v>
      </c>
      <c r="B6" s="238" t="s">
        <v>243</v>
      </c>
      <c r="C6" s="238" t="s">
        <v>244</v>
      </c>
      <c r="D6" s="239">
        <v>34188.9</v>
      </c>
      <c r="E6" s="237" t="s">
        <v>98</v>
      </c>
      <c r="F6" s="236">
        <f t="shared" si="0"/>
        <v>9600000</v>
      </c>
      <c r="G6" s="239">
        <v>800000</v>
      </c>
    </row>
    <row r="7" spans="1:27" ht="20.100000000000001" customHeight="1">
      <c r="A7" s="237">
        <v>6</v>
      </c>
      <c r="B7" s="238" t="s">
        <v>245</v>
      </c>
      <c r="C7" s="238" t="s">
        <v>246</v>
      </c>
      <c r="D7" s="239">
        <v>25854.5</v>
      </c>
      <c r="E7" s="237" t="s">
        <v>97</v>
      </c>
      <c r="F7" s="236">
        <f t="shared" si="0"/>
        <v>7200000</v>
      </c>
      <c r="G7" s="239">
        <v>600000</v>
      </c>
    </row>
    <row r="8" spans="1:27" ht="20.100000000000001" customHeight="1">
      <c r="A8" s="237">
        <v>7</v>
      </c>
      <c r="B8" s="238" t="s">
        <v>248</v>
      </c>
      <c r="C8" s="238" t="s">
        <v>247</v>
      </c>
      <c r="D8" s="239">
        <v>17379.2</v>
      </c>
      <c r="E8" s="237" t="s">
        <v>97</v>
      </c>
      <c r="F8" s="236">
        <f t="shared" si="0"/>
        <v>6000000</v>
      </c>
      <c r="G8" s="239">
        <v>500000</v>
      </c>
    </row>
    <row r="9" spans="1:27" ht="20.100000000000001" customHeight="1">
      <c r="A9" s="641"/>
      <c r="B9" s="641"/>
      <c r="C9" s="641"/>
      <c r="D9" s="641"/>
      <c r="E9" s="641"/>
      <c r="F9" s="239">
        <f>SUM(F2:F8)</f>
        <v>70200000</v>
      </c>
    </row>
  </sheetData>
  <mergeCells count="1">
    <mergeCell ref="A9:E9"/>
  </mergeCells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EA338-1E7E-4D93-B6A3-17F559149C7A}">
  <sheetPr>
    <tabColor rgb="FFFF0000"/>
  </sheetPr>
  <dimension ref="A1:N23"/>
  <sheetViews>
    <sheetView showGridLines="0" zoomScaleNormal="100" zoomScaleSheetLayoutView="100" workbookViewId="0">
      <selection activeCell="E26" sqref="E26"/>
    </sheetView>
  </sheetViews>
  <sheetFormatPr defaultRowHeight="13.5"/>
  <cols>
    <col min="1" max="1" width="21.21875" bestFit="1" customWidth="1"/>
    <col min="2" max="2" width="8.33203125" bestFit="1" customWidth="1"/>
    <col min="3" max="3" width="4.88671875" bestFit="1" customWidth="1"/>
    <col min="4" max="4" width="8.33203125" bestFit="1" customWidth="1"/>
    <col min="5" max="5" width="9.5546875" bestFit="1" customWidth="1"/>
    <col min="6" max="6" width="8.33203125" bestFit="1" customWidth="1"/>
    <col min="7" max="7" width="9.5546875" bestFit="1" customWidth="1"/>
    <col min="8" max="8" width="8.33203125" bestFit="1" customWidth="1"/>
    <col min="9" max="10" width="9.5546875" bestFit="1" customWidth="1"/>
    <col min="11" max="12" width="8.21875" bestFit="1" customWidth="1"/>
  </cols>
  <sheetData>
    <row r="1" spans="1:14" s="266" customFormat="1" ht="17.25" thickBot="1">
      <c r="A1" s="263" t="s">
        <v>271</v>
      </c>
      <c r="B1" s="264"/>
      <c r="C1" s="265"/>
      <c r="D1" s="265"/>
      <c r="E1" s="265"/>
      <c r="F1" s="265"/>
      <c r="G1" s="265"/>
      <c r="H1" s="264"/>
      <c r="I1" s="264"/>
      <c r="J1" s="264"/>
      <c r="K1" s="264"/>
      <c r="L1" s="264"/>
    </row>
    <row r="2" spans="1:14" s="254" customFormat="1" ht="22.5" customHeight="1">
      <c r="A2" s="644" t="s">
        <v>16</v>
      </c>
      <c r="B2" s="646" t="s">
        <v>92</v>
      </c>
      <c r="C2" s="648" t="s">
        <v>80</v>
      </c>
      <c r="D2" s="644" t="s">
        <v>86</v>
      </c>
      <c r="E2" s="650"/>
      <c r="F2" s="651" t="s">
        <v>84</v>
      </c>
      <c r="G2" s="648"/>
      <c r="H2" s="652" t="s">
        <v>89</v>
      </c>
      <c r="I2" s="653"/>
      <c r="J2" s="654"/>
      <c r="K2" s="642" t="s">
        <v>262</v>
      </c>
      <c r="L2" s="642" t="s">
        <v>261</v>
      </c>
    </row>
    <row r="3" spans="1:14" s="254" customFormat="1" ht="22.5" customHeight="1" thickBot="1">
      <c r="A3" s="645"/>
      <c r="B3" s="647"/>
      <c r="C3" s="649"/>
      <c r="D3" s="255" t="s">
        <v>85</v>
      </c>
      <c r="E3" s="257" t="s">
        <v>87</v>
      </c>
      <c r="F3" s="258" t="s">
        <v>85</v>
      </c>
      <c r="G3" s="256" t="s">
        <v>87</v>
      </c>
      <c r="H3" s="259" t="s">
        <v>269</v>
      </c>
      <c r="I3" s="260" t="s">
        <v>270</v>
      </c>
      <c r="J3" s="261" t="s">
        <v>88</v>
      </c>
      <c r="K3" s="643"/>
      <c r="L3" s="643"/>
    </row>
    <row r="4" spans="1:14" s="254" customFormat="1" ht="22.5" customHeight="1">
      <c r="A4" s="268" t="s">
        <v>57</v>
      </c>
      <c r="B4" s="269">
        <v>5000</v>
      </c>
      <c r="C4" s="270" t="s">
        <v>96</v>
      </c>
      <c r="D4" s="271">
        <v>225000</v>
      </c>
      <c r="E4" s="272">
        <v>2700000</v>
      </c>
      <c r="F4" s="273">
        <v>80000</v>
      </c>
      <c r="G4" s="274">
        <f>F4*12</f>
        <v>960000</v>
      </c>
      <c r="H4" s="271">
        <f>E4*15%</f>
        <v>405000</v>
      </c>
      <c r="I4" s="275">
        <f>E4-G4-H4</f>
        <v>1335000</v>
      </c>
      <c r="J4" s="276">
        <f>SUM(H4:I4)</f>
        <v>1740000</v>
      </c>
      <c r="K4" s="277">
        <v>4</v>
      </c>
      <c r="L4" s="277">
        <v>4</v>
      </c>
    </row>
    <row r="5" spans="1:14" s="254" customFormat="1" ht="22.5" customHeight="1" thickBot="1">
      <c r="A5" s="278" t="s">
        <v>58</v>
      </c>
      <c r="B5" s="279">
        <v>10000</v>
      </c>
      <c r="C5" s="280" t="s">
        <v>96</v>
      </c>
      <c r="D5" s="281">
        <v>225000</v>
      </c>
      <c r="E5" s="282">
        <f t="shared" ref="E5" si="0">D5*12</f>
        <v>2700000</v>
      </c>
      <c r="F5" s="283">
        <v>80000</v>
      </c>
      <c r="G5" s="284">
        <f t="shared" ref="G5:G9" si="1">F5*12</f>
        <v>960000</v>
      </c>
      <c r="H5" s="281">
        <f t="shared" ref="H5:H9" si="2">E5*15%</f>
        <v>405000</v>
      </c>
      <c r="I5" s="285">
        <f t="shared" ref="I5:I9" si="3">E5-G5-H5</f>
        <v>1335000</v>
      </c>
      <c r="J5" s="286">
        <f t="shared" ref="J5:J9" si="4">SUM(H5:I5)</f>
        <v>1740000</v>
      </c>
      <c r="K5" s="287">
        <v>4</v>
      </c>
      <c r="L5" s="287">
        <v>4</v>
      </c>
    </row>
    <row r="6" spans="1:14" s="254" customFormat="1" ht="22.5" customHeight="1" thickBot="1">
      <c r="A6" s="268" t="s">
        <v>263</v>
      </c>
      <c r="B6" s="269">
        <v>15000</v>
      </c>
      <c r="C6" s="270" t="s">
        <v>97</v>
      </c>
      <c r="D6" s="271">
        <v>275000</v>
      </c>
      <c r="E6" s="272">
        <v>3300000</v>
      </c>
      <c r="F6" s="273">
        <v>130000</v>
      </c>
      <c r="G6" s="274">
        <f t="shared" si="1"/>
        <v>1560000</v>
      </c>
      <c r="H6" s="271">
        <f t="shared" si="2"/>
        <v>495000</v>
      </c>
      <c r="I6" s="275">
        <f t="shared" si="3"/>
        <v>1245000</v>
      </c>
      <c r="J6" s="276">
        <f t="shared" si="4"/>
        <v>1740000</v>
      </c>
      <c r="K6" s="277">
        <v>6</v>
      </c>
      <c r="L6" s="277">
        <v>6</v>
      </c>
    </row>
    <row r="7" spans="1:14" s="254" customFormat="1" ht="22.5" customHeight="1" thickBot="1">
      <c r="A7" s="288" t="s">
        <v>258</v>
      </c>
      <c r="B7" s="289">
        <v>30000</v>
      </c>
      <c r="C7" s="290" t="s">
        <v>98</v>
      </c>
      <c r="D7" s="291">
        <v>350000</v>
      </c>
      <c r="E7" s="292">
        <v>4200000</v>
      </c>
      <c r="F7" s="293">
        <v>150000</v>
      </c>
      <c r="G7" s="294">
        <f t="shared" si="1"/>
        <v>1800000</v>
      </c>
      <c r="H7" s="291">
        <f t="shared" si="2"/>
        <v>630000</v>
      </c>
      <c r="I7" s="295">
        <f t="shared" si="3"/>
        <v>1770000</v>
      </c>
      <c r="J7" s="296">
        <f t="shared" si="4"/>
        <v>2400000</v>
      </c>
      <c r="K7" s="297">
        <v>8</v>
      </c>
      <c r="L7" s="297">
        <v>8</v>
      </c>
    </row>
    <row r="8" spans="1:14" s="254" customFormat="1" ht="22.5" customHeight="1">
      <c r="A8" s="298" t="s">
        <v>259</v>
      </c>
      <c r="B8" s="299">
        <v>60000</v>
      </c>
      <c r="C8" s="300" t="s">
        <v>99</v>
      </c>
      <c r="D8" s="301">
        <v>450000</v>
      </c>
      <c r="E8" s="302">
        <v>5400000</v>
      </c>
      <c r="F8" s="303">
        <v>180000</v>
      </c>
      <c r="G8" s="304">
        <f t="shared" si="1"/>
        <v>2160000</v>
      </c>
      <c r="H8" s="301">
        <f t="shared" si="2"/>
        <v>810000</v>
      </c>
      <c r="I8" s="305">
        <f t="shared" si="3"/>
        <v>2430000</v>
      </c>
      <c r="J8" s="306">
        <f>SUM(H8:I8)</f>
        <v>3240000</v>
      </c>
      <c r="K8" s="307">
        <v>10</v>
      </c>
      <c r="L8" s="307">
        <v>10</v>
      </c>
    </row>
    <row r="9" spans="1:14" s="254" customFormat="1" ht="22.5" customHeight="1" thickBot="1">
      <c r="A9" s="278" t="s">
        <v>260</v>
      </c>
      <c r="B9" s="279">
        <v>150000</v>
      </c>
      <c r="C9" s="280" t="s">
        <v>99</v>
      </c>
      <c r="D9" s="281">
        <v>450000</v>
      </c>
      <c r="E9" s="282">
        <v>5400000</v>
      </c>
      <c r="F9" s="283">
        <v>180000</v>
      </c>
      <c r="G9" s="284">
        <f t="shared" si="1"/>
        <v>2160000</v>
      </c>
      <c r="H9" s="281">
        <f t="shared" si="2"/>
        <v>810000</v>
      </c>
      <c r="I9" s="285">
        <f t="shared" si="3"/>
        <v>2430000</v>
      </c>
      <c r="J9" s="286">
        <f t="shared" si="4"/>
        <v>3240000</v>
      </c>
      <c r="K9" s="287">
        <v>10</v>
      </c>
      <c r="L9" s="287">
        <v>10</v>
      </c>
    </row>
    <row r="10" spans="1:14" s="254" customFormat="1" ht="14.25" customHeight="1">
      <c r="N10" s="262"/>
    </row>
    <row r="11" spans="1:14" s="266" customFormat="1" ht="22.5" customHeight="1" thickBot="1">
      <c r="A11" s="263" t="s">
        <v>272</v>
      </c>
      <c r="B11" s="264"/>
      <c r="C11" s="265"/>
      <c r="D11" s="265"/>
      <c r="E11" s="265"/>
      <c r="F11" s="265"/>
      <c r="G11" s="265"/>
      <c r="H11" s="264"/>
      <c r="I11" s="264"/>
      <c r="J11" s="264"/>
      <c r="K11" s="264"/>
      <c r="L11" s="264"/>
      <c r="N11" s="267"/>
    </row>
    <row r="12" spans="1:14" s="254" customFormat="1" ht="22.5" customHeight="1">
      <c r="A12" s="644" t="s">
        <v>16</v>
      </c>
      <c r="B12" s="646" t="s">
        <v>92</v>
      </c>
      <c r="C12" s="648" t="s">
        <v>80</v>
      </c>
      <c r="D12" s="644" t="s">
        <v>86</v>
      </c>
      <c r="E12" s="650"/>
      <c r="F12" s="651" t="s">
        <v>84</v>
      </c>
      <c r="G12" s="648"/>
      <c r="H12" s="652" t="s">
        <v>89</v>
      </c>
      <c r="I12" s="653"/>
      <c r="J12" s="654"/>
      <c r="K12" s="642" t="s">
        <v>262</v>
      </c>
      <c r="L12" s="642" t="s">
        <v>261</v>
      </c>
      <c r="N12" s="262"/>
    </row>
    <row r="13" spans="1:14" s="254" customFormat="1" ht="22.5" customHeight="1" thickBot="1">
      <c r="A13" s="645"/>
      <c r="B13" s="647"/>
      <c r="C13" s="649"/>
      <c r="D13" s="255" t="s">
        <v>85</v>
      </c>
      <c r="E13" s="257" t="s">
        <v>87</v>
      </c>
      <c r="F13" s="258" t="s">
        <v>85</v>
      </c>
      <c r="G13" s="256" t="s">
        <v>87</v>
      </c>
      <c r="H13" s="259" t="s">
        <v>269</v>
      </c>
      <c r="I13" s="260" t="s">
        <v>270</v>
      </c>
      <c r="J13" s="261" t="s">
        <v>88</v>
      </c>
      <c r="K13" s="643"/>
      <c r="L13" s="643"/>
      <c r="N13" s="262"/>
    </row>
    <row r="14" spans="1:14" s="254" customFormat="1" ht="22.5" customHeight="1">
      <c r="A14" s="268" t="s">
        <v>57</v>
      </c>
      <c r="B14" s="269">
        <v>5000</v>
      </c>
      <c r="C14" s="270" t="s">
        <v>96</v>
      </c>
      <c r="D14" s="271">
        <v>200000</v>
      </c>
      <c r="E14" s="272">
        <v>2400000</v>
      </c>
      <c r="F14" s="273">
        <v>80000</v>
      </c>
      <c r="G14" s="274">
        <f>F14*12</f>
        <v>960000</v>
      </c>
      <c r="H14" s="271">
        <f>E14*15%</f>
        <v>360000</v>
      </c>
      <c r="I14" s="275">
        <f>E14-G14-H14</f>
        <v>1080000</v>
      </c>
      <c r="J14" s="276">
        <f>SUM(H14:I14)</f>
        <v>1440000</v>
      </c>
      <c r="K14" s="277">
        <v>4</v>
      </c>
      <c r="L14" s="277">
        <v>4</v>
      </c>
      <c r="N14" s="262"/>
    </row>
    <row r="15" spans="1:14" s="254" customFormat="1" ht="22.5" customHeight="1" thickBot="1">
      <c r="A15" s="278" t="s">
        <v>58</v>
      </c>
      <c r="B15" s="279">
        <v>10000</v>
      </c>
      <c r="C15" s="280" t="s">
        <v>96</v>
      </c>
      <c r="D15" s="281">
        <v>200000</v>
      </c>
      <c r="E15" s="282">
        <v>2400000</v>
      </c>
      <c r="F15" s="283">
        <v>80000</v>
      </c>
      <c r="G15" s="284">
        <f t="shared" ref="G15:G19" si="5">F15*12</f>
        <v>960000</v>
      </c>
      <c r="H15" s="281">
        <f t="shared" ref="H15:H19" si="6">E15*15%</f>
        <v>360000</v>
      </c>
      <c r="I15" s="285">
        <f t="shared" ref="I15:I19" si="7">E15-G15-H15</f>
        <v>1080000</v>
      </c>
      <c r="J15" s="286">
        <f t="shared" ref="J15:J17" si="8">SUM(H15:I15)</f>
        <v>1440000</v>
      </c>
      <c r="K15" s="287">
        <v>4</v>
      </c>
      <c r="L15" s="287">
        <v>4</v>
      </c>
      <c r="N15" s="262"/>
    </row>
    <row r="16" spans="1:14" s="254" customFormat="1" ht="22.5" customHeight="1" thickBot="1">
      <c r="A16" s="268" t="s">
        <v>263</v>
      </c>
      <c r="B16" s="269">
        <v>15000</v>
      </c>
      <c r="C16" s="270" t="s">
        <v>97</v>
      </c>
      <c r="D16" s="271">
        <v>225000</v>
      </c>
      <c r="E16" s="272">
        <v>2700000</v>
      </c>
      <c r="F16" s="273">
        <v>130000</v>
      </c>
      <c r="G16" s="274">
        <f t="shared" si="5"/>
        <v>1560000</v>
      </c>
      <c r="H16" s="271">
        <f t="shared" si="6"/>
        <v>405000</v>
      </c>
      <c r="I16" s="275">
        <f t="shared" si="7"/>
        <v>735000</v>
      </c>
      <c r="J16" s="276">
        <f t="shared" si="8"/>
        <v>1140000</v>
      </c>
      <c r="K16" s="277">
        <v>6</v>
      </c>
      <c r="L16" s="277">
        <v>6</v>
      </c>
    </row>
    <row r="17" spans="1:12" s="254" customFormat="1" ht="22.5" customHeight="1" thickBot="1">
      <c r="A17" s="288" t="s">
        <v>258</v>
      </c>
      <c r="B17" s="289">
        <v>30000</v>
      </c>
      <c r="C17" s="290" t="s">
        <v>98</v>
      </c>
      <c r="D17" s="291">
        <v>300000</v>
      </c>
      <c r="E17" s="292">
        <v>3600000</v>
      </c>
      <c r="F17" s="293">
        <v>150000</v>
      </c>
      <c r="G17" s="294">
        <f t="shared" si="5"/>
        <v>1800000</v>
      </c>
      <c r="H17" s="291">
        <f t="shared" si="6"/>
        <v>540000</v>
      </c>
      <c r="I17" s="295">
        <f t="shared" si="7"/>
        <v>1260000</v>
      </c>
      <c r="J17" s="296">
        <f t="shared" si="8"/>
        <v>1800000</v>
      </c>
      <c r="K17" s="297">
        <v>8</v>
      </c>
      <c r="L17" s="297">
        <v>8</v>
      </c>
    </row>
    <row r="18" spans="1:12" s="254" customFormat="1" ht="22.5" customHeight="1">
      <c r="A18" s="298" t="s">
        <v>259</v>
      </c>
      <c r="B18" s="299">
        <v>60000</v>
      </c>
      <c r="C18" s="300" t="s">
        <v>99</v>
      </c>
      <c r="D18" s="301">
        <v>400000</v>
      </c>
      <c r="E18" s="302">
        <v>4800000</v>
      </c>
      <c r="F18" s="303">
        <v>180000</v>
      </c>
      <c r="G18" s="304">
        <f t="shared" si="5"/>
        <v>2160000</v>
      </c>
      <c r="H18" s="301">
        <f t="shared" si="6"/>
        <v>720000</v>
      </c>
      <c r="I18" s="305">
        <f t="shared" si="7"/>
        <v>1920000</v>
      </c>
      <c r="J18" s="306">
        <f>SUM(H18:I18)</f>
        <v>2640000</v>
      </c>
      <c r="K18" s="307">
        <v>10</v>
      </c>
      <c r="L18" s="307">
        <v>10</v>
      </c>
    </row>
    <row r="19" spans="1:12" s="254" customFormat="1" ht="22.5" customHeight="1" thickBot="1">
      <c r="A19" s="278" t="s">
        <v>260</v>
      </c>
      <c r="B19" s="279">
        <v>150000</v>
      </c>
      <c r="C19" s="280" t="s">
        <v>99</v>
      </c>
      <c r="D19" s="281">
        <v>400000</v>
      </c>
      <c r="E19" s="282">
        <v>4800000</v>
      </c>
      <c r="F19" s="283">
        <v>180000</v>
      </c>
      <c r="G19" s="284">
        <f t="shared" si="5"/>
        <v>2160000</v>
      </c>
      <c r="H19" s="281">
        <f t="shared" si="6"/>
        <v>720000</v>
      </c>
      <c r="I19" s="285">
        <f t="shared" si="7"/>
        <v>1920000</v>
      </c>
      <c r="J19" s="286">
        <f t="shared" ref="J19" si="9">SUM(H19:I19)</f>
        <v>2640000</v>
      </c>
      <c r="K19" s="287">
        <v>10</v>
      </c>
      <c r="L19" s="287">
        <v>10</v>
      </c>
    </row>
    <row r="21" spans="1:12" s="309" customFormat="1">
      <c r="A21" s="308" t="s">
        <v>275</v>
      </c>
    </row>
    <row r="22" spans="1:12" s="309" customFormat="1">
      <c r="A22" s="310" t="s">
        <v>274</v>
      </c>
    </row>
    <row r="23" spans="1:12" s="309" customFormat="1">
      <c r="A23" s="310" t="s">
        <v>273</v>
      </c>
    </row>
  </sheetData>
  <mergeCells count="16">
    <mergeCell ref="K2:K3"/>
    <mergeCell ref="L2:L3"/>
    <mergeCell ref="A12:A13"/>
    <mergeCell ref="B12:B13"/>
    <mergeCell ref="C12:C13"/>
    <mergeCell ref="D12:E12"/>
    <mergeCell ref="F12:G12"/>
    <mergeCell ref="H12:J12"/>
    <mergeCell ref="K12:K13"/>
    <mergeCell ref="L12:L13"/>
    <mergeCell ref="A2:A3"/>
    <mergeCell ref="B2:B3"/>
    <mergeCell ref="C2:C3"/>
    <mergeCell ref="D2:E2"/>
    <mergeCell ref="F2:G2"/>
    <mergeCell ref="H2:J2"/>
  </mergeCells>
  <phoneticPr fontId="4" type="noConversion"/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3F3D-7F31-4934-92FC-42605FFA3F45}">
  <dimension ref="A1:H11"/>
  <sheetViews>
    <sheetView showGridLines="0" workbookViewId="0">
      <selection activeCell="G8" sqref="G8"/>
    </sheetView>
  </sheetViews>
  <sheetFormatPr defaultRowHeight="16.5"/>
  <cols>
    <col min="1" max="16384" width="8.88671875" style="254"/>
  </cols>
  <sheetData>
    <row r="1" spans="1:8" s="266" customFormat="1">
      <c r="A1" s="312" t="s">
        <v>277</v>
      </c>
      <c r="B1" s="313"/>
      <c r="C1" s="313"/>
      <c r="D1" s="313"/>
      <c r="E1" s="313"/>
      <c r="F1" s="313"/>
      <c r="G1" s="313"/>
      <c r="H1" s="314"/>
    </row>
    <row r="2" spans="1:8" ht="23.25" customHeight="1">
      <c r="A2" s="315" t="s">
        <v>276</v>
      </c>
      <c r="H2" s="316"/>
    </row>
    <row r="3" spans="1:8" ht="23.25" customHeight="1">
      <c r="A3" s="315" t="s">
        <v>278</v>
      </c>
      <c r="H3" s="316"/>
    </row>
    <row r="4" spans="1:8" ht="23.25" customHeight="1">
      <c r="A4" s="315" t="s">
        <v>279</v>
      </c>
      <c r="H4" s="316"/>
    </row>
    <row r="5" spans="1:8" ht="23.25" customHeight="1">
      <c r="A5" s="315" t="s">
        <v>282</v>
      </c>
      <c r="H5" s="316"/>
    </row>
    <row r="6" spans="1:8" ht="23.25" customHeight="1">
      <c r="A6" s="315" t="s">
        <v>280</v>
      </c>
      <c r="H6" s="316"/>
    </row>
    <row r="7" spans="1:8" ht="23.25" customHeight="1">
      <c r="A7" s="315" t="s">
        <v>281</v>
      </c>
      <c r="H7" s="316"/>
    </row>
    <row r="8" spans="1:8" ht="23.25" customHeight="1">
      <c r="A8" s="315" t="s">
        <v>283</v>
      </c>
      <c r="H8" s="316"/>
    </row>
    <row r="9" spans="1:8" ht="23.25" customHeight="1">
      <c r="A9" s="317" t="s">
        <v>284</v>
      </c>
      <c r="H9" s="316"/>
    </row>
    <row r="10" spans="1:8" ht="17.25" thickBot="1">
      <c r="A10" s="318"/>
      <c r="B10" s="319"/>
      <c r="C10" s="319"/>
      <c r="D10" s="319"/>
      <c r="E10" s="319"/>
      <c r="F10" s="319"/>
      <c r="G10" s="319"/>
      <c r="H10" s="320"/>
    </row>
    <row r="11" spans="1:8">
      <c r="A11" s="31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6</vt:i4>
      </vt:variant>
    </vt:vector>
  </HeadingPairs>
  <TitlesOfParts>
    <vt:vector size="17" baseType="lpstr">
      <vt:lpstr>표지</vt:lpstr>
      <vt:lpstr>1. 견적서</vt:lpstr>
      <vt:lpstr>2.1 성능점검 산출내역</vt:lpstr>
      <vt:lpstr>2.2 유지점검 산출내역</vt:lpstr>
      <vt:lpstr>2.3 선임 산출내역</vt:lpstr>
      <vt:lpstr>3. 업무처리 절차</vt:lpstr>
      <vt:lpstr>Sheet1</vt:lpstr>
      <vt:lpstr>Sheet2</vt:lpstr>
      <vt:lpstr>Sheet3</vt:lpstr>
      <vt:lpstr>26'1월견적표</vt:lpstr>
      <vt:lpstr>26'1월계약진행</vt:lpstr>
      <vt:lpstr>'1. 견적서'!Print_Area</vt:lpstr>
      <vt:lpstr>'2.1 성능점검 산출내역'!Print_Area</vt:lpstr>
      <vt:lpstr>'2.2 유지점검 산출내역'!Print_Area</vt:lpstr>
      <vt:lpstr>'2.3 선임 산출내역'!Print_Area</vt:lpstr>
      <vt:lpstr>'3. 업무처리 절차'!Print_Area</vt:lpstr>
      <vt:lpstr>표지!Print_Area</vt:lpstr>
    </vt:vector>
  </TitlesOfParts>
  <Company>s/b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Master</cp:lastModifiedBy>
  <cp:lastPrinted>2026-03-05T06:30:02Z</cp:lastPrinted>
  <dcterms:created xsi:type="dcterms:W3CDTF">1999-08-28T01:02:59Z</dcterms:created>
  <dcterms:modified xsi:type="dcterms:W3CDTF">2026-03-06T06:58:03Z</dcterms:modified>
</cp:coreProperties>
</file>