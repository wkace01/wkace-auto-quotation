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정보통신사업부\.claude\worktrees\blissful-kalam\"/>
    </mc:Choice>
  </mc:AlternateContent>
  <xr:revisionPtr revIDLastSave="0" documentId="13_ncr:1_{8ABCC198-DCC3-468A-BFD2-21C314737542}" xr6:coauthVersionLast="47" xr6:coauthVersionMax="47" xr10:uidLastSave="{00000000-0000-0000-0000-000000000000}"/>
  <bookViews>
    <workbookView xWindow="28680" yWindow="-120" windowWidth="29040" windowHeight="15720" tabRatio="854" firstSheet="1" activeTab="1" xr2:uid="{00000000-000D-0000-FFFF-FFFF00000000}"/>
  </bookViews>
  <sheets>
    <sheet name="VXXXXX" sheetId="1" state="veryHidden" r:id="rId1"/>
    <sheet name="표지" sheetId="2" r:id="rId2"/>
    <sheet name="1. 견적서" sheetId="3" r:id="rId3"/>
    <sheet name="2.1 성능점검 산출내역" sheetId="4" r:id="rId4"/>
    <sheet name="2.2 유지점검 산출내역" sheetId="5" r:id="rId5"/>
    <sheet name="2.3 선임 산출내역" sheetId="6" r:id="rId6"/>
    <sheet name="3. 업무처리 절차" sheetId="7" r:id="rId7"/>
    <sheet name="Sheet1" sheetId="8" state="hidden" r:id="rId8"/>
    <sheet name="Sheet2" sheetId="9" state="hidden" r:id="rId9"/>
    <sheet name="Sheet3" sheetId="10" state="hidden" r:id="rId10"/>
    <sheet name="26'1월견적표" sheetId="11" state="hidden" r:id="rId11"/>
    <sheet name="26'1월계약진행" sheetId="12" state="hidden" r:id="rId12"/>
  </sheets>
  <externalReferences>
    <externalReference r:id="rId13"/>
    <externalReference r:id="rId14"/>
    <externalReference r:id="rId15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localSheetId="1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2">'1. 견적서'!$A$1:$AB$36</definedName>
    <definedName name="_xlnm.Print_Area" localSheetId="3">'2.1 성능점검 산출내역'!$A$1:$J$36</definedName>
    <definedName name="_xlnm.Print_Area" localSheetId="4">'2.2 유지점검 산출내역'!$A$1:$J$36</definedName>
    <definedName name="_xlnm.Print_Area" localSheetId="5">'2.3 선임 산출내역'!$A$1:$J$36</definedName>
    <definedName name="_xlnm.Print_Area" localSheetId="6">'3. 업무처리 절차'!$A$1:$Y$40</definedName>
    <definedName name="_xlnm.Print_Area" localSheetId="1">표지!$A$1:$J$28</definedName>
    <definedName name="_xlnm.Recorder">#REF!</definedName>
    <definedName name="wrn.포장단가." localSheetId="1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1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11" l="1"/>
  <c r="G19" i="11"/>
  <c r="I19" i="11" s="1"/>
  <c r="H18" i="11"/>
  <c r="G18" i="11"/>
  <c r="H17" i="11"/>
  <c r="G17" i="11"/>
  <c r="I17" i="11" s="1"/>
  <c r="H16" i="11"/>
  <c r="J16" i="11" s="1"/>
  <c r="G16" i="11"/>
  <c r="I16" i="11" s="1"/>
  <c r="H15" i="11"/>
  <c r="G15" i="11"/>
  <c r="I15" i="11" s="1"/>
  <c r="H14" i="11"/>
  <c r="G14" i="11"/>
  <c r="I14" i="11" s="1"/>
  <c r="H9" i="11"/>
  <c r="G9" i="11"/>
  <c r="I9" i="11" s="1"/>
  <c r="H8" i="11"/>
  <c r="G8" i="11"/>
  <c r="I8" i="11" s="1"/>
  <c r="H7" i="11"/>
  <c r="G7" i="11"/>
  <c r="I7" i="11" s="1"/>
  <c r="H6" i="11"/>
  <c r="G6" i="11"/>
  <c r="I6" i="11" s="1"/>
  <c r="G5" i="11"/>
  <c r="E5" i="11"/>
  <c r="H4" i="11"/>
  <c r="G4" i="11"/>
  <c r="I4" i="11" s="1"/>
  <c r="F8" i="10"/>
  <c r="F7" i="10"/>
  <c r="F6" i="10"/>
  <c r="F5" i="10"/>
  <c r="F4" i="10"/>
  <c r="F3" i="10"/>
  <c r="F2" i="10"/>
  <c r="F9" i="10" s="1"/>
  <c r="F20" i="8"/>
  <c r="E20" i="8"/>
  <c r="D20" i="8"/>
  <c r="F15" i="8"/>
  <c r="E15" i="8"/>
  <c r="D15" i="8"/>
  <c r="F10" i="8"/>
  <c r="E10" i="8"/>
  <c r="D10" i="8"/>
  <c r="F4" i="8"/>
  <c r="E4" i="8"/>
  <c r="D4" i="8"/>
  <c r="F9" i="6"/>
  <c r="H9" i="6" s="1"/>
  <c r="F8" i="6"/>
  <c r="H8" i="6" s="1"/>
  <c r="F7" i="6"/>
  <c r="H7" i="6" s="1"/>
  <c r="F6" i="6"/>
  <c r="H6" i="6" s="1"/>
  <c r="H9" i="5"/>
  <c r="H8" i="5"/>
  <c r="H7" i="5"/>
  <c r="H6" i="5"/>
  <c r="H9" i="4"/>
  <c r="H8" i="4"/>
  <c r="H7" i="4"/>
  <c r="H6" i="4"/>
  <c r="V21" i="3"/>
  <c r="O21" i="3"/>
  <c r="J14" i="3"/>
  <c r="E8" i="3"/>
  <c r="A18" i="2"/>
  <c r="J15" i="11" l="1"/>
  <c r="J4" i="11"/>
  <c r="J17" i="11"/>
  <c r="J6" i="11"/>
  <c r="J8" i="11"/>
  <c r="J9" i="11"/>
  <c r="J14" i="11"/>
  <c r="J7" i="11"/>
  <c r="J19" i="11"/>
  <c r="H5" i="11"/>
  <c r="I18" i="11"/>
  <c r="J18" i="11" s="1"/>
  <c r="I5" i="11" l="1"/>
  <c r="J5" i="11" s="1"/>
</calcChain>
</file>

<file path=xl/sharedStrings.xml><?xml version="1.0" encoding="utf-8"?>
<sst xmlns="http://schemas.openxmlformats.org/spreadsheetml/2006/main" count="479" uniqueCount="267">
  <si>
    <t>견   적   서</t>
  </si>
  <si>
    <t>견적명 : 정보통신설비 유지보수관리 업무 위탁</t>
  </si>
  <si>
    <t>[성능점검, 유지보수관리점검, 유지관리자 선임(비상주)]</t>
  </si>
  <si>
    <t>주식회사 우경정보통신</t>
  </si>
  <si>
    <t>[본       사] : 경기도 용인시 기흥구 죽현로 8-22, 301호(보정동, 휴먼타워)</t>
  </si>
  <si>
    <t>T. 031-8009-0084</t>
  </si>
  <si>
    <t>[북부 지사] : 경기도 의정부시 오목로 225번길 161, 202호 (마운틴프라자)</t>
  </si>
  <si>
    <t>FAX. 031-263-1537</t>
  </si>
  <si>
    <t>[부천 지사] : 경기도 부천시 길주로 125, 303호 (다승프라자)</t>
  </si>
  <si>
    <t>E-mail. wkict@naver.com</t>
  </si>
  <si>
    <t>견      적      서</t>
  </si>
  <si>
    <t>(정보통신설비성능점검/정보통신설비유지관리자위탁선임/기계설비성능점검업/기계설비 유지관리 점검대행
 소방안전관리 업무대행업/종합정밀, 작동기능점검전문/소방시설공사 외/전기안전관리대행/전기 직무고시/긴급전기사고 복구공사)</t>
  </si>
  <si>
    <t xml:space="preserve">일  자 : </t>
  </si>
  <si>
    <t>공
급
자</t>
  </si>
  <si>
    <t>사업자번호</t>
  </si>
  <si>
    <t>615-87-03488</t>
  </si>
  <si>
    <t xml:space="preserve">고객명 : </t>
  </si>
  <si>
    <t>상     호</t>
  </si>
  <si>
    <t>㈜우경정보통신</t>
  </si>
  <si>
    <t>대   표</t>
  </si>
  <si>
    <t>박진철</t>
  </si>
  <si>
    <t xml:space="preserve">견적명 : </t>
  </si>
  <si>
    <t>정보통신 유지보수관리 업무 위탁</t>
  </si>
  <si>
    <t>소 재 지</t>
  </si>
  <si>
    <t>경기도 용인시 기흥구 죽현로8-22 휴먼타워301호</t>
  </si>
  <si>
    <t xml:space="preserve">견적유효기간 : </t>
  </si>
  <si>
    <t>60일</t>
  </si>
  <si>
    <t>업    태</t>
  </si>
  <si>
    <t>서비스업</t>
  </si>
  <si>
    <t>종  목</t>
  </si>
  <si>
    <t>정보통신설비 성능점검 외</t>
  </si>
  <si>
    <t xml:space="preserve"> </t>
  </si>
  <si>
    <t>아래와 같이 견적합니다.</t>
  </si>
  <si>
    <t>담 당 자</t>
  </si>
  <si>
    <t>전화번호</t>
  </si>
  <si>
    <t>1.  대    상    물</t>
  </si>
  <si>
    <t>2.  주          소</t>
  </si>
  <si>
    <t>3.  사 용 승 인 일</t>
  </si>
  <si>
    <t>4.  건  물  개  요</t>
  </si>
  <si>
    <t>연면적</t>
  </si>
  <si>
    <t>㎡</t>
  </si>
  <si>
    <t>5.  담    당    자</t>
  </si>
  <si>
    <t>연락처</t>
  </si>
  <si>
    <t>6.  점  검  항  목</t>
  </si>
  <si>
    <t>성능점검 1회, 유지보수관리점검 2회, 유지관리자 위탁 선임(비상주) 1년</t>
  </si>
  <si>
    <t>합계금액 (부가세별도)</t>
  </si>
  <si>
    <t>일금</t>
  </si>
  <si>
    <t>원정</t>
  </si>
  <si>
    <t>(</t>
  </si>
  <si>
    <t>)</t>
  </si>
  <si>
    <t>No.</t>
  </si>
  <si>
    <t>구  분</t>
  </si>
  <si>
    <t>단   위</t>
  </si>
  <si>
    <t>수   량</t>
  </si>
  <si>
    <t>금   액</t>
  </si>
  <si>
    <t>비 고</t>
  </si>
  <si>
    <t>정보통신설비 성능점검[년 1회]</t>
  </si>
  <si>
    <t>식</t>
  </si>
  <si>
    <t>1회</t>
  </si>
  <si>
    <t>정보통신설비 유지점검[년 2회]</t>
  </si>
  <si>
    <t>2회</t>
  </si>
  <si>
    <t>유지관리자 비상주 위탁선임[12개월]</t>
  </si>
  <si>
    <t>합 계</t>
  </si>
  <si>
    <t>최종 견적금액 [년]</t>
  </si>
  <si>
    <t>결제 방식은
협의 가능</t>
  </si>
  <si>
    <t>월 견적금액 [12개월 분할 결재 시]</t>
  </si>
  <si>
    <t>[  견적 산출 근거 및 참고 사항  ]</t>
  </si>
  <si>
    <t>□ 정보통신공사업법 제37조의 2~4</t>
  </si>
  <si>
    <t>□ 정보통신공사업법 시행규칙 제8조~제11조</t>
  </si>
  <si>
    <t>□ 정보통신공사업법 시행령 제37조의 2~3</t>
  </si>
  <si>
    <t>□ 정보통신설비 유지보수·관리기준</t>
  </si>
  <si>
    <t>■ 견적금액 조정에 따른 기술인력 투입인원은 조정 될 수 있습니다.</t>
  </si>
  <si>
    <t>■ 반기 유지관리 점검과 성능점검은 동시에 진행 할 수 있습니다.</t>
  </si>
  <si>
    <t>■ 장기계약 및 전기, 기계, 소방 통합 계약 고객 할인 혜택을 적용</t>
  </si>
  <si>
    <t>성능점검 수수료 산출 내역서</t>
  </si>
  <si>
    <t>1. 성 능 점 검</t>
  </si>
  <si>
    <t>NO</t>
  </si>
  <si>
    <t>항 목</t>
  </si>
  <si>
    <t>단  위</t>
  </si>
  <si>
    <t>수  량</t>
  </si>
  <si>
    <t>노임단가</t>
  </si>
  <si>
    <t>금   액 (원)</t>
  </si>
  <si>
    <t>1)</t>
  </si>
  <si>
    <t>직접인건비</t>
  </si>
  <si>
    <t>특급</t>
  </si>
  <si>
    <t>정보통신기술자</t>
  </si>
  <si>
    <t>인</t>
  </si>
  <si>
    <t>고급</t>
  </si>
  <si>
    <t>중급</t>
  </si>
  <si>
    <t>초급</t>
  </si>
  <si>
    <t>직접인건비 합계</t>
  </si>
  <si>
    <t>2)</t>
  </si>
  <si>
    <t>직접경비</t>
  </si>
  <si>
    <t xml:space="preserve"> 직접인건비의</t>
  </si>
  <si>
    <t>여비,차량운행비
현장소요경비 등</t>
  </si>
  <si>
    <t>3)</t>
  </si>
  <si>
    <t>제 경 비</t>
  </si>
  <si>
    <t>110~120%</t>
  </si>
  <si>
    <t>4)</t>
  </si>
  <si>
    <t>기 술 료</t>
  </si>
  <si>
    <t xml:space="preserve"> 직접인건비+제경비의</t>
  </si>
  <si>
    <t>20~40%</t>
  </si>
  <si>
    <t>5)</t>
  </si>
  <si>
    <t>소계</t>
  </si>
  <si>
    <t>(1+2+3+4)</t>
  </si>
  <si>
    <t>6)</t>
  </si>
  <si>
    <t>조정금액</t>
  </si>
  <si>
    <t>7)</t>
  </si>
  <si>
    <t>합 계 금 액</t>
  </si>
  <si>
    <t>[견적 산출 조건]</t>
  </si>
  <si>
    <t>1. 관련 근거</t>
  </si>
  <si>
    <t>● 「정보통신공사업법」 제37조의 2~4, 제78조</t>
  </si>
  <si>
    <t>● 「정보통신공사업법 시행령」 제37조의 2~3, 제58조</t>
  </si>
  <si>
    <t>● 「정보통신공사업법 시행규칙」 제8조 ~ 제11조</t>
  </si>
  <si>
    <t>● 「정보통신설비 유지보수·관리기준」</t>
  </si>
  <si>
    <t>2. 성능점검 의무사항</t>
  </si>
  <si>
    <t>구분</t>
  </si>
  <si>
    <t>성능점검</t>
  </si>
  <si>
    <t>관리방식</t>
  </si>
  <si>
    <t>관리주체가 성능점검을 직접 실시하는 경우, 규칙 별표1의 유지보수, 관리자
선임기준을 준용하여 연면적 규모에 적합하게 고용하여 성능점검 실시
※ 공사업자, 용역업자에게 점검대행 가능</t>
  </si>
  <si>
    <t>점검주기</t>
  </si>
  <si>
    <t>매년 1회 이상</t>
  </si>
  <si>
    <t>점검사항</t>
  </si>
  <si>
    <t>1. 정보통신설비 성능점검표 기록 및 보존</t>
  </si>
  <si>
    <t>2. 정보통신설비 성능점검표 지차체 제출</t>
  </si>
  <si>
    <t>보존기간</t>
  </si>
  <si>
    <t>5년</t>
  </si>
  <si>
    <t>유지점검 수수료 산출 내역서</t>
  </si>
  <si>
    <t>2. 유 지 점 검</t>
  </si>
  <si>
    <t>소  계</t>
  </si>
  <si>
    <t>2. 유지보수·관리 의무사항</t>
  </si>
  <si>
    <t>유지보수·관리</t>
  </si>
  <si>
    <t>관리주체는 건축물 규모별 선임기준에 맞춰 관리자 선임
※ 정보통신 공사업자에게 위탁 가능</t>
  </si>
  <si>
    <t>반기별 1회 이상</t>
  </si>
  <si>
    <t>1. 설비의 외관, 기능 및 안전상태를 매년 주기적으로 점검 실시</t>
  </si>
  <si>
    <t>2. 점검결과를 반기별 1회 이상 정보통신설비 유지보수 관리 점검표에 기록</t>
  </si>
  <si>
    <t>해당 없음</t>
  </si>
  <si>
    <t>유지관리자 선임(비상주) 위탁 수수료 산출 내역서</t>
  </si>
  <si>
    <t>3. 유지관리자 선임</t>
  </si>
  <si>
    <t>투입인원</t>
  </si>
  <si>
    <t>기간[월]</t>
  </si>
  <si>
    <t>2.유지보수·관리자 선임기준</t>
  </si>
  <si>
    <t>유지보수·관리 및 성능점검 대상</t>
  </si>
  <si>
    <t>선임자격</t>
  </si>
  <si>
    <t>선임인원</t>
  </si>
  <si>
    <t>선임 유예 기한</t>
  </si>
  <si>
    <t>연면적 6만[㎡] 이상 건축물</t>
  </si>
  <si>
    <t>특급기술자</t>
  </si>
  <si>
    <t>1명</t>
  </si>
  <si>
    <t>연면적 3만[㎡] 이상 ~ 6만[㎡] 미만 건축물</t>
  </si>
  <si>
    <t>고급기술자 이상</t>
  </si>
  <si>
    <t>연면적 1만5천[㎡] 이상 ~ 3만[㎡] 미만 건축물</t>
  </si>
  <si>
    <t>중급기술자 이상</t>
  </si>
  <si>
    <t>연면적 1만[㎡] 이상 ~ 1만5천[㎡] 미만 건축물</t>
  </si>
  <si>
    <t>초급기술자 이상</t>
  </si>
  <si>
    <t>연면적 5천[㎡] 이상 ~ 1만[㎡] 미만 건축물</t>
  </si>
  <si>
    <t>※ 연면적 5천 제곱 미터 이상의 건축물</t>
  </si>
  <si>
    <t xml:space="preserve">   [공동주택 및 학교시설(초,중,고등학교 및 특수학교) 제외</t>
  </si>
  <si>
    <t>정보통신설비 유지보수·관리 업무처리 절차</t>
  </si>
  <si>
    <t>정보통신설비 유지보수관리</t>
  </si>
  <si>
    <t>정보통신설비 성능점검</t>
  </si>
  <si>
    <t>관리주체
[정보통신설비 소유자 또는 관리자]</t>
  </si>
  <si>
    <t>유지보수관리 자료 구비</t>
  </si>
  <si>
    <t>성능점검 자료 구비</t>
  </si>
  <si>
    <t>(정보통신설비 유지보수관리기준 제6조)</t>
  </si>
  <si>
    <t>자체관리</t>
  </si>
  <si>
    <t>관리위탁</t>
  </si>
  <si>
    <t>자체점검</t>
  </si>
  <si>
    <t>점검대행</t>
  </si>
  <si>
    <t>유지보수 관리자
선임</t>
  </si>
  <si>
    <t>공사업자</t>
  </si>
  <si>
    <t>선임기준에
적합하게 고용</t>
  </si>
  <si>
    <t>공사업자
또는
용역업자</t>
  </si>
  <si>
    <t>(정보통신공사업법 시행규칙 별표)</t>
  </si>
  <si>
    <t>지자체에 선,해임 신고</t>
  </si>
  <si>
    <t>유지보수관리 및 성능점검 계획 수립
(최초 점검 실시전)</t>
  </si>
  <si>
    <t>성능점검 계획 수립
(최초 점검 실시전)</t>
  </si>
  <si>
    <t>(정보통신설비 유지보수관리기준 제7조)</t>
  </si>
  <si>
    <t>정보통신설비 유지보수관리 실시
반기별 1회 이상 기록</t>
  </si>
  <si>
    <t>정보통신설비 성능점검 실시(매년 1회 이상)</t>
  </si>
  <si>
    <t>(정보통신설비 유지보수관리기준 제10조 제1항)</t>
  </si>
  <si>
    <t>(정보통신설비 유지보수관리기준 제8조)</t>
  </si>
  <si>
    <t>정보통신설비 성능점검표 기록 및 보존</t>
  </si>
  <si>
    <t>(정보통신설비 유지보수관리기준 제10조 제4항)</t>
  </si>
  <si>
    <t>성능점검표 제출 요청 시 제출</t>
  </si>
  <si>
    <t>(정보통신설비 유지보수관리기준 제10조 제5항)</t>
  </si>
  <si>
    <t>※ 시·군·구청장 요청시</t>
  </si>
  <si>
    <t>▣ 미사강변오벨리스크 정보통신설비 유지보수관리 견적내역</t>
  </si>
  <si>
    <t>한경이엔지</t>
  </si>
  <si>
    <t>나인정보기술</t>
  </si>
  <si>
    <t>우경정보통신</t>
  </si>
  <si>
    <t>비고</t>
  </si>
  <si>
    <t>견적금액</t>
  </si>
  <si>
    <t>월</t>
  </si>
  <si>
    <t>부가세별도</t>
  </si>
  <si>
    <t>년간</t>
  </si>
  <si>
    <t>▣ 효성해링턴더퍼스트 정보통신설비 유지보수관리 견적내역</t>
  </si>
  <si>
    <t>▣ 동탄레이크원 정보통신설비 유지보수관리 견적내역</t>
  </si>
  <si>
    <t>▣ 동작 협성휴포레시그니처 정보통신설비 유지보수관리 견적내역</t>
  </si>
  <si>
    <t>SK실트론 정보통신설비 유지보수관리 대상처 및 견적 내역</t>
  </si>
  <si>
    <t>대상처명</t>
  </si>
  <si>
    <t>주소</t>
  </si>
  <si>
    <t>건축물 용도</t>
  </si>
  <si>
    <t>연면적[㎡]</t>
  </si>
  <si>
    <t>등급</t>
  </si>
  <si>
    <t>사용승인일</t>
  </si>
  <si>
    <t>LS전선 동해공장</t>
  </si>
  <si>
    <t>강원도 동해시 대동로 215</t>
  </si>
  <si>
    <t>공장</t>
  </si>
  <si>
    <t>LS전선 구미공장</t>
  </si>
  <si>
    <t>경상북도 구미시 수출대로 228</t>
  </si>
  <si>
    <t>LS전선 안동공장</t>
  </si>
  <si>
    <t>경상북도 구미시 3공단2로 238</t>
  </si>
  <si>
    <t>LS전선 군포연구소</t>
  </si>
  <si>
    <t>경기도 군포시 공단로 140번길 27</t>
  </si>
  <si>
    <t>SK온 서산공장</t>
  </si>
  <si>
    <t>충청남도 서산시 무장산업로 59-122</t>
  </si>
  <si>
    <t>SK온 본사</t>
  </si>
  <si>
    <t>서울특별시 종로구 인사동7길 32</t>
  </si>
  <si>
    <t>SK바이오사이언스 안동공장</t>
  </si>
  <si>
    <t>경상북도 안동시 풍산읍 산업단지길 150</t>
  </si>
  <si>
    <t>순분</t>
  </si>
  <si>
    <t>월 분납금액</t>
  </si>
  <si>
    <t>군산1공장</t>
  </si>
  <si>
    <t>전북 군산시 외항로 82</t>
  </si>
  <si>
    <t>군산2공장</t>
  </si>
  <si>
    <t>전북 군산시 임해로 423</t>
  </si>
  <si>
    <t>포항공장</t>
  </si>
  <si>
    <t>경북 포항시 남구 청림서길 54</t>
  </si>
  <si>
    <t>괴동공장</t>
  </si>
  <si>
    <t>경북 포항시 남구 대송로101번길 66</t>
  </si>
  <si>
    <t>광양공장</t>
  </si>
  <si>
    <t>전남 광양시 산업로 109</t>
  </si>
  <si>
    <t>익산공장</t>
  </si>
  <si>
    <t>전북 익산시 보석로4길 107</t>
  </si>
  <si>
    <t>오씨아이 중앙연구소</t>
  </si>
  <si>
    <t>경기 성남시 중원구 사기막골로62번길 61</t>
  </si>
  <si>
    <t>▣ 정보통신 견적 조건표_기본견적</t>
  </si>
  <si>
    <t>연면적(㎡)</t>
  </si>
  <si>
    <t>하한값</t>
  </si>
  <si>
    <t>통합 견적금액</t>
  </si>
  <si>
    <t>선임위탁 비용</t>
  </si>
  <si>
    <t>유지, 성능 점검 합계</t>
  </si>
  <si>
    <t>성능점검
인력</t>
  </si>
  <si>
    <t>유지점검
인력</t>
  </si>
  <si>
    <t>유지비용</t>
  </si>
  <si>
    <t>성능비용</t>
  </si>
  <si>
    <t>합계</t>
  </si>
  <si>
    <t>5,000이상 ~ 10,000미만</t>
  </si>
  <si>
    <t>10,000이상 ~ 15,000미만</t>
  </si>
  <si>
    <t>15,000이상 ~ 30,000미만</t>
  </si>
  <si>
    <t>30,000이상 ~ 60,000미만</t>
  </si>
  <si>
    <t>60,000이상 ~ 150,000미만</t>
  </si>
  <si>
    <t>150,000이상</t>
  </si>
  <si>
    <t>▣ 정보통신 견적 조건표_최저견적</t>
  </si>
  <si>
    <t>* 견적 작성 시 연면적 확인 필수</t>
  </si>
  <si>
    <t>* 서울, 수도권 외 지역은 사업부와 금액 확인 필요</t>
  </si>
  <si>
    <t>* 영업비 있는 경우 영업비 금액 반영하여 견적 산정 필요</t>
  </si>
  <si>
    <t>★ 중요 ★ 계약 진행 시 확인사항</t>
  </si>
  <si>
    <t>1. 사업자등록증 받기_선임용, 세금계산서용 구분</t>
  </si>
  <si>
    <t>2. 건축물대장과 다를 경우 단지개요 받기</t>
  </si>
  <si>
    <t>3. 세금계산서 발행 정보 받기 _ 향후 계약서 상 명시 예정</t>
  </si>
  <si>
    <t xml:space="preserve">  (고객사 계약서 양식 사용 시 따로 받아둘것)</t>
  </si>
  <si>
    <t>4. 담당자 이름 / 전화번호 / 이메일주소 함께 전달 =&gt; 점검, 청구 문의 시 사용예정</t>
  </si>
  <si>
    <t>5. 계약서 상 계약일자 기입하기</t>
  </si>
  <si>
    <t>6. 선임신고 시 추가 보완서류 요청 가능</t>
  </si>
  <si>
    <t xml:space="preserve">  (신탁명부, 관리단 부재에 대한 공문, 등기부등본 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</si>
</sst>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9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.0%"/>
    <numFmt numFmtId="177" formatCode="#,##0_);[Red]\(#,##0\)"/>
    <numFmt numFmtId="178" formatCode="[DBNum4][$-412]General"/>
    <numFmt numFmtId="179" formatCode="yyyy&quot;년&quot;\ m&quot;월&quot;\ d&quot;일&quot;;@"/>
    <numFmt numFmtId="180" formatCode="#,##0_ "/>
    <numFmt numFmtId="181" formatCode="_-* #,##0.00_-;\-* #,##0.00_-;_-* &quot;-&quot;_-;_-@_-"/>
    <numFmt numFmtId="182" formatCode="#,###\ &quot;m3&quot;"/>
    <numFmt numFmtId="183" formatCode="_ * #,##0_ ;_ * &quot;₩&quot;&quot;₩&quot;&quot;₩&quot;&quot;₩&quot;&quot;₩&quot;&quot;₩&quot;\-#,##0_ ;_ * &quot;-&quot;_ ;_ @_ "/>
    <numFmt numFmtId="184" formatCode="_ * #,##0_ ;_ * \-#,##0_ ;_ * &quot;-&quot;_ ;_ @_ "/>
    <numFmt numFmtId="185" formatCode="0.000"/>
    <numFmt numFmtId="186" formatCode="&quot;₩&quot;\ \ #,##0\ &quot;원정&quot;;\-&quot;₩&quot;#,##0"/>
    <numFmt numFmtId="187" formatCode="#,##0.00_);[Red]\(#,##0.00\)"/>
    <numFmt numFmtId="188" formatCode="0.000000"/>
    <numFmt numFmtId="189" formatCode="#,##0;[Red]&quot;-&quot;#,##0"/>
    <numFmt numFmtId="190" formatCode="#,##0.00;[Red]&quot;-&quot;#,##0.00"/>
    <numFmt numFmtId="191" formatCode="_ &quot;₩&quot;* #,##0_ ;_ &quot;₩&quot;* \-#,##0_ ;_ &quot;₩&quot;* &quot;-&quot;_ ;_ @_ "/>
    <numFmt numFmtId="192" formatCode="_ &quot;₩&quot;* #,##0.00_ ;_ &quot;₩&quot;* \-#,##0.00_ ;_ &quot;₩&quot;* &quot;-&quot;??_ ;_ @_ "/>
    <numFmt numFmtId="193" formatCode="&quot;₩&quot;#,##0;[Red]&quot;₩&quot;\-#,##0"/>
    <numFmt numFmtId="194" formatCode="_ * #,##0.00_ ;_ * \-#,##0.00_ ;_ * &quot;-&quot;??_ ;_ @_ "/>
    <numFmt numFmtId="195" formatCode="&quot;$&quot;#,##0.00;\-&quot;$&quot;#,##0.00"/>
    <numFmt numFmtId="196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97" formatCode="0.00_)"/>
    <numFmt numFmtId="198" formatCode="\$#.00"/>
    <numFmt numFmtId="199" formatCode="0%;[Red]\ \ &quot;-&quot;0%"/>
    <numFmt numFmtId="200" formatCode="&quot;₩&quot;#,##0.00;&quot;₩&quot;&quot;₩&quot;\-#,##0.00"/>
    <numFmt numFmtId="201" formatCode="m\o\n\th\ d\,\ yyyy"/>
    <numFmt numFmtId="202" formatCode="#,##0.000;[Red]&quot;-&quot;#,##0.000"/>
    <numFmt numFmtId="203" formatCode="_-&quot;?* #,##0.00_-;&quot;\&quot;&quot;₩&quot;&quot;₩&quot;&quot;₩&quot;\-&quot;?* #,##0.00_-;_-&quot;&quot;?&quot;* &quot;-&quot;??_-;_-@_-"/>
    <numFmt numFmtId="204" formatCode="#.00"/>
    <numFmt numFmtId="205" formatCode="#.#"/>
    <numFmt numFmtId="206" formatCode="#."/>
    <numFmt numFmtId="207" formatCode="#.##"/>
    <numFmt numFmtId="208" formatCode="General_)"/>
    <numFmt numFmtId="209" formatCode="&quot;₩&quot;#,##0;[Red]&quot;₩&quot;&quot;₩&quot;\!\-#,##0"/>
    <numFmt numFmtId="210" formatCode="#,##0&quot; $&quot;;\-#,##0&quot; $&quot;"/>
    <numFmt numFmtId="211" formatCode="%#.00"/>
    <numFmt numFmtId="212" formatCode="#,##0.0;[Red]&quot;-&quot;#,##0.0"/>
    <numFmt numFmtId="213" formatCode="#,###.0"/>
    <numFmt numFmtId="214" formatCode="0.0_)"/>
    <numFmt numFmtId="215" formatCode="\(&quot;₩&quot;#,##0\);[Red]\(\-&quot;₩&quot;#,##0\)"/>
    <numFmt numFmtId="216" formatCode="\(&quot;₩&quot;#,##0\);[Red]\(&quot;△&quot;&quot;₩&quot;#,##0\)"/>
    <numFmt numFmtId="217" formatCode="@\ &quot;주임&quot;"/>
    <numFmt numFmtId="218" formatCode="#,##0&quot;칸&quot;"/>
    <numFmt numFmtId="219" formatCode="&quot;₩&quot;#,##0;&quot;₩&quot;&quot;₩&quot;&quot;₩&quot;&quot;₩&quot;&quot;₩&quot;&quot;₩&quot;&quot;₩&quot;&quot;₩&quot;\-#,##0"/>
    <numFmt numFmtId="220" formatCode="_ * #,##0.00_ ;_ * &quot;₩&quot;&quot;₩&quot;&quot;₩&quot;&quot;₩&quot;&quot;₩&quot;&quot;₩&quot;&quot;₩&quot;&quot;₩&quot;&quot;₩&quot;&quot;₩&quot;\-#,##0.00_ ;_ * &quot;-&quot;??_ ;_ @_ "/>
    <numFmt numFmtId="221" formatCode="#,##0;&quot;-&quot;#,##0"/>
    <numFmt numFmtId="222" formatCode="000.000"/>
    <numFmt numFmtId="223" formatCode="_ * #,##0.0000_ ;_ * \-#,##0.0000_ ;_ * &quot;-&quot;_ ;_ @_ "/>
    <numFmt numFmtId="224" formatCode="000\-000"/>
    <numFmt numFmtId="225" formatCode="0.00_ "/>
    <numFmt numFmtId="226" formatCode="#,##0\ ;[Red]&quot;-&quot;#,##0\ "/>
    <numFmt numFmtId="227" formatCode="* #,##0\ ;[Red]* &quot;-&quot;#,##0\ "/>
    <numFmt numFmtId="228" formatCode="#,##0.####;[Red]&quot;-&quot;#,##0.####"/>
    <numFmt numFmtId="229" formatCode="#,##0.0###\ ;[Red]&quot;-&quot;#,##0.0###\ "/>
    <numFmt numFmtId="230" formatCode="&quot;₩&quot;#,##0.00\ ;\(&quot;₩&quot;#,##0.00\)"/>
    <numFmt numFmtId="231" formatCode="&quot;₩&quot;#,##0;&quot;₩&quot;\-#,##0"/>
  </numFmts>
  <fonts count="166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Times New Roman"/>
      <family val="1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12"/>
      <name val="¹UAAA¼"/>
      <family val="3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name val="Harmony L"/>
      <family val="3"/>
      <charset val="129"/>
    </font>
    <font>
      <b/>
      <sz val="38"/>
      <color indexed="8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b/>
      <sz val="1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sz val="15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sz val="13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5"/>
      <color theme="0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name val="Harmony L"/>
      <family val="3"/>
      <charset val="129"/>
    </font>
    <font>
      <b/>
      <sz val="14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b/>
      <sz val="10"/>
      <name val="Harmony L"/>
      <family val="3"/>
      <charset val="129"/>
    </font>
    <font>
      <sz val="10"/>
      <name val="Harmony L"/>
      <family val="3"/>
      <charset val="129"/>
    </font>
    <font>
      <b/>
      <sz val="22"/>
      <color theme="1"/>
      <name val="Harmony L"/>
      <family val="3"/>
      <charset val="129"/>
    </font>
    <font>
      <b/>
      <sz val="10"/>
      <color theme="1"/>
      <name val="Harmony L"/>
      <family val="3"/>
      <charset val="129"/>
    </font>
    <font>
      <sz val="10"/>
      <color theme="1"/>
      <name val="Harmony L"/>
      <family val="3"/>
      <charset val="129"/>
    </font>
    <font>
      <sz val="10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6"/>
      <color rgb="FFFF0000"/>
      <name val="휴먼엑스포"/>
      <family val="1"/>
      <charset val="129"/>
    </font>
    <font>
      <b/>
      <sz val="16"/>
      <color theme="0" tint="-4.9989318521683403E-2"/>
      <name val="휴먼엑스포"/>
      <family val="1"/>
      <charset val="129"/>
    </font>
    <font>
      <b/>
      <sz val="36"/>
      <name val="휴먼엑스포"/>
      <family val="1"/>
      <charset val="129"/>
    </font>
    <font>
      <sz val="16"/>
      <color theme="1" tint="0.34998626667073579"/>
      <name val="휴먼엑스포"/>
      <family val="1"/>
      <charset val="129"/>
    </font>
    <font>
      <sz val="14"/>
      <color theme="1" tint="4.9989318521683403E-2"/>
      <name val="휴먼엑스포"/>
      <family val="1"/>
      <charset val="129"/>
    </font>
    <font>
      <b/>
      <sz val="18"/>
      <color theme="1" tint="4.9989318521683403E-2"/>
      <name val="휴먼엑스포"/>
      <family val="1"/>
      <charset val="129"/>
    </font>
    <font>
      <b/>
      <sz val="8.5"/>
      <color theme="0"/>
      <name val="함초롬바탕 확장B"/>
      <family val="1"/>
      <charset val="129"/>
    </font>
    <font>
      <b/>
      <sz val="12"/>
      <color theme="1"/>
      <name val="Harmony L"/>
      <family val="3"/>
      <charset val="129"/>
    </font>
    <font>
      <b/>
      <sz val="12"/>
      <name val="Harmony L"/>
      <family val="3"/>
      <charset val="129"/>
    </font>
    <font>
      <sz val="9"/>
      <name val="Harmony L"/>
      <family val="3"/>
      <charset val="129"/>
    </font>
    <font>
      <b/>
      <sz val="10"/>
      <color theme="0"/>
      <name val="Harmony L"/>
      <family val="3"/>
      <charset val="129"/>
    </font>
    <font>
      <b/>
      <sz val="10"/>
      <name val="굴림체"/>
      <family val="3"/>
      <charset val="129"/>
    </font>
    <font>
      <b/>
      <sz val="11"/>
      <color theme="1"/>
      <name val="Harmony L"/>
      <family val="3"/>
      <charset val="129"/>
    </font>
    <font>
      <b/>
      <sz val="10"/>
      <color theme="0" tint="-0.499984740745262"/>
      <name val="Harmony L"/>
      <family val="3"/>
      <charset val="129"/>
    </font>
    <font>
      <b/>
      <sz val="9"/>
      <color theme="0" tint="-0.499984740745262"/>
      <name val="Harmony L"/>
      <family val="3"/>
      <charset val="129"/>
    </font>
    <font>
      <b/>
      <sz val="9"/>
      <color theme="0"/>
      <name val="굴림"/>
      <family val="3"/>
      <charset val="129"/>
    </font>
    <font>
      <b/>
      <sz val="9"/>
      <color theme="0"/>
      <name val="함초롬바탕 확장B"/>
      <family val="1"/>
      <charset val="129"/>
    </font>
    <font>
      <b/>
      <sz val="10"/>
      <color theme="0"/>
      <name val="굴림"/>
      <family val="3"/>
      <charset val="129"/>
    </font>
    <font>
      <b/>
      <sz val="9"/>
      <name val="Harmony L"/>
      <family val="3"/>
      <charset val="129"/>
    </font>
    <font>
      <sz val="11"/>
      <color theme="1"/>
      <name val="맑은 고딕"/>
      <family val="2"/>
      <charset val="129"/>
    </font>
    <font>
      <b/>
      <sz val="16"/>
      <color theme="1" tint="4.9989318521683403E-2"/>
      <name val="휴먼엑스포"/>
      <family val="1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4"/>
      <color rgb="FFFF0000"/>
      <name val="Harmony L"/>
      <family val="1"/>
      <charset val="129"/>
    </font>
    <font>
      <b/>
      <sz val="13"/>
      <name val="Harmony L"/>
      <family val="3"/>
      <charset val="129"/>
    </font>
    <font>
      <sz val="9"/>
      <color rgb="FF000000"/>
      <name val="나눔스퀘어 네오 Regular"/>
      <family val="3"/>
      <charset val="129"/>
    </font>
    <font>
      <sz val="9"/>
      <name val="나눔스퀘어 네오 Regular"/>
      <family val="3"/>
      <charset val="129"/>
    </font>
    <font>
      <b/>
      <sz val="14"/>
      <color theme="3" tint="-0.499984740745262"/>
      <name val="Harmony L"/>
      <family val="3"/>
      <charset val="129"/>
    </font>
    <font>
      <sz val="14"/>
      <color theme="3" tint="-0.499984740745262"/>
      <name val="Harmony L"/>
      <family val="3"/>
      <charset val="129"/>
    </font>
    <font>
      <sz val="12"/>
      <color theme="3" tint="-0.499984740745262"/>
      <name val="Harmony L"/>
      <family val="3"/>
      <charset val="129"/>
    </font>
    <font>
      <b/>
      <sz val="14"/>
      <color theme="5" tint="-0.499984740745262"/>
      <name val="Harmony L"/>
      <family val="3"/>
      <charset val="129"/>
    </font>
    <font>
      <b/>
      <sz val="16"/>
      <color theme="5" tint="-0.499984740745262"/>
      <name val="HY목각파임B"/>
      <family val="1"/>
      <charset val="129"/>
    </font>
    <font>
      <b/>
      <sz val="16"/>
      <color theme="3" tint="-0.499984740745262"/>
      <name val="HY목각파임B"/>
      <family val="1"/>
      <charset val="129"/>
    </font>
    <font>
      <sz val="16"/>
      <color theme="3" tint="-0.499984740745262"/>
      <name val="HY목각파임B"/>
      <family val="1"/>
      <charset val="129"/>
    </font>
    <font>
      <b/>
      <sz val="10.5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1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/>
      <bottom/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0" tint="-0.499984740745262"/>
      </top>
      <bottom style="thin">
        <color theme="0" tint="-0.34998626667073579"/>
      </bottom>
      <diagonal/>
    </border>
    <border>
      <left/>
      <right/>
      <top style="medium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theme="0" tint="-0.499984740745262"/>
      </left>
      <right style="medium">
        <color theme="0" tint="-0.249977111117893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249977111117893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249977111117893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249977111117893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249977111117893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theme="0" tint="-0.249977111117893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249977111117893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medium">
        <color theme="0" tint="-0.249977111117893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468">
    <xf numFmtId="0" fontId="0" fillId="0" borderId="0"/>
    <xf numFmtId="0" fontId="14" fillId="0" borderId="0"/>
    <xf numFmtId="183" fontId="9" fillId="0" borderId="0"/>
    <xf numFmtId="183" fontId="9" fillId="0" borderId="0"/>
    <xf numFmtId="0" fontId="15" fillId="0" borderId="1">
      <alignment horizontal="center"/>
    </xf>
    <xf numFmtId="3" fontId="7" fillId="0" borderId="2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0"/>
    <xf numFmtId="0" fontId="6" fillId="0" borderId="0"/>
    <xf numFmtId="0" fontId="9" fillId="0" borderId="0"/>
    <xf numFmtId="0" fontId="6" fillId="0" borderId="0"/>
    <xf numFmtId="184" fontId="6" fillId="0" borderId="0"/>
    <xf numFmtId="184" fontId="83" fillId="0" borderId="0"/>
    <xf numFmtId="184" fontId="83" fillId="0" borderId="0"/>
    <xf numFmtId="184" fontId="6" fillId="0" borderId="0"/>
    <xf numFmtId="184" fontId="83" fillId="0" borderId="0"/>
    <xf numFmtId="184" fontId="6" fillId="0" borderId="0"/>
    <xf numFmtId="184" fontId="6" fillId="0" borderId="0"/>
    <xf numFmtId="184" fontId="6" fillId="0" borderId="0"/>
    <xf numFmtId="184" fontId="6" fillId="0" borderId="0"/>
    <xf numFmtId="184" fontId="83" fillId="0" borderId="0"/>
    <xf numFmtId="184" fontId="6" fillId="0" borderId="0"/>
    <xf numFmtId="184" fontId="6" fillId="0" borderId="0"/>
    <xf numFmtId="184" fontId="83" fillId="0" borderId="0"/>
    <xf numFmtId="184" fontId="6" fillId="0" borderId="0"/>
    <xf numFmtId="184" fontId="83" fillId="0" borderId="0"/>
    <xf numFmtId="184" fontId="83" fillId="0" borderId="0"/>
    <xf numFmtId="184" fontId="83" fillId="0" borderId="0"/>
    <xf numFmtId="184" fontId="83" fillId="0" borderId="0"/>
    <xf numFmtId="184" fontId="83" fillId="0" borderId="0"/>
    <xf numFmtId="0" fontId="6" fillId="0" borderId="0"/>
    <xf numFmtId="0" fontId="6" fillId="0" borderId="0"/>
    <xf numFmtId="0" fontId="83" fillId="0" borderId="0"/>
    <xf numFmtId="0" fontId="8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8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9" fillId="0" borderId="0"/>
    <xf numFmtId="184" fontId="83" fillId="0" borderId="0"/>
    <xf numFmtId="184" fontId="6" fillId="0" borderId="0"/>
    <xf numFmtId="0" fontId="16" fillId="0" borderId="0"/>
    <xf numFmtId="184" fontId="6" fillId="0" borderId="0"/>
    <xf numFmtId="184" fontId="83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6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84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16" fillId="0" borderId="0"/>
    <xf numFmtId="0" fontId="9" fillId="0" borderId="0"/>
    <xf numFmtId="0" fontId="9" fillId="0" borderId="0"/>
    <xf numFmtId="0" fontId="17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4" fillId="0" borderId="0"/>
    <xf numFmtId="3" fontId="7" fillId="0" borderId="2"/>
    <xf numFmtId="3" fontId="7" fillId="0" borderId="2"/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0" fontId="19" fillId="0" borderId="0">
      <alignment horizontal="center"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0" fontId="19" fillId="0" borderId="0">
      <alignment horizontal="center" vertical="center"/>
    </xf>
    <xf numFmtId="0" fontId="19" fillId="0" borderId="0">
      <alignment horizontal="center" vertical="center"/>
    </xf>
    <xf numFmtId="0" fontId="20" fillId="0" borderId="0"/>
    <xf numFmtId="0" fontId="19" fillId="0" borderId="0">
      <alignment horizontal="center" vertical="center"/>
    </xf>
    <xf numFmtId="0" fontId="19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85" fontId="21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0" fontId="20" fillId="0" borderId="0"/>
    <xf numFmtId="0" fontId="20" fillId="0" borderId="0"/>
    <xf numFmtId="0" fontId="19" fillId="0" borderId="0">
      <alignment horizontal="center"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0" fontId="20" fillId="0" borderId="0"/>
    <xf numFmtId="0" fontId="9" fillId="0" borderId="0"/>
    <xf numFmtId="186" fontId="4" fillId="0" borderId="0">
      <protection locked="0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0" fontId="65" fillId="2" borderId="0">
      <alignment vertical="center"/>
    </xf>
    <xf numFmtId="0" fontId="65" fillId="4" borderId="0">
      <alignment vertical="center"/>
    </xf>
    <xf numFmtId="0" fontId="65" fillId="6" borderId="0">
      <alignment vertical="center"/>
    </xf>
    <xf numFmtId="0" fontId="65" fillId="7" borderId="0">
      <alignment vertical="center"/>
    </xf>
    <xf numFmtId="0" fontId="65" fillId="8" borderId="0">
      <alignment vertical="center"/>
    </xf>
    <xf numFmtId="0" fontId="65" fillId="3" borderId="0">
      <alignment vertical="center"/>
    </xf>
    <xf numFmtId="0" fontId="65" fillId="10" borderId="0">
      <alignment vertical="center"/>
    </xf>
    <xf numFmtId="0" fontId="65" fillId="11" borderId="0">
      <alignment vertical="center"/>
    </xf>
    <xf numFmtId="0" fontId="65" fillId="13" borderId="0">
      <alignment vertical="center"/>
    </xf>
    <xf numFmtId="0" fontId="65" fillId="7" borderId="0">
      <alignment vertical="center"/>
    </xf>
    <xf numFmtId="0" fontId="65" fillId="10" borderId="0">
      <alignment vertical="center"/>
    </xf>
    <xf numFmtId="0" fontId="65" fillId="14" borderId="0">
      <alignment vertical="center"/>
    </xf>
    <xf numFmtId="9" fontId="6" fillId="0" borderId="0">
      <protection locked="0"/>
    </xf>
    <xf numFmtId="0" fontId="66" fillId="16" borderId="0">
      <alignment vertical="center"/>
    </xf>
    <xf numFmtId="0" fontId="66" fillId="11" borderId="0">
      <alignment vertical="center"/>
    </xf>
    <xf numFmtId="0" fontId="66" fillId="13" borderId="0">
      <alignment vertical="center"/>
    </xf>
    <xf numFmtId="0" fontId="66" fillId="17" borderId="0">
      <alignment vertical="center"/>
    </xf>
    <xf numFmtId="0" fontId="66" fillId="15" borderId="0">
      <alignment vertical="center"/>
    </xf>
    <xf numFmtId="0" fontId="66" fillId="18" borderId="0">
      <alignment vertical="center"/>
    </xf>
    <xf numFmtId="186" fontId="4" fillId="0" borderId="0">
      <protection locked="0"/>
    </xf>
    <xf numFmtId="0" fontId="22" fillId="0" borderId="0"/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9" fontId="15" fillId="0" borderId="0"/>
    <xf numFmtId="43" fontId="85" fillId="0" borderId="0"/>
    <xf numFmtId="190" fontId="15" fillId="0" borderId="0"/>
    <xf numFmtId="0" fontId="85" fillId="0" borderId="0"/>
    <xf numFmtId="186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191" fontId="64" fillId="0" borderId="0"/>
    <xf numFmtId="191" fontId="24" fillId="0" borderId="0"/>
    <xf numFmtId="191" fontId="64" fillId="0" borderId="0"/>
    <xf numFmtId="0" fontId="86" fillId="0" borderId="0"/>
    <xf numFmtId="0" fontId="87" fillId="0" borderId="0"/>
    <xf numFmtId="0" fontId="88" fillId="0" borderId="0"/>
    <xf numFmtId="0" fontId="87" fillId="0" borderId="0"/>
    <xf numFmtId="0" fontId="24" fillId="0" borderId="0"/>
    <xf numFmtId="37" fontId="64" fillId="0" borderId="0"/>
    <xf numFmtId="187" fontId="6" fillId="0" borderId="0">
      <protection locked="0"/>
    </xf>
    <xf numFmtId="192" fontId="64" fillId="0" borderId="0"/>
    <xf numFmtId="192" fontId="24" fillId="0" borderId="0"/>
    <xf numFmtId="192" fontId="64" fillId="0" borderId="0"/>
    <xf numFmtId="0" fontId="86" fillId="0" borderId="0"/>
    <xf numFmtId="0" fontId="87" fillId="0" borderId="0"/>
    <xf numFmtId="0" fontId="88" fillId="0" borderId="0"/>
    <xf numFmtId="0" fontId="87" fillId="0" borderId="0"/>
    <xf numFmtId="0" fontId="24" fillId="0" borderId="0"/>
    <xf numFmtId="37" fontId="64" fillId="0" borderId="0"/>
    <xf numFmtId="186" fontId="4" fillId="0" borderId="0">
      <protection locked="0"/>
    </xf>
    <xf numFmtId="193" fontId="15" fillId="0" borderId="0"/>
    <xf numFmtId="193" fontId="15" fillId="0" borderId="0"/>
    <xf numFmtId="0" fontId="85" fillId="0" borderId="0"/>
    <xf numFmtId="0" fontId="85" fillId="0" borderId="0"/>
    <xf numFmtId="0" fontId="15" fillId="0" borderId="0"/>
    <xf numFmtId="186" fontId="4" fillId="0" borderId="0">
      <protection locked="0"/>
    </xf>
    <xf numFmtId="184" fontId="64" fillId="0" borderId="0"/>
    <xf numFmtId="184" fontId="24" fillId="0" borderId="0"/>
    <xf numFmtId="184" fontId="64" fillId="0" borderId="0"/>
    <xf numFmtId="0" fontId="86" fillId="0" borderId="0"/>
    <xf numFmtId="0" fontId="6" fillId="0" borderId="0"/>
    <xf numFmtId="0" fontId="88" fillId="0" borderId="0"/>
    <xf numFmtId="0" fontId="4" fillId="0" borderId="0"/>
    <xf numFmtId="0" fontId="24" fillId="0" borderId="0"/>
    <xf numFmtId="37" fontId="64" fillId="0" borderId="0"/>
    <xf numFmtId="194" fontId="64" fillId="0" borderId="0"/>
    <xf numFmtId="194" fontId="24" fillId="0" borderId="0"/>
    <xf numFmtId="194" fontId="64" fillId="0" borderId="0"/>
    <xf numFmtId="0" fontId="86" fillId="0" borderId="0"/>
    <xf numFmtId="0" fontId="6" fillId="0" borderId="0"/>
    <xf numFmtId="0" fontId="86" fillId="0" borderId="0"/>
    <xf numFmtId="0" fontId="16" fillId="0" borderId="0"/>
    <xf numFmtId="0" fontId="24" fillId="0" borderId="0"/>
    <xf numFmtId="37" fontId="64" fillId="0" borderId="0"/>
    <xf numFmtId="0" fontId="4" fillId="0" borderId="0"/>
    <xf numFmtId="0" fontId="25" fillId="0" borderId="0"/>
    <xf numFmtId="186" fontId="4" fillId="0" borderId="0">
      <protection locked="0"/>
    </xf>
    <xf numFmtId="0" fontId="9" fillId="0" borderId="0"/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0" fontId="15" fillId="0" borderId="0"/>
    <xf numFmtId="0" fontId="89" fillId="0" borderId="0"/>
    <xf numFmtId="0" fontId="26" fillId="0" borderId="0"/>
    <xf numFmtId="0" fontId="24" fillId="0" borderId="0"/>
    <xf numFmtId="0" fontId="64" fillId="0" borderId="0"/>
    <xf numFmtId="0" fontId="24" fillId="0" borderId="0"/>
    <xf numFmtId="0" fontId="89" fillId="0" borderId="0"/>
    <xf numFmtId="0" fontId="88" fillId="0" borderId="0"/>
    <xf numFmtId="0" fontId="87" fillId="0" borderId="0"/>
    <xf numFmtId="0" fontId="88" fillId="0" borderId="0"/>
    <xf numFmtId="0" fontId="9" fillId="0" borderId="0"/>
    <xf numFmtId="195" fontId="4" fillId="0" borderId="0"/>
    <xf numFmtId="0" fontId="8" fillId="0" borderId="0"/>
    <xf numFmtId="186" fontId="4" fillId="0" borderId="0">
      <protection locked="0"/>
    </xf>
    <xf numFmtId="3" fontId="27" fillId="0" borderId="0">
      <alignment horizontal="center"/>
    </xf>
    <xf numFmtId="4" fontId="28" fillId="0" borderId="0">
      <protection locked="0"/>
    </xf>
    <xf numFmtId="41" fontId="22" fillId="0" borderId="0"/>
    <xf numFmtId="40" fontId="15" fillId="0" borderId="0"/>
    <xf numFmtId="196" fontId="6" fillId="0" borderId="0"/>
    <xf numFmtId="194" fontId="9" fillId="0" borderId="0"/>
    <xf numFmtId="197" fontId="4" fillId="0" borderId="0">
      <protection locked="0"/>
    </xf>
    <xf numFmtId="40" fontId="15" fillId="0" borderId="0"/>
    <xf numFmtId="0" fontId="29" fillId="0" borderId="0">
      <alignment horizontal="left"/>
    </xf>
    <xf numFmtId="0" fontId="16" fillId="0" borderId="0"/>
    <xf numFmtId="198" fontId="28" fillId="0" borderId="0">
      <protection locked="0"/>
    </xf>
    <xf numFmtId="0" fontId="22" fillId="0" borderId="0"/>
    <xf numFmtId="199" fontId="6" fillId="0" borderId="0">
      <protection locked="0"/>
    </xf>
    <xf numFmtId="199" fontId="6" fillId="0" borderId="0">
      <protection locked="0"/>
    </xf>
    <xf numFmtId="199" fontId="6" fillId="0" borderId="0">
      <protection locked="0"/>
    </xf>
    <xf numFmtId="199" fontId="6" fillId="0" borderId="0">
      <protection locked="0"/>
    </xf>
    <xf numFmtId="194" fontId="16" fillId="0" borderId="0">
      <protection locked="0"/>
    </xf>
    <xf numFmtId="200" fontId="4" fillId="0" borderId="0"/>
    <xf numFmtId="197" fontId="4" fillId="0" borderId="0">
      <protection locked="0"/>
    </xf>
    <xf numFmtId="0" fontId="3" fillId="0" borderId="0"/>
    <xf numFmtId="201" fontId="28" fillId="0" borderId="0">
      <protection locked="0"/>
    </xf>
    <xf numFmtId="202" fontId="6" fillId="0" borderId="0">
      <protection locked="0"/>
    </xf>
    <xf numFmtId="197" fontId="4" fillId="0" borderId="0">
      <protection locked="0"/>
    </xf>
    <xf numFmtId="41" fontId="9" fillId="0" borderId="0"/>
    <xf numFmtId="43" fontId="9" fillId="0" borderId="0"/>
    <xf numFmtId="203" fontId="6" fillId="0" borderId="0"/>
    <xf numFmtId="0" fontId="30" fillId="0" borderId="0">
      <alignment horizontal="left"/>
    </xf>
    <xf numFmtId="0" fontId="28" fillId="0" borderId="0">
      <protection locked="0"/>
    </xf>
    <xf numFmtId="0" fontId="28" fillId="0" borderId="0">
      <protection locked="0"/>
    </xf>
    <xf numFmtId="0" fontId="31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0" fontId="31" fillId="0" borderId="0">
      <protection locked="0"/>
    </xf>
    <xf numFmtId="204" fontId="28" fillId="0" borderId="0">
      <protection locked="0"/>
    </xf>
    <xf numFmtId="205" fontId="6" fillId="0" borderId="0">
      <protection locked="0"/>
    </xf>
    <xf numFmtId="197" fontId="4" fillId="0" borderId="0">
      <protection locked="0"/>
    </xf>
    <xf numFmtId="0" fontId="32" fillId="0" borderId="0"/>
    <xf numFmtId="38" fontId="10" fillId="19" borderId="0"/>
    <xf numFmtId="38" fontId="10" fillId="20" borderId="0"/>
    <xf numFmtId="3" fontId="14" fillId="0" borderId="4">
      <alignment horizontal="right" vertical="center"/>
    </xf>
    <xf numFmtId="4" fontId="14" fillId="0" borderId="4">
      <alignment horizontal="right" vertical="center"/>
    </xf>
    <xf numFmtId="0" fontId="11" fillId="0" borderId="0">
      <alignment horizontal="left"/>
    </xf>
    <xf numFmtId="0" fontId="12" fillId="0" borderId="5">
      <alignment horizontal="left" vertical="center"/>
    </xf>
    <xf numFmtId="0" fontId="12" fillId="0" borderId="6">
      <alignment horizontal="left" vertical="center"/>
    </xf>
    <xf numFmtId="197" fontId="4" fillId="0" borderId="0">
      <protection locked="0"/>
    </xf>
    <xf numFmtId="197" fontId="4" fillId="0" borderId="0">
      <protection locked="0"/>
    </xf>
    <xf numFmtId="206" fontId="33" fillId="0" borderId="0">
      <protection locked="0"/>
    </xf>
    <xf numFmtId="207" fontId="6" fillId="0" borderId="0">
      <protection locked="0"/>
    </xf>
    <xf numFmtId="0" fontId="33" fillId="0" borderId="0">
      <protection locked="0"/>
    </xf>
    <xf numFmtId="206" fontId="33" fillId="0" borderId="0">
      <protection locked="0"/>
    </xf>
    <xf numFmtId="207" fontId="6" fillId="0" borderId="0">
      <protection locked="0"/>
    </xf>
    <xf numFmtId="0" fontId="33" fillId="0" borderId="0">
      <protection locked="0"/>
    </xf>
    <xf numFmtId="0" fontId="9" fillId="0" borderId="0">
      <protection locked="0"/>
    </xf>
    <xf numFmtId="0" fontId="34" fillId="0" borderId="0"/>
    <xf numFmtId="0" fontId="35" fillId="0" borderId="0">
      <alignment vertical="top"/>
      <protection locked="0"/>
    </xf>
    <xf numFmtId="10" fontId="10" fillId="19" borderId="2"/>
    <xf numFmtId="10" fontId="10" fillId="21" borderId="2"/>
    <xf numFmtId="208" fontId="36" fillId="0" borderId="0">
      <alignment horizontal="left"/>
    </xf>
    <xf numFmtId="38" fontId="15" fillId="0" borderId="0"/>
    <xf numFmtId="40" fontId="15" fillId="0" borderId="0"/>
    <xf numFmtId="0" fontId="13" fillId="0" borderId="7"/>
    <xf numFmtId="0" fontId="48" fillId="0" borderId="0"/>
    <xf numFmtId="209" fontId="48" fillId="0" borderId="0"/>
    <xf numFmtId="0" fontId="9" fillId="0" borderId="0"/>
    <xf numFmtId="37" fontId="37" fillId="0" borderId="0"/>
    <xf numFmtId="0" fontId="6" fillId="0" borderId="0"/>
    <xf numFmtId="21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15" fillId="0" borderId="0"/>
    <xf numFmtId="0" fontId="9" fillId="0" borderId="0"/>
    <xf numFmtId="0" fontId="9" fillId="0" borderId="0"/>
    <xf numFmtId="0" fontId="9" fillId="0" borderId="0"/>
    <xf numFmtId="211" fontId="28" fillId="0" borderId="0">
      <protection locked="0"/>
    </xf>
    <xf numFmtId="10" fontId="9" fillId="0" borderId="0"/>
    <xf numFmtId="212" fontId="6" fillId="0" borderId="0">
      <protection locked="0"/>
    </xf>
    <xf numFmtId="212" fontId="6" fillId="0" borderId="0">
      <protection locked="0"/>
    </xf>
    <xf numFmtId="212" fontId="6" fillId="0" borderId="0">
      <protection locked="0"/>
    </xf>
    <xf numFmtId="212" fontId="6" fillId="0" borderId="0">
      <protection locked="0"/>
    </xf>
    <xf numFmtId="213" fontId="16" fillId="0" borderId="0">
      <protection locked="0"/>
    </xf>
    <xf numFmtId="9" fontId="9" fillId="0" borderId="0"/>
    <xf numFmtId="0" fontId="39" fillId="0" borderId="0">
      <alignment horizontal="left"/>
    </xf>
    <xf numFmtId="209" fontId="48" fillId="0" borderId="0">
      <alignment horizontal="center"/>
    </xf>
    <xf numFmtId="0" fontId="13" fillId="0" borderId="0"/>
    <xf numFmtId="40" fontId="40" fillId="0" borderId="0">
      <alignment horizontal="right"/>
    </xf>
    <xf numFmtId="214" fontId="41" fillId="0" borderId="0">
      <alignment horizontal="center"/>
    </xf>
    <xf numFmtId="0" fontId="42" fillId="0" borderId="0">
      <alignment horizontal="centerContinuous" vertical="center"/>
    </xf>
    <xf numFmtId="0" fontId="20" fillId="19" borderId="0">
      <alignment horizontal="center" vertical="center"/>
    </xf>
    <xf numFmtId="206" fontId="28" fillId="0" borderId="8">
      <protection locked="0"/>
    </xf>
    <xf numFmtId="207" fontId="6" fillId="0" borderId="8">
      <protection locked="0"/>
    </xf>
    <xf numFmtId="197" fontId="4" fillId="0" borderId="9">
      <protection locked="0"/>
    </xf>
    <xf numFmtId="0" fontId="43" fillId="0" borderId="10">
      <alignment horizontal="left"/>
    </xf>
    <xf numFmtId="37" fontId="10" fillId="0" borderId="0"/>
    <xf numFmtId="0" fontId="9" fillId="0" borderId="0"/>
    <xf numFmtId="0" fontId="9" fillId="0" borderId="0"/>
    <xf numFmtId="0" fontId="44" fillId="0" borderId="0">
      <protection locked="0"/>
    </xf>
    <xf numFmtId="0" fontId="66" fillId="22" borderId="0">
      <alignment vertical="center"/>
    </xf>
    <xf numFmtId="0" fontId="66" fillId="23" borderId="0">
      <alignment vertical="center"/>
    </xf>
    <xf numFmtId="0" fontId="66" fillId="24" borderId="0">
      <alignment vertical="center"/>
    </xf>
    <xf numFmtId="0" fontId="66" fillId="17" borderId="0">
      <alignment vertical="center"/>
    </xf>
    <xf numFmtId="0" fontId="66" fillId="15" borderId="0">
      <alignment vertical="center"/>
    </xf>
    <xf numFmtId="0" fontId="66" fillId="25" borderId="0">
      <alignment vertical="center"/>
    </xf>
    <xf numFmtId="0" fontId="67" fillId="0" borderId="0">
      <alignment vertical="center"/>
    </xf>
    <xf numFmtId="0" fontId="68" fillId="9" borderId="11">
      <alignment vertical="center"/>
    </xf>
    <xf numFmtId="2" fontId="45" fillId="0" borderId="0"/>
    <xf numFmtId="0" fontId="46" fillId="0" borderId="0"/>
    <xf numFmtId="0" fontId="47" fillId="0" borderId="0"/>
    <xf numFmtId="0" fontId="48" fillId="0" borderId="0"/>
    <xf numFmtId="0" fontId="48" fillId="0" borderId="12">
      <alignment horizontal="center"/>
    </xf>
    <xf numFmtId="0" fontId="48" fillId="0" borderId="13"/>
    <xf numFmtId="0" fontId="49" fillId="0" borderId="0"/>
    <xf numFmtId="184" fontId="6" fillId="0" borderId="0"/>
    <xf numFmtId="41" fontId="50" fillId="0" borderId="14">
      <alignment horizontal="center" vertical="center"/>
    </xf>
    <xf numFmtId="0" fontId="4" fillId="0" borderId="0">
      <protection locked="0"/>
    </xf>
    <xf numFmtId="0" fontId="69" fillId="4" borderId="0">
      <alignment vertical="center"/>
    </xf>
    <xf numFmtId="0" fontId="45" fillId="0" borderId="0"/>
    <xf numFmtId="3" fontId="15" fillId="0" borderId="15">
      <alignment horizontal="center"/>
    </xf>
    <xf numFmtId="0" fontId="27" fillId="0" borderId="0">
      <alignment horizontal="left"/>
    </xf>
    <xf numFmtId="0" fontId="45" fillId="0" borderId="0"/>
    <xf numFmtId="0" fontId="78" fillId="0" borderId="0">
      <alignment vertical="top"/>
      <protection locked="0"/>
    </xf>
    <xf numFmtId="0" fontId="9" fillId="0" borderId="0"/>
    <xf numFmtId="0" fontId="9" fillId="0" borderId="0"/>
    <xf numFmtId="0" fontId="5" fillId="5" borderId="16">
      <alignment vertical="center"/>
    </xf>
    <xf numFmtId="0" fontId="4" fillId="5" borderId="16">
      <alignment vertical="center"/>
    </xf>
    <xf numFmtId="0" fontId="9" fillId="0" borderId="0"/>
    <xf numFmtId="0" fontId="9" fillId="0" borderId="0"/>
    <xf numFmtId="41" fontId="51" fillId="0" borderId="2">
      <alignment horizontal="distributed" vertical="center"/>
    </xf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9" fontId="19" fillId="19" borderId="0">
      <alignment horizontal="right"/>
    </xf>
    <xf numFmtId="10" fontId="19" fillId="0" borderId="0">
      <alignment horizontal="right"/>
    </xf>
    <xf numFmtId="9" fontId="4" fillId="0" borderId="0"/>
    <xf numFmtId="9" fontId="4" fillId="0" borderId="0">
      <alignment vertical="center"/>
    </xf>
    <xf numFmtId="9" fontId="4" fillId="0" borderId="0">
      <alignment vertical="center"/>
    </xf>
    <xf numFmtId="9" fontId="4" fillId="0" borderId="0">
      <alignment vertical="center"/>
    </xf>
    <xf numFmtId="9" fontId="4" fillId="0" borderId="0"/>
    <xf numFmtId="9" fontId="6" fillId="0" borderId="0"/>
    <xf numFmtId="9" fontId="4" fillId="0" borderId="0">
      <alignment vertical="center"/>
    </xf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215" fontId="4" fillId="0" borderId="0"/>
    <xf numFmtId="216" fontId="4" fillId="0" borderId="0"/>
    <xf numFmtId="0" fontId="53" fillId="0" borderId="0"/>
    <xf numFmtId="0" fontId="70" fillId="12" borderId="0">
      <alignment vertical="center"/>
    </xf>
    <xf numFmtId="0" fontId="90" fillId="0" borderId="0"/>
    <xf numFmtId="217" fontId="4" fillId="0" borderId="17"/>
    <xf numFmtId="215" fontId="4" fillId="0" borderId="0">
      <alignment horizontal="centerContinuous" vertical="center"/>
    </xf>
    <xf numFmtId="38" fontId="54" fillId="0" borderId="0">
      <alignment vertical="center" wrapText="1"/>
    </xf>
    <xf numFmtId="0" fontId="71" fillId="0" borderId="0">
      <alignment vertical="center"/>
    </xf>
    <xf numFmtId="0" fontId="72" fillId="26" borderId="18">
      <alignment vertical="center"/>
    </xf>
    <xf numFmtId="0" fontId="49" fillId="0" borderId="19"/>
    <xf numFmtId="4" fontId="49" fillId="0" borderId="17"/>
    <xf numFmtId="218" fontId="4" fillId="0" borderId="17"/>
    <xf numFmtId="0" fontId="4" fillId="0" borderId="17"/>
    <xf numFmtId="3" fontId="55" fillId="0" borderId="0">
      <alignment vertical="center" wrapText="1"/>
    </xf>
    <xf numFmtId="3" fontId="56" fillId="0" borderId="0">
      <alignment vertical="center" wrapText="1"/>
    </xf>
    <xf numFmtId="0" fontId="57" fillId="0" borderId="0">
      <alignment vertical="center"/>
    </xf>
    <xf numFmtId="189" fontId="58" fillId="0" borderId="0">
      <alignment vertical="center"/>
    </xf>
    <xf numFmtId="41" fontId="4" fillId="0" borderId="0"/>
    <xf numFmtId="41" fontId="4" fillId="0" borderId="0">
      <alignment vertical="center"/>
    </xf>
    <xf numFmtId="41" fontId="6" fillId="0" borderId="0"/>
    <xf numFmtId="41" fontId="4" fillId="0" borderId="0"/>
    <xf numFmtId="41" fontId="4" fillId="0" borderId="0">
      <alignment vertical="center"/>
    </xf>
    <xf numFmtId="41" fontId="4" fillId="0" borderId="0"/>
    <xf numFmtId="41" fontId="4" fillId="0" borderId="0"/>
    <xf numFmtId="41" fontId="5" fillId="0" borderId="0">
      <alignment vertical="center"/>
    </xf>
    <xf numFmtId="41" fontId="4" fillId="0" borderId="0"/>
    <xf numFmtId="41" fontId="5" fillId="0" borderId="0">
      <alignment vertical="center"/>
    </xf>
    <xf numFmtId="41" fontId="91" fillId="0" borderId="0">
      <alignment vertical="center"/>
    </xf>
    <xf numFmtId="184" fontId="6" fillId="0" borderId="0"/>
    <xf numFmtId="0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183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0" fontId="6" fillId="0" borderId="0"/>
    <xf numFmtId="0" fontId="6" fillId="0" borderId="0"/>
    <xf numFmtId="0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183" fontId="9" fillId="0" borderId="0"/>
    <xf numFmtId="0" fontId="9" fillId="0" borderId="0"/>
    <xf numFmtId="0" fontId="6" fillId="0" borderId="0"/>
    <xf numFmtId="0" fontId="9" fillId="0" borderId="0"/>
    <xf numFmtId="0" fontId="6" fillId="0" borderId="0"/>
    <xf numFmtId="0" fontId="6" fillId="0" borderId="0"/>
    <xf numFmtId="0" fontId="9" fillId="0" borderId="0"/>
    <xf numFmtId="0" fontId="20" fillId="0" borderId="0"/>
    <xf numFmtId="0" fontId="9" fillId="0" borderId="0"/>
    <xf numFmtId="0" fontId="20" fillId="0" borderId="0"/>
    <xf numFmtId="0" fontId="9" fillId="0" borderId="0"/>
    <xf numFmtId="219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183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22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0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220" fontId="20" fillId="0" borderId="0"/>
    <xf numFmtId="183" fontId="9" fillId="0" borderId="0"/>
    <xf numFmtId="0" fontId="9" fillId="0" borderId="0"/>
    <xf numFmtId="183" fontId="9" fillId="0" borderId="0"/>
    <xf numFmtId="0" fontId="6" fillId="0" borderId="0"/>
    <xf numFmtId="0" fontId="59" fillId="0" borderId="20"/>
    <xf numFmtId="0" fontId="73" fillId="0" borderId="21">
      <alignment vertical="center"/>
    </xf>
    <xf numFmtId="0" fontId="74" fillId="0" borderId="22">
      <alignment vertical="center"/>
    </xf>
    <xf numFmtId="221" fontId="60" fillId="0" borderId="0"/>
    <xf numFmtId="222" fontId="4" fillId="0" borderId="0"/>
    <xf numFmtId="221" fontId="60" fillId="0" borderId="0"/>
    <xf numFmtId="221" fontId="60" fillId="0" borderId="0"/>
    <xf numFmtId="0" fontId="61" fillId="0" borderId="0">
      <alignment vertical="center"/>
    </xf>
    <xf numFmtId="0" fontId="62" fillId="0" borderId="0">
      <alignment horizontal="left" vertical="center"/>
    </xf>
    <xf numFmtId="0" fontId="54" fillId="0" borderId="0">
      <alignment horizontal="centerContinuous" vertical="center"/>
    </xf>
    <xf numFmtId="0" fontId="75" fillId="3" borderId="11">
      <alignment vertical="center"/>
    </xf>
    <xf numFmtId="4" fontId="45" fillId="0" borderId="0"/>
    <xf numFmtId="0" fontId="49" fillId="0" borderId="0"/>
    <xf numFmtId="4" fontId="45" fillId="0" borderId="0"/>
    <xf numFmtId="3" fontId="45" fillId="0" borderId="0"/>
    <xf numFmtId="0" fontId="80" fillId="0" borderId="23">
      <alignment vertical="center"/>
    </xf>
    <xf numFmtId="0" fontId="81" fillId="0" borderId="24">
      <alignment vertical="center"/>
    </xf>
    <xf numFmtId="0" fontId="82" fillId="0" borderId="25">
      <alignment vertical="center"/>
    </xf>
    <xf numFmtId="0" fontId="82" fillId="0" borderId="0">
      <alignment vertical="center"/>
    </xf>
    <xf numFmtId="0" fontId="79" fillId="0" borderId="0">
      <alignment vertical="center"/>
    </xf>
    <xf numFmtId="0" fontId="76" fillId="6" borderId="0">
      <alignment vertical="center"/>
    </xf>
    <xf numFmtId="0" fontId="6" fillId="0" borderId="0"/>
    <xf numFmtId="0" fontId="77" fillId="9" borderId="26">
      <alignment vertical="center"/>
    </xf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9" fontId="63" fillId="0" borderId="0">
      <alignment vertical="center"/>
    </xf>
    <xf numFmtId="186" fontId="4" fillId="0" borderId="0">
      <protection locked="0"/>
    </xf>
    <xf numFmtId="223" fontId="4" fillId="0" borderId="0">
      <alignment vertical="center"/>
    </xf>
    <xf numFmtId="38" fontId="51" fillId="0" borderId="0">
      <alignment vertical="center"/>
    </xf>
    <xf numFmtId="187" fontId="6" fillId="0" borderId="0">
      <protection locked="0"/>
    </xf>
    <xf numFmtId="41" fontId="4" fillId="0" borderId="0"/>
    <xf numFmtId="192" fontId="6" fillId="19" borderId="0">
      <alignment horizontal="right"/>
    </xf>
    <xf numFmtId="224" fontId="6" fillId="19" borderId="0">
      <alignment horizontal="right"/>
    </xf>
    <xf numFmtId="38" fontId="51" fillId="0" borderId="0">
      <alignment vertical="center"/>
    </xf>
    <xf numFmtId="225" fontId="4" fillId="0" borderId="0">
      <alignment vertical="center"/>
    </xf>
    <xf numFmtId="187" fontId="4" fillId="0" borderId="0">
      <alignment vertical="center"/>
    </xf>
    <xf numFmtId="226" fontId="16" fillId="0" borderId="0">
      <alignment textRotation="255"/>
    </xf>
    <xf numFmtId="227" fontId="16" fillId="0" borderId="0">
      <alignment textRotation="255"/>
    </xf>
    <xf numFmtId="228" fontId="16" fillId="0" borderId="0">
      <alignment textRotation="255"/>
    </xf>
    <xf numFmtId="229" fontId="16" fillId="0" borderId="0">
      <alignment textRotation="255"/>
    </xf>
    <xf numFmtId="43" fontId="7" fillId="0" borderId="0"/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42" fontId="4" fillId="0" borderId="0"/>
    <xf numFmtId="42" fontId="4" fillId="0" borderId="0"/>
    <xf numFmtId="10" fontId="45" fillId="0" borderId="0"/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9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5" fillId="0" borderId="0">
      <alignment vertical="center"/>
    </xf>
    <xf numFmtId="0" fontId="91" fillId="0" borderId="0">
      <alignment vertical="center"/>
    </xf>
    <xf numFmtId="0" fontId="65" fillId="0" borderId="0">
      <alignment vertical="center"/>
    </xf>
    <xf numFmtId="0" fontId="4" fillId="0" borderId="0">
      <alignment vertical="center"/>
    </xf>
    <xf numFmtId="0" fontId="4" fillId="0" borderId="0"/>
    <xf numFmtId="0" fontId="91" fillId="0" borderId="0">
      <alignment vertical="center"/>
    </xf>
    <xf numFmtId="0" fontId="65" fillId="0" borderId="0">
      <alignment vertical="center"/>
    </xf>
    <xf numFmtId="0" fontId="4" fillId="0" borderId="0">
      <alignment vertical="center"/>
    </xf>
    <xf numFmtId="0" fontId="4" fillId="0" borderId="0"/>
    <xf numFmtId="0" fontId="9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91" fillId="0" borderId="0">
      <alignment vertical="center"/>
    </xf>
    <xf numFmtId="0" fontId="4" fillId="0" borderId="0"/>
    <xf numFmtId="0" fontId="45" fillId="0" borderId="9"/>
    <xf numFmtId="230" fontId="45" fillId="0" borderId="0"/>
    <xf numFmtId="231" fontId="45" fillId="0" borderId="0"/>
    <xf numFmtId="184" fontId="6" fillId="0" borderId="27"/>
    <xf numFmtId="0" fontId="143" fillId="0" borderId="0">
      <alignment vertical="center"/>
    </xf>
    <xf numFmtId="41" fontId="143" fillId="0" borderId="0">
      <alignment vertical="center"/>
    </xf>
    <xf numFmtId="9" fontId="14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" fillId="0" borderId="0">
      <alignment vertical="center"/>
    </xf>
    <xf numFmtId="41" fontId="1" fillId="0" borderId="0">
      <alignment vertical="center"/>
    </xf>
    <xf numFmtId="0" fontId="147" fillId="0" borderId="0">
      <alignment vertical="center"/>
    </xf>
    <xf numFmtId="9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86" fontId="4" fillId="0" borderId="0">
      <protection locked="0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6" fontId="4" fillId="0" borderId="0">
      <protection locked="0"/>
    </xf>
    <xf numFmtId="0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95" fontId="4" fillId="0" borderId="0"/>
    <xf numFmtId="186" fontId="4" fillId="0" borderId="0">
      <protection locked="0"/>
    </xf>
    <xf numFmtId="41" fontId="22" fillId="0" borderId="0"/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9">
      <protection locked="0"/>
    </xf>
    <xf numFmtId="41" fontId="50" fillId="0" borderId="14">
      <alignment horizontal="center" vertical="center"/>
    </xf>
    <xf numFmtId="0" fontId="4" fillId="0" borderId="0">
      <protection locked="0"/>
    </xf>
    <xf numFmtId="0" fontId="4" fillId="5" borderId="16">
      <alignment vertical="center"/>
    </xf>
    <xf numFmtId="41" fontId="51" fillId="0" borderId="2">
      <alignment horizontal="distributed" vertical="center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9" fontId="4" fillId="0" borderId="0"/>
    <xf numFmtId="9" fontId="4" fillId="0" borderId="0">
      <alignment vertical="center"/>
    </xf>
    <xf numFmtId="9" fontId="4" fillId="0" borderId="0">
      <alignment vertical="center"/>
    </xf>
    <xf numFmtId="9" fontId="4" fillId="0" borderId="0">
      <alignment vertical="center"/>
    </xf>
    <xf numFmtId="9" fontId="4" fillId="0" borderId="0"/>
    <xf numFmtId="9" fontId="4" fillId="0" borderId="0">
      <alignment vertical="center"/>
    </xf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215" fontId="4" fillId="0" borderId="0"/>
    <xf numFmtId="216" fontId="4" fillId="0" borderId="0"/>
    <xf numFmtId="217" fontId="4" fillId="0" borderId="17"/>
    <xf numFmtId="215" fontId="4" fillId="0" borderId="0">
      <alignment horizontal="centerContinuous" vertical="center"/>
    </xf>
    <xf numFmtId="218" fontId="4" fillId="0" borderId="17"/>
    <xf numFmtId="0" fontId="4" fillId="0" borderId="17"/>
    <xf numFmtId="41" fontId="4" fillId="0" borderId="0"/>
    <xf numFmtId="41" fontId="4" fillId="0" borderId="0">
      <alignment vertical="center"/>
    </xf>
    <xf numFmtId="41" fontId="6" fillId="0" borderId="0"/>
    <xf numFmtId="41" fontId="4" fillId="0" borderId="0"/>
    <xf numFmtId="41" fontId="4" fillId="0" borderId="0">
      <alignment vertical="center"/>
    </xf>
    <xf numFmtId="41" fontId="4" fillId="0" borderId="0"/>
    <xf numFmtId="41" fontId="4" fillId="0" borderId="0"/>
    <xf numFmtId="41" fontId="5" fillId="0" borderId="0">
      <alignment vertical="center"/>
    </xf>
    <xf numFmtId="41" fontId="4" fillId="0" borderId="0"/>
    <xf numFmtId="41" fontId="5" fillId="0" borderId="0">
      <alignment vertical="center"/>
    </xf>
    <xf numFmtId="41" fontId="91" fillId="0" borderId="0">
      <alignment vertical="center"/>
    </xf>
    <xf numFmtId="222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223" fontId="4" fillId="0" borderId="0">
      <alignment vertical="center"/>
    </xf>
    <xf numFmtId="41" fontId="4" fillId="0" borderId="0"/>
    <xf numFmtId="225" fontId="4" fillId="0" borderId="0">
      <alignment vertical="center"/>
    </xf>
    <xf numFmtId="40" fontId="4" fillId="0" borderId="0">
      <alignment vertical="center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42" fontId="4" fillId="0" borderId="0"/>
    <xf numFmtId="42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41" fontId="14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533">
    <xf numFmtId="0" fontId="0" fillId="0" borderId="0" xfId="0"/>
    <xf numFmtId="0" fontId="92" fillId="0" borderId="53" xfId="0" applyFont="1" applyBorder="1" applyAlignment="1">
      <alignment vertical="center"/>
    </xf>
    <xf numFmtId="0" fontId="92" fillId="0" borderId="54" xfId="0" applyFont="1" applyBorder="1" applyAlignment="1">
      <alignment vertical="center"/>
    </xf>
    <xf numFmtId="0" fontId="92" fillId="0" borderId="55" xfId="0" applyFont="1" applyBorder="1" applyAlignment="1">
      <alignment vertical="center"/>
    </xf>
    <xf numFmtId="0" fontId="92" fillId="0" borderId="0" xfId="0" applyFont="1" applyAlignment="1">
      <alignment vertical="center"/>
    </xf>
    <xf numFmtId="0" fontId="94" fillId="0" borderId="57" xfId="0" applyFont="1" applyBorder="1" applyAlignment="1">
      <alignment vertical="center"/>
    </xf>
    <xf numFmtId="0" fontId="94" fillId="0" borderId="0" xfId="0" applyFont="1" applyAlignment="1">
      <alignment vertical="center"/>
    </xf>
    <xf numFmtId="0" fontId="96" fillId="0" borderId="56" xfId="0" applyFont="1" applyBorder="1" applyAlignment="1">
      <alignment horizontal="center" vertical="top"/>
    </xf>
    <xf numFmtId="0" fontId="96" fillId="0" borderId="0" xfId="0" applyFont="1" applyAlignment="1">
      <alignment horizontal="center" vertical="top"/>
    </xf>
    <xf numFmtId="0" fontId="98" fillId="0" borderId="57" xfId="0" applyFont="1" applyBorder="1" applyAlignment="1">
      <alignment vertical="center"/>
    </xf>
    <xf numFmtId="0" fontId="94" fillId="0" borderId="56" xfId="0" applyFont="1" applyBorder="1" applyAlignment="1">
      <alignment vertical="center"/>
    </xf>
    <xf numFmtId="0" fontId="102" fillId="0" borderId="56" xfId="0" applyFont="1" applyBorder="1" applyAlignment="1">
      <alignment vertical="center"/>
    </xf>
    <xf numFmtId="0" fontId="104" fillId="0" borderId="28" xfId="0" applyFont="1" applyBorder="1" applyAlignment="1">
      <alignment vertical="center" wrapText="1"/>
    </xf>
    <xf numFmtId="0" fontId="103" fillId="32" borderId="42" xfId="0" applyFont="1" applyFill="1" applyBorder="1" applyAlignment="1">
      <alignment vertical="center" wrapText="1"/>
    </xf>
    <xf numFmtId="0" fontId="103" fillId="0" borderId="30" xfId="0" applyFont="1" applyBorder="1" applyAlignment="1">
      <alignment vertical="center" wrapText="1"/>
    </xf>
    <xf numFmtId="0" fontId="108" fillId="0" borderId="57" xfId="0" applyFont="1" applyBorder="1" applyAlignment="1">
      <alignment vertical="center" wrapText="1"/>
    </xf>
    <xf numFmtId="0" fontId="101" fillId="0" borderId="56" xfId="0" applyFont="1" applyBorder="1" applyAlignment="1">
      <alignment vertical="center"/>
    </xf>
    <xf numFmtId="0" fontId="101" fillId="0" borderId="0" xfId="0" applyFont="1" applyAlignment="1">
      <alignment vertical="center"/>
    </xf>
    <xf numFmtId="0" fontId="103" fillId="32" borderId="49" xfId="0" applyFont="1" applyFill="1" applyBorder="1" applyAlignment="1">
      <alignment vertical="center" wrapText="1"/>
    </xf>
    <xf numFmtId="0" fontId="103" fillId="0" borderId="50" xfId="0" applyFont="1" applyBorder="1" applyAlignment="1">
      <alignment vertical="center" wrapText="1"/>
    </xf>
    <xf numFmtId="0" fontId="109" fillId="0" borderId="56" xfId="0" applyFont="1" applyBorder="1" applyAlignment="1">
      <alignment vertical="center"/>
    </xf>
    <xf numFmtId="0" fontId="109" fillId="33" borderId="43" xfId="0" applyFont="1" applyFill="1" applyBorder="1" applyAlignment="1">
      <alignment vertical="center"/>
    </xf>
    <xf numFmtId="0" fontId="109" fillId="0" borderId="57" xfId="0" applyFont="1" applyBorder="1" applyAlignment="1">
      <alignment vertical="center"/>
    </xf>
    <xf numFmtId="0" fontId="109" fillId="0" borderId="0" xfId="0" applyFont="1" applyAlignment="1">
      <alignment vertical="center"/>
    </xf>
    <xf numFmtId="0" fontId="94" fillId="33" borderId="43" xfId="0" applyFont="1" applyFill="1" applyBorder="1" applyAlignment="1">
      <alignment vertical="center"/>
    </xf>
    <xf numFmtId="0" fontId="110" fillId="0" borderId="56" xfId="0" applyFont="1" applyBorder="1" applyAlignment="1">
      <alignment vertical="center"/>
    </xf>
    <xf numFmtId="0" fontId="110" fillId="33" borderId="43" xfId="0" applyFont="1" applyFill="1" applyBorder="1" applyAlignment="1">
      <alignment vertical="center"/>
    </xf>
    <xf numFmtId="0" fontId="110" fillId="0" borderId="57" xfId="0" applyFont="1" applyBorder="1" applyAlignment="1">
      <alignment vertical="center"/>
    </xf>
    <xf numFmtId="0" fontId="110" fillId="0" borderId="0" xfId="0" applyFont="1" applyAlignment="1">
      <alignment vertical="center"/>
    </xf>
    <xf numFmtId="0" fontId="114" fillId="0" borderId="56" xfId="0" applyFont="1" applyBorder="1" applyAlignment="1">
      <alignment vertical="center"/>
    </xf>
    <xf numFmtId="0" fontId="114" fillId="0" borderId="57" xfId="0" applyFont="1" applyBorder="1" applyAlignment="1">
      <alignment vertical="center"/>
    </xf>
    <xf numFmtId="0" fontId="114" fillId="0" borderId="0" xfId="0" applyFont="1" applyAlignment="1">
      <alignment vertical="center"/>
    </xf>
    <xf numFmtId="0" fontId="114" fillId="0" borderId="58" xfId="0" applyFont="1" applyBorder="1" applyAlignment="1">
      <alignment vertical="center"/>
    </xf>
    <xf numFmtId="0" fontId="114" fillId="0" borderId="59" xfId="0" applyFont="1" applyBorder="1" applyAlignment="1">
      <alignment vertical="center"/>
    </xf>
    <xf numFmtId="0" fontId="114" fillId="0" borderId="60" xfId="0" applyFont="1" applyBorder="1" applyAlignment="1">
      <alignment vertical="center"/>
    </xf>
    <xf numFmtId="0" fontId="92" fillId="0" borderId="0" xfId="0" applyFont="1"/>
    <xf numFmtId="0" fontId="118" fillId="0" borderId="0" xfId="0" applyFont="1"/>
    <xf numFmtId="0" fontId="115" fillId="0" borderId="0" xfId="0" applyFont="1" applyAlignment="1">
      <alignment horizontal="center" vertical="center"/>
    </xf>
    <xf numFmtId="0" fontId="120" fillId="0" borderId="0" xfId="0" applyFont="1" applyAlignment="1">
      <alignment vertical="center"/>
    </xf>
    <xf numFmtId="0" fontId="120" fillId="28" borderId="34" xfId="0" applyFont="1" applyFill="1" applyBorder="1" applyAlignment="1">
      <alignment horizontal="center" vertical="center"/>
    </xf>
    <xf numFmtId="0" fontId="120" fillId="28" borderId="33" xfId="0" applyFont="1" applyFill="1" applyBorder="1" applyAlignment="1">
      <alignment horizontal="center" vertical="center" wrapText="1"/>
    </xf>
    <xf numFmtId="0" fontId="120" fillId="28" borderId="35" xfId="0" applyFont="1" applyFill="1" applyBorder="1" applyAlignment="1">
      <alignment horizontal="center" vertical="center" wrapText="1"/>
    </xf>
    <xf numFmtId="0" fontId="120" fillId="28" borderId="36" xfId="0" applyFont="1" applyFill="1" applyBorder="1" applyAlignment="1">
      <alignment horizontal="center" vertical="center"/>
    </xf>
    <xf numFmtId="0" fontId="120" fillId="28" borderId="35" xfId="0" applyFont="1" applyFill="1" applyBorder="1" applyAlignment="1">
      <alignment horizontal="center" vertical="center"/>
    </xf>
    <xf numFmtId="0" fontId="120" fillId="28" borderId="34" xfId="0" applyFont="1" applyFill="1" applyBorder="1" applyAlignment="1">
      <alignment horizontal="right" vertical="center"/>
    </xf>
    <xf numFmtId="0" fontId="118" fillId="28" borderId="31" xfId="0" applyFont="1" applyFill="1" applyBorder="1" applyAlignment="1">
      <alignment horizontal="center" vertical="center"/>
    </xf>
    <xf numFmtId="41" fontId="121" fillId="0" borderId="33" xfId="1267" applyFont="1" applyBorder="1" applyAlignment="1">
      <alignment vertical="center"/>
    </xf>
    <xf numFmtId="41" fontId="121" fillId="0" borderId="31" xfId="1267" applyFont="1" applyBorder="1" applyAlignment="1">
      <alignment vertical="center"/>
    </xf>
    <xf numFmtId="0" fontId="121" fillId="28" borderId="33" xfId="0" applyFont="1" applyFill="1" applyBorder="1" applyAlignment="1">
      <alignment horizontal="center" vertical="center"/>
    </xf>
    <xf numFmtId="176" fontId="121" fillId="0" borderId="33" xfId="1235" applyNumberFormat="1" applyFont="1" applyBorder="1" applyAlignment="1">
      <alignment horizontal="center" vertical="center"/>
    </xf>
    <xf numFmtId="177" fontId="121" fillId="0" borderId="31" xfId="0" applyNumberFormat="1" applyFont="1" applyBorder="1" applyAlignment="1">
      <alignment horizontal="right" vertical="center"/>
    </xf>
    <xf numFmtId="177" fontId="117" fillId="29" borderId="31" xfId="0" applyNumberFormat="1" applyFont="1" applyFill="1" applyBorder="1" applyAlignment="1">
      <alignment vertical="center"/>
    </xf>
    <xf numFmtId="0" fontId="120" fillId="0" borderId="34" xfId="0" applyFont="1" applyBorder="1" applyAlignment="1">
      <alignment vertical="center"/>
    </xf>
    <xf numFmtId="0" fontId="120" fillId="0" borderId="34" xfId="0" applyFont="1" applyBorder="1" applyAlignment="1">
      <alignment horizontal="center" vertical="center"/>
    </xf>
    <xf numFmtId="0" fontId="120" fillId="28" borderId="39" xfId="0" applyFont="1" applyFill="1" applyBorder="1" applyAlignment="1">
      <alignment horizontal="right" vertical="center"/>
    </xf>
    <xf numFmtId="0" fontId="122" fillId="28" borderId="37" xfId="0" applyFont="1" applyFill="1" applyBorder="1" applyAlignment="1">
      <alignment vertical="center"/>
    </xf>
    <xf numFmtId="177" fontId="120" fillId="28" borderId="38" xfId="0" applyNumberFormat="1" applyFont="1" applyFill="1" applyBorder="1" applyAlignment="1">
      <alignment vertical="center"/>
    </xf>
    <xf numFmtId="41" fontId="121" fillId="0" borderId="31" xfId="1270" applyFont="1" applyBorder="1" applyAlignment="1">
      <alignment vertical="center"/>
    </xf>
    <xf numFmtId="0" fontId="118" fillId="28" borderId="33" xfId="0" applyFont="1" applyFill="1" applyBorder="1" applyAlignment="1">
      <alignment horizontal="center" vertical="center"/>
    </xf>
    <xf numFmtId="41" fontId="121" fillId="0" borderId="33" xfId="1270" applyFont="1" applyBorder="1" applyAlignment="1">
      <alignment vertical="center"/>
    </xf>
    <xf numFmtId="0" fontId="117" fillId="0" borderId="34" xfId="0" applyFont="1" applyBorder="1" applyAlignment="1">
      <alignment horizontal="right" vertical="center"/>
    </xf>
    <xf numFmtId="0" fontId="117" fillId="0" borderId="34" xfId="0" applyFont="1" applyBorder="1" applyAlignment="1">
      <alignment horizontal="left" vertical="center"/>
    </xf>
    <xf numFmtId="0" fontId="122" fillId="0" borderId="34" xfId="0" applyFont="1" applyBorder="1" applyAlignment="1">
      <alignment vertical="center"/>
    </xf>
    <xf numFmtId="0" fontId="97" fillId="0" borderId="0" xfId="0" applyFont="1" applyAlignment="1">
      <alignment horizontal="right"/>
    </xf>
    <xf numFmtId="0" fontId="103" fillId="0" borderId="45" xfId="0" applyFont="1" applyBorder="1" applyAlignment="1">
      <alignment horizontal="center" vertical="center"/>
    </xf>
    <xf numFmtId="0" fontId="103" fillId="0" borderId="34" xfId="0" applyFont="1" applyBorder="1" applyAlignment="1">
      <alignment horizontal="center" vertical="center"/>
    </xf>
    <xf numFmtId="0" fontId="120" fillId="28" borderId="33" xfId="0" applyFont="1" applyFill="1" applyBorder="1" applyAlignment="1">
      <alignment vertical="center"/>
    </xf>
    <xf numFmtId="0" fontId="103" fillId="0" borderId="40" xfId="0" applyFont="1" applyBorder="1" applyAlignment="1">
      <alignment vertical="center" wrapText="1"/>
    </xf>
    <xf numFmtId="31" fontId="103" fillId="0" borderId="30" xfId="0" applyNumberFormat="1" applyFont="1" applyBorder="1" applyAlignment="1">
      <alignment vertical="center"/>
    </xf>
    <xf numFmtId="0" fontId="103" fillId="0" borderId="30" xfId="0" applyFont="1" applyBorder="1" applyAlignment="1">
      <alignment vertical="center"/>
    </xf>
    <xf numFmtId="0" fontId="103" fillId="0" borderId="40" xfId="0" applyFont="1" applyBorder="1" applyAlignment="1">
      <alignment vertical="center"/>
    </xf>
    <xf numFmtId="177" fontId="120" fillId="0" borderId="31" xfId="0" applyNumberFormat="1" applyFont="1" applyBorder="1" applyAlignment="1">
      <alignment horizontal="right" vertical="center"/>
    </xf>
    <xf numFmtId="178" fontId="125" fillId="31" borderId="34" xfId="0" applyNumberFormat="1" applyFont="1" applyFill="1" applyBorder="1" applyAlignment="1">
      <alignment horizontal="right" vertical="center" shrinkToFit="1"/>
    </xf>
    <xf numFmtId="177" fontId="125" fillId="31" borderId="33" xfId="0" applyNumberFormat="1" applyFont="1" applyFill="1" applyBorder="1" applyAlignment="1">
      <alignment vertical="center"/>
    </xf>
    <xf numFmtId="0" fontId="1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79" fontId="16" fillId="0" borderId="0" xfId="0" applyNumberFormat="1" applyFont="1" applyAlignment="1">
      <alignment horizontal="center" vertical="center"/>
    </xf>
    <xf numFmtId="41" fontId="16" fillId="0" borderId="0" xfId="1267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30" fillId="36" borderId="0" xfId="0" applyFont="1" applyFill="1" applyAlignment="1">
      <alignment horizontal="left" vertical="center" indent="1"/>
    </xf>
    <xf numFmtId="0" fontId="118" fillId="28" borderId="33" xfId="0" applyFont="1" applyFill="1" applyBorder="1" applyAlignment="1">
      <alignment horizontal="left" vertical="center"/>
    </xf>
    <xf numFmtId="0" fontId="120" fillId="28" borderId="39" xfId="0" applyFont="1" applyFill="1" applyBorder="1" applyAlignment="1">
      <alignment horizontal="left" vertical="center"/>
    </xf>
    <xf numFmtId="0" fontId="120" fillId="28" borderId="39" xfId="0" applyFont="1" applyFill="1" applyBorder="1" applyAlignment="1">
      <alignment horizontal="center" vertical="center"/>
    </xf>
    <xf numFmtId="0" fontId="122" fillId="28" borderId="39" xfId="0" applyFont="1" applyFill="1" applyBorder="1" applyAlignment="1">
      <alignment vertical="center"/>
    </xf>
    <xf numFmtId="0" fontId="120" fillId="37" borderId="34" xfId="0" applyFont="1" applyFill="1" applyBorder="1" applyAlignment="1">
      <alignment horizontal="center" vertical="center"/>
    </xf>
    <xf numFmtId="0" fontId="120" fillId="37" borderId="33" xfId="0" applyFont="1" applyFill="1" applyBorder="1" applyAlignment="1">
      <alignment horizontal="center" vertical="center" wrapText="1"/>
    </xf>
    <xf numFmtId="0" fontId="120" fillId="37" borderId="35" xfId="0" applyFont="1" applyFill="1" applyBorder="1" applyAlignment="1">
      <alignment horizontal="center" vertical="center" wrapText="1"/>
    </xf>
    <xf numFmtId="0" fontId="120" fillId="37" borderId="35" xfId="0" applyFont="1" applyFill="1" applyBorder="1" applyAlignment="1">
      <alignment horizontal="center" vertical="center"/>
    </xf>
    <xf numFmtId="0" fontId="120" fillId="37" borderId="34" xfId="0" applyFont="1" applyFill="1" applyBorder="1" applyAlignment="1">
      <alignment horizontal="right" vertical="center"/>
    </xf>
    <xf numFmtId="0" fontId="120" fillId="37" borderId="33" xfId="0" applyFont="1" applyFill="1" applyBorder="1" applyAlignment="1">
      <alignment vertical="center"/>
    </xf>
    <xf numFmtId="0" fontId="122" fillId="37" borderId="31" xfId="0" applyFont="1" applyFill="1" applyBorder="1" applyAlignment="1">
      <alignment vertical="center"/>
    </xf>
    <xf numFmtId="0" fontId="121" fillId="37" borderId="34" xfId="0" applyFont="1" applyFill="1" applyBorder="1" applyAlignment="1">
      <alignment vertical="center"/>
    </xf>
    <xf numFmtId="0" fontId="121" fillId="37" borderId="33" xfId="0" applyFont="1" applyFill="1" applyBorder="1" applyAlignment="1">
      <alignment vertical="center"/>
    </xf>
    <xf numFmtId="0" fontId="121" fillId="37" borderId="31" xfId="0" applyFont="1" applyFill="1" applyBorder="1" applyAlignment="1">
      <alignment horizontal="center" vertical="center"/>
    </xf>
    <xf numFmtId="0" fontId="118" fillId="37" borderId="34" xfId="0" applyFont="1" applyFill="1" applyBorder="1" applyAlignment="1">
      <alignment vertical="center"/>
    </xf>
    <xf numFmtId="0" fontId="118" fillId="37" borderId="33" xfId="0" applyFont="1" applyFill="1" applyBorder="1" applyAlignment="1">
      <alignment vertical="center"/>
    </xf>
    <xf numFmtId="0" fontId="117" fillId="37" borderId="34" xfId="0" applyFont="1" applyFill="1" applyBorder="1" applyAlignment="1">
      <alignment horizontal="right" vertical="center"/>
    </xf>
    <xf numFmtId="0" fontId="117" fillId="37" borderId="33" xfId="0" applyFont="1" applyFill="1" applyBorder="1" applyAlignment="1">
      <alignment horizontal="left" vertical="center"/>
    </xf>
    <xf numFmtId="0" fontId="117" fillId="37" borderId="34" xfId="0" applyFont="1" applyFill="1" applyBorder="1" applyAlignment="1">
      <alignment horizontal="left" vertical="center"/>
    </xf>
    <xf numFmtId="0" fontId="120" fillId="37" borderId="39" xfId="0" applyFont="1" applyFill="1" applyBorder="1" applyAlignment="1">
      <alignment horizontal="right" vertical="center"/>
    </xf>
    <xf numFmtId="0" fontId="120" fillId="37" borderId="39" xfId="0" applyFont="1" applyFill="1" applyBorder="1" applyAlignment="1">
      <alignment horizontal="left" vertical="center"/>
    </xf>
    <xf numFmtId="0" fontId="122" fillId="37" borderId="39" xfId="0" applyFont="1" applyFill="1" applyBorder="1" applyAlignment="1">
      <alignment vertical="center"/>
    </xf>
    <xf numFmtId="0" fontId="122" fillId="37" borderId="37" xfId="0" applyFont="1" applyFill="1" applyBorder="1" applyAlignment="1">
      <alignment vertical="center"/>
    </xf>
    <xf numFmtId="177" fontId="120" fillId="37" borderId="38" xfId="0" applyNumberFormat="1" applyFont="1" applyFill="1" applyBorder="1" applyAlignment="1">
      <alignment vertical="center"/>
    </xf>
    <xf numFmtId="0" fontId="117" fillId="0" borderId="0" xfId="0" applyFont="1" applyAlignment="1">
      <alignment vertical="center"/>
    </xf>
    <xf numFmtId="0" fontId="118" fillId="0" borderId="0" xfId="0" applyFont="1" applyAlignment="1">
      <alignment vertical="center"/>
    </xf>
    <xf numFmtId="0" fontId="117" fillId="0" borderId="56" xfId="0" applyFont="1" applyBorder="1" applyAlignment="1">
      <alignment horizontal="left" vertical="center"/>
    </xf>
    <xf numFmtId="0" fontId="117" fillId="0" borderId="0" xfId="0" applyFont="1" applyAlignment="1">
      <alignment horizontal="left" vertical="center"/>
    </xf>
    <xf numFmtId="0" fontId="118" fillId="0" borderId="57" xfId="0" applyFont="1" applyBorder="1" applyAlignment="1">
      <alignment horizontal="center" vertical="center"/>
    </xf>
    <xf numFmtId="0" fontId="118" fillId="0" borderId="56" xfId="0" applyFont="1" applyBorder="1" applyAlignment="1">
      <alignment horizontal="left" vertical="center" indent="1"/>
    </xf>
    <xf numFmtId="0" fontId="118" fillId="0" borderId="0" xfId="0" applyFont="1" applyAlignment="1">
      <alignment horizontal="left" vertical="center" indent="1"/>
    </xf>
    <xf numFmtId="0" fontId="118" fillId="0" borderId="56" xfId="0" applyFont="1" applyBorder="1" applyAlignment="1">
      <alignment horizontal="left"/>
    </xf>
    <xf numFmtId="0" fontId="118" fillId="0" borderId="0" xfId="0" applyFont="1" applyAlignment="1">
      <alignment horizontal="left" vertical="center"/>
    </xf>
    <xf numFmtId="0" fontId="117" fillId="0" borderId="56" xfId="0" applyFont="1" applyBorder="1" applyAlignment="1">
      <alignment vertical="center"/>
    </xf>
    <xf numFmtId="0" fontId="117" fillId="0" borderId="57" xfId="0" applyFont="1" applyBorder="1" applyAlignment="1">
      <alignment vertical="center"/>
    </xf>
    <xf numFmtId="0" fontId="118" fillId="0" borderId="56" xfId="0" applyFont="1" applyBorder="1" applyAlignment="1">
      <alignment vertical="center"/>
    </xf>
    <xf numFmtId="0" fontId="118" fillId="0" borderId="57" xfId="0" applyFont="1" applyBorder="1" applyAlignment="1">
      <alignment vertical="center" wrapText="1"/>
    </xf>
    <xf numFmtId="0" fontId="118" fillId="0" borderId="57" xfId="0" applyFont="1" applyBorder="1" applyAlignment="1">
      <alignment vertical="center"/>
    </xf>
    <xf numFmtId="0" fontId="92" fillId="0" borderId="58" xfId="0" applyFont="1" applyBorder="1"/>
    <xf numFmtId="0" fontId="92" fillId="0" borderId="59" xfId="0" applyFont="1" applyBorder="1"/>
    <xf numFmtId="0" fontId="92" fillId="0" borderId="60" xfId="0" applyFont="1" applyBorder="1"/>
    <xf numFmtId="0" fontId="117" fillId="0" borderId="0" xfId="0" applyFont="1" applyAlignment="1">
      <alignment horizontal="center" vertical="center"/>
    </xf>
    <xf numFmtId="180" fontId="118" fillId="0" borderId="31" xfId="1267" applyNumberFormat="1" applyFont="1" applyBorder="1" applyAlignment="1">
      <alignment horizontal="center" vertical="center"/>
    </xf>
    <xf numFmtId="0" fontId="120" fillId="34" borderId="33" xfId="0" applyFont="1" applyFill="1" applyBorder="1" applyAlignment="1">
      <alignment horizontal="center" vertical="center" wrapText="1"/>
    </xf>
    <xf numFmtId="0" fontId="120" fillId="34" borderId="35" xfId="0" applyFont="1" applyFill="1" applyBorder="1" applyAlignment="1">
      <alignment horizontal="center" vertical="center" wrapText="1"/>
    </xf>
    <xf numFmtId="0" fontId="120" fillId="34" borderId="35" xfId="0" applyFont="1" applyFill="1" applyBorder="1" applyAlignment="1">
      <alignment horizontal="center" vertical="center"/>
    </xf>
    <xf numFmtId="0" fontId="120" fillId="34" borderId="34" xfId="0" applyFont="1" applyFill="1" applyBorder="1" applyAlignment="1">
      <alignment horizontal="right" vertical="center"/>
    </xf>
    <xf numFmtId="0" fontId="120" fillId="34" borderId="33" xfId="0" applyFont="1" applyFill="1" applyBorder="1" applyAlignment="1">
      <alignment vertical="center"/>
    </xf>
    <xf numFmtId="0" fontId="122" fillId="34" borderId="31" xfId="0" applyFont="1" applyFill="1" applyBorder="1" applyAlignment="1">
      <alignment vertical="center"/>
    </xf>
    <xf numFmtId="0" fontId="121" fillId="34" borderId="34" xfId="0" applyFont="1" applyFill="1" applyBorder="1" applyAlignment="1">
      <alignment vertical="center"/>
    </xf>
    <xf numFmtId="0" fontId="121" fillId="34" borderId="33" xfId="0" applyFont="1" applyFill="1" applyBorder="1" applyAlignment="1">
      <alignment vertical="center"/>
    </xf>
    <xf numFmtId="0" fontId="121" fillId="34" borderId="31" xfId="0" applyFont="1" applyFill="1" applyBorder="1" applyAlignment="1">
      <alignment horizontal="center" vertical="center"/>
    </xf>
    <xf numFmtId="0" fontId="118" fillId="34" borderId="34" xfId="0" applyFont="1" applyFill="1" applyBorder="1" applyAlignment="1">
      <alignment vertical="center"/>
    </xf>
    <xf numFmtId="0" fontId="118" fillId="34" borderId="33" xfId="0" applyFont="1" applyFill="1" applyBorder="1" applyAlignment="1">
      <alignment vertical="center"/>
    </xf>
    <xf numFmtId="0" fontId="117" fillId="34" borderId="34" xfId="0" applyFont="1" applyFill="1" applyBorder="1" applyAlignment="1">
      <alignment horizontal="right" vertical="center"/>
    </xf>
    <xf numFmtId="0" fontId="117" fillId="34" borderId="33" xfId="0" applyFont="1" applyFill="1" applyBorder="1" applyAlignment="1">
      <alignment horizontal="left" vertical="center"/>
    </xf>
    <xf numFmtId="0" fontId="117" fillId="34" borderId="34" xfId="0" applyFont="1" applyFill="1" applyBorder="1" applyAlignment="1">
      <alignment horizontal="left" vertical="center"/>
    </xf>
    <xf numFmtId="0" fontId="120" fillId="34" borderId="39" xfId="0" applyFont="1" applyFill="1" applyBorder="1" applyAlignment="1">
      <alignment horizontal="right" vertical="center"/>
    </xf>
    <xf numFmtId="0" fontId="120" fillId="34" borderId="39" xfId="0" applyFont="1" applyFill="1" applyBorder="1" applyAlignment="1">
      <alignment horizontal="left" vertical="center"/>
    </xf>
    <xf numFmtId="0" fontId="122" fillId="34" borderId="39" xfId="0" applyFont="1" applyFill="1" applyBorder="1" applyAlignment="1">
      <alignment vertical="center"/>
    </xf>
    <xf numFmtId="0" fontId="122" fillId="34" borderId="37" xfId="0" applyFont="1" applyFill="1" applyBorder="1" applyAlignment="1">
      <alignment vertical="center"/>
    </xf>
    <xf numFmtId="177" fontId="120" fillId="34" borderId="38" xfId="0" applyNumberFormat="1" applyFont="1" applyFill="1" applyBorder="1" applyAlignment="1">
      <alignment vertical="center"/>
    </xf>
    <xf numFmtId="0" fontId="120" fillId="34" borderId="34" xfId="0" applyFont="1" applyFill="1" applyBorder="1" applyAlignment="1">
      <alignment horizontal="center" vertical="center"/>
    </xf>
    <xf numFmtId="0" fontId="133" fillId="0" borderId="105" xfId="0" applyFont="1" applyBorder="1" applyAlignment="1">
      <alignment horizontal="center" vertical="center" wrapText="1"/>
    </xf>
    <xf numFmtId="0" fontId="133" fillId="0" borderId="104" xfId="0" applyFont="1" applyBorder="1" applyAlignment="1">
      <alignment horizontal="center" vertical="center" wrapText="1"/>
    </xf>
    <xf numFmtId="0" fontId="133" fillId="0" borderId="0" xfId="0" applyFont="1" applyAlignment="1">
      <alignment vertical="center"/>
    </xf>
    <xf numFmtId="0" fontId="103" fillId="0" borderId="29" xfId="0" applyFont="1" applyBorder="1" applyAlignment="1">
      <alignment vertical="center"/>
    </xf>
    <xf numFmtId="0" fontId="120" fillId="0" borderId="0" xfId="0" applyFont="1" applyAlignment="1">
      <alignment horizontal="center" vertical="center"/>
    </xf>
    <xf numFmtId="177" fontId="117" fillId="0" borderId="0" xfId="0" applyNumberFormat="1" applyFont="1" applyAlignment="1">
      <alignment vertical="center"/>
    </xf>
    <xf numFmtId="177" fontId="120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80" fontId="117" fillId="0" borderId="0" xfId="1267" applyNumberFormat="1" applyFont="1" applyAlignment="1">
      <alignment horizontal="center" vertical="center"/>
    </xf>
    <xf numFmtId="41" fontId="120" fillId="0" borderId="0" xfId="1267" applyFont="1" applyAlignment="1">
      <alignment vertical="center"/>
    </xf>
    <xf numFmtId="180" fontId="120" fillId="0" borderId="0" xfId="0" applyNumberFormat="1" applyFont="1" applyAlignment="1">
      <alignment vertical="center"/>
    </xf>
    <xf numFmtId="41" fontId="120" fillId="0" borderId="0" xfId="1270" applyFont="1" applyAlignment="1">
      <alignment vertical="center"/>
    </xf>
    <xf numFmtId="0" fontId="117" fillId="0" borderId="0" xfId="0" applyFont="1"/>
    <xf numFmtId="0" fontId="135" fillId="0" borderId="0" xfId="0" applyFont="1"/>
    <xf numFmtId="0" fontId="117" fillId="0" borderId="0" xfId="0" applyFont="1" applyAlignment="1">
      <alignment vertical="center" wrapText="1"/>
    </xf>
    <xf numFmtId="179" fontId="117" fillId="0" borderId="0" xfId="0" applyNumberFormat="1" applyFont="1" applyAlignment="1">
      <alignment horizontal="center" vertical="center" wrapText="1"/>
    </xf>
    <xf numFmtId="0" fontId="117" fillId="0" borderId="83" xfId="0" applyFont="1" applyBorder="1" applyAlignment="1">
      <alignment horizontal="center" vertical="center"/>
    </xf>
    <xf numFmtId="0" fontId="117" fillId="0" borderId="83" xfId="0" applyFont="1" applyBorder="1" applyAlignment="1">
      <alignment horizontal="center" vertical="center" wrapText="1"/>
    </xf>
    <xf numFmtId="41" fontId="120" fillId="0" borderId="29" xfId="1267" applyFont="1" applyBorder="1" applyAlignment="1">
      <alignment vertical="center"/>
    </xf>
    <xf numFmtId="41" fontId="120" fillId="0" borderId="76" xfId="1270" applyFont="1" applyBorder="1" applyAlignment="1">
      <alignment vertical="center"/>
    </xf>
    <xf numFmtId="0" fontId="135" fillId="0" borderId="76" xfId="0" applyFont="1" applyBorder="1"/>
    <xf numFmtId="0" fontId="120" fillId="0" borderId="81" xfId="0" applyFont="1" applyBorder="1" applyAlignment="1">
      <alignment vertical="center"/>
    </xf>
    <xf numFmtId="0" fontId="120" fillId="0" borderId="28" xfId="0" applyFont="1" applyBorder="1" applyAlignment="1">
      <alignment vertical="center"/>
    </xf>
    <xf numFmtId="176" fontId="120" fillId="0" borderId="28" xfId="1235" applyNumberFormat="1" applyFont="1" applyBorder="1" applyAlignment="1">
      <alignment horizontal="center" vertical="center"/>
    </xf>
    <xf numFmtId="177" fontId="120" fillId="0" borderId="28" xfId="0" applyNumberFormat="1" applyFont="1" applyBorder="1" applyAlignment="1">
      <alignment horizontal="right" vertical="center"/>
    </xf>
    <xf numFmtId="177" fontId="120" fillId="0" borderId="28" xfId="0" applyNumberFormat="1" applyFont="1" applyBorder="1" applyAlignment="1">
      <alignment vertical="center"/>
    </xf>
    <xf numFmtId="177" fontId="120" fillId="0" borderId="82" xfId="0" applyNumberFormat="1" applyFont="1" applyBorder="1" applyAlignment="1">
      <alignment vertical="center"/>
    </xf>
    <xf numFmtId="177" fontId="120" fillId="0" borderId="80" xfId="0" applyNumberFormat="1" applyFont="1" applyBorder="1" applyAlignment="1">
      <alignment horizontal="right" vertical="center"/>
    </xf>
    <xf numFmtId="0" fontId="120" fillId="0" borderId="80" xfId="0" applyFont="1" applyBorder="1" applyAlignment="1">
      <alignment horizontal="center" vertical="center"/>
    </xf>
    <xf numFmtId="0" fontId="117" fillId="0" borderId="80" xfId="0" applyFont="1" applyBorder="1"/>
    <xf numFmtId="0" fontId="117" fillId="0" borderId="81" xfId="0" applyFont="1" applyBorder="1" applyAlignment="1">
      <alignment horizontal="center" vertical="center"/>
    </xf>
    <xf numFmtId="0" fontId="117" fillId="0" borderId="81" xfId="0" applyFont="1" applyBorder="1"/>
    <xf numFmtId="0" fontId="117" fillId="0" borderId="84" xfId="0" applyFont="1" applyBorder="1"/>
    <xf numFmtId="0" fontId="117" fillId="0" borderId="83" xfId="0" applyFont="1" applyBorder="1"/>
    <xf numFmtId="0" fontId="118" fillId="0" borderId="83" xfId="0" applyFont="1" applyBorder="1"/>
    <xf numFmtId="0" fontId="120" fillId="0" borderId="56" xfId="0" applyFont="1" applyBorder="1" applyAlignment="1">
      <alignment horizontal="center" vertical="center"/>
    </xf>
    <xf numFmtId="0" fontId="117" fillId="0" borderId="57" xfId="0" applyFont="1" applyBorder="1"/>
    <xf numFmtId="0" fontId="120" fillId="0" borderId="56" xfId="0" applyFont="1" applyBorder="1" applyAlignment="1">
      <alignment vertical="center"/>
    </xf>
    <xf numFmtId="0" fontId="120" fillId="0" borderId="56" xfId="0" applyFont="1" applyBorder="1" applyAlignment="1">
      <alignment horizontal="right" vertical="center"/>
    </xf>
    <xf numFmtId="0" fontId="135" fillId="0" borderId="57" xfId="0" applyFont="1" applyBorder="1"/>
    <xf numFmtId="0" fontId="117" fillId="0" borderId="56" xfId="0" applyFont="1" applyBorder="1" applyAlignment="1">
      <alignment horizontal="right" vertical="center"/>
    </xf>
    <xf numFmtId="0" fontId="117" fillId="0" borderId="56" xfId="0" applyFont="1" applyBorder="1" applyAlignment="1">
      <alignment horizontal="left" vertical="center" indent="1"/>
    </xf>
    <xf numFmtId="0" fontId="117" fillId="0" borderId="56" xfId="0" applyFont="1" applyBorder="1" applyAlignment="1">
      <alignment horizontal="left"/>
    </xf>
    <xf numFmtId="0" fontId="117" fillId="0" borderId="56" xfId="0" applyFont="1" applyBorder="1"/>
    <xf numFmtId="0" fontId="118" fillId="0" borderId="56" xfId="0" applyFont="1" applyBorder="1"/>
    <xf numFmtId="0" fontId="118" fillId="0" borderId="57" xfId="0" applyFont="1" applyBorder="1"/>
    <xf numFmtId="0" fontId="138" fillId="0" borderId="59" xfId="0" applyFont="1" applyBorder="1" applyAlignment="1">
      <alignment vertical="center"/>
    </xf>
    <xf numFmtId="0" fontId="137" fillId="0" borderId="0" xfId="0" applyFont="1" applyAlignment="1">
      <alignment horizontal="center" vertical="center"/>
    </xf>
    <xf numFmtId="0" fontId="138" fillId="0" borderId="0" xfId="0" applyFont="1" applyAlignment="1">
      <alignment vertical="center"/>
    </xf>
    <xf numFmtId="0" fontId="137" fillId="0" borderId="28" xfId="0" applyFont="1" applyBorder="1" applyAlignment="1">
      <alignment vertical="center"/>
    </xf>
    <xf numFmtId="0" fontId="140" fillId="36" borderId="0" xfId="0" applyFont="1" applyFill="1" applyAlignment="1">
      <alignment horizontal="left" vertical="center" indent="1"/>
    </xf>
    <xf numFmtId="0" fontId="139" fillId="36" borderId="0" xfId="0" applyFont="1" applyFill="1" applyAlignment="1">
      <alignment horizontal="right" vertical="center" indent="2"/>
    </xf>
    <xf numFmtId="0" fontId="141" fillId="36" borderId="0" xfId="0" applyFont="1" applyFill="1" applyAlignment="1">
      <alignment horizontal="left" vertical="center" indent="1"/>
    </xf>
    <xf numFmtId="41" fontId="136" fillId="0" borderId="0" xfId="1267" applyFont="1" applyAlignment="1">
      <alignment vertical="center"/>
    </xf>
    <xf numFmtId="0" fontId="135" fillId="0" borderId="82" xfId="0" applyFont="1" applyBorder="1"/>
    <xf numFmtId="179" fontId="133" fillId="0" borderId="105" xfId="0" applyNumberFormat="1" applyFont="1" applyBorder="1" applyAlignment="1">
      <alignment horizontal="center" vertical="center" wrapText="1"/>
    </xf>
    <xf numFmtId="179" fontId="133" fillId="0" borderId="104" xfId="0" applyNumberFormat="1" applyFont="1" applyBorder="1" applyAlignment="1">
      <alignment horizontal="center" vertical="center" wrapText="1"/>
    </xf>
    <xf numFmtId="0" fontId="142" fillId="32" borderId="31" xfId="0" applyFont="1" applyFill="1" applyBorder="1" applyAlignment="1">
      <alignment horizontal="center" vertical="center"/>
    </xf>
    <xf numFmtId="0" fontId="133" fillId="0" borderId="118" xfId="0" applyFont="1" applyBorder="1" applyAlignment="1">
      <alignment horizontal="center" vertical="center" wrapText="1"/>
    </xf>
    <xf numFmtId="179" fontId="133" fillId="0" borderId="118" xfId="0" applyNumberFormat="1" applyFont="1" applyBorder="1" applyAlignment="1">
      <alignment horizontal="center" vertical="center" wrapText="1"/>
    </xf>
    <xf numFmtId="0" fontId="145" fillId="0" borderId="0" xfId="0" applyFont="1" applyAlignment="1">
      <alignment horizontal="center" vertical="center"/>
    </xf>
    <xf numFmtId="0" fontId="146" fillId="0" borderId="0" xfId="0" applyFont="1" applyAlignment="1">
      <alignment vertical="center"/>
    </xf>
    <xf numFmtId="0" fontId="146" fillId="35" borderId="2" xfId="0" applyFont="1" applyFill="1" applyBorder="1" applyAlignment="1">
      <alignment horizontal="center" vertical="center"/>
    </xf>
    <xf numFmtId="180" fontId="145" fillId="0" borderId="2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80" fontId="146" fillId="0" borderId="2" xfId="0" applyNumberFormat="1" applyFont="1" applyBorder="1" applyAlignment="1">
      <alignment horizontal="center" vertical="center"/>
    </xf>
    <xf numFmtId="0" fontId="146" fillId="35" borderId="126" xfId="0" applyFont="1" applyFill="1" applyBorder="1" applyAlignment="1">
      <alignment horizontal="center" vertical="center"/>
    </xf>
    <xf numFmtId="180" fontId="145" fillId="0" borderId="126" xfId="0" applyNumberFormat="1" applyFont="1" applyBorder="1" applyAlignment="1">
      <alignment horizontal="center" vertical="center"/>
    </xf>
    <xf numFmtId="180" fontId="146" fillId="0" borderId="126" xfId="0" applyNumberFormat="1" applyFont="1" applyBorder="1" applyAlignment="1">
      <alignment horizontal="center" vertical="center"/>
    </xf>
    <xf numFmtId="0" fontId="146" fillId="35" borderId="121" xfId="0" applyFont="1" applyFill="1" applyBorder="1" applyAlignment="1">
      <alignment horizontal="center" vertical="center"/>
    </xf>
    <xf numFmtId="0" fontId="146" fillId="27" borderId="119" xfId="0" applyFont="1" applyFill="1" applyBorder="1" applyAlignment="1">
      <alignment horizontal="center" vertical="center"/>
    </xf>
    <xf numFmtId="180" fontId="146" fillId="27" borderId="120" xfId="0" applyNumberFormat="1" applyFont="1" applyFill="1" applyBorder="1" applyAlignment="1">
      <alignment horizontal="center" vertical="center"/>
    </xf>
    <xf numFmtId="180" fontId="146" fillId="27" borderId="128" xfId="0" applyNumberFormat="1" applyFont="1" applyFill="1" applyBorder="1" applyAlignment="1">
      <alignment horizontal="center" vertical="center"/>
    </xf>
    <xf numFmtId="181" fontId="16" fillId="0" borderId="0" xfId="1267" applyNumberFormat="1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02" fillId="0" borderId="0" xfId="0" applyFont="1" applyAlignment="1">
      <alignment vertical="center"/>
    </xf>
    <xf numFmtId="0" fontId="107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6" fillId="0" borderId="0" xfId="0" applyFont="1" applyAlignment="1">
      <alignment vertical="center"/>
    </xf>
    <xf numFmtId="31" fontId="103" fillId="0" borderId="0" xfId="0" applyNumberFormat="1" applyFont="1" applyAlignment="1">
      <alignment vertical="center"/>
    </xf>
    <xf numFmtId="0" fontId="94" fillId="33" borderId="0" xfId="0" applyFont="1" applyFill="1" applyAlignment="1">
      <alignment vertical="center"/>
    </xf>
    <xf numFmtId="0" fontId="101" fillId="33" borderId="0" xfId="0" applyFont="1" applyFill="1" applyAlignment="1">
      <alignment vertical="center"/>
    </xf>
    <xf numFmtId="0" fontId="108" fillId="0" borderId="0" xfId="0" applyFont="1" applyAlignment="1">
      <alignment vertical="center" wrapText="1"/>
    </xf>
    <xf numFmtId="0" fontId="114" fillId="33" borderId="0" xfId="0" applyFont="1" applyFill="1" applyAlignment="1">
      <alignment vertical="center"/>
    </xf>
    <xf numFmtId="0" fontId="149" fillId="0" borderId="59" xfId="1442" applyFont="1" applyBorder="1">
      <alignment vertical="center"/>
    </xf>
    <xf numFmtId="0" fontId="132" fillId="0" borderId="59" xfId="1442" applyFont="1" applyBorder="1">
      <alignment vertical="center"/>
    </xf>
    <xf numFmtId="0" fontId="148" fillId="0" borderId="59" xfId="1442" applyFont="1" applyBorder="1">
      <alignment vertical="center"/>
    </xf>
    <xf numFmtId="0" fontId="99" fillId="0" borderId="0" xfId="0" applyFont="1" applyAlignment="1">
      <alignment vertical="center"/>
    </xf>
    <xf numFmtId="0" fontId="100" fillId="0" borderId="0" xfId="0" applyFont="1" applyAlignment="1">
      <alignment vertical="center"/>
    </xf>
    <xf numFmtId="0" fontId="151" fillId="0" borderId="0" xfId="0" applyFont="1" applyAlignment="1">
      <alignment horizontal="center" vertical="center" wrapText="1"/>
    </xf>
    <xf numFmtId="41" fontId="151" fillId="0" borderId="0" xfId="1267" applyFont="1" applyAlignment="1">
      <alignment horizontal="center" vertical="center" wrapText="1"/>
    </xf>
    <xf numFmtId="0" fontId="151" fillId="0" borderId="0" xfId="0" applyFont="1" applyAlignment="1">
      <alignment horizontal="center" vertical="center"/>
    </xf>
    <xf numFmtId="0" fontId="150" fillId="0" borderId="0" xfId="0" applyFont="1" applyAlignment="1">
      <alignment horizontal="center" vertical="center"/>
    </xf>
    <xf numFmtId="41" fontId="151" fillId="0" borderId="0" xfId="1267" applyFont="1" applyAlignment="1">
      <alignment horizontal="center" vertical="center"/>
    </xf>
    <xf numFmtId="0" fontId="152" fillId="0" borderId="63" xfId="1442" applyFont="1" applyBorder="1" applyAlignment="1">
      <alignment horizontal="left" vertical="center" indent="1"/>
    </xf>
    <xf numFmtId="0" fontId="154" fillId="0" borderId="62" xfId="0" applyFont="1" applyBorder="1" applyAlignment="1">
      <alignment vertical="center"/>
    </xf>
    <xf numFmtId="0" fontId="155" fillId="0" borderId="63" xfId="1442" applyFont="1" applyBorder="1" applyAlignment="1">
      <alignment horizontal="left" vertical="center" indent="1"/>
    </xf>
    <xf numFmtId="0" fontId="152" fillId="0" borderId="0" xfId="1442" applyFont="1">
      <alignment vertical="center"/>
    </xf>
    <xf numFmtId="0" fontId="153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156" fillId="27" borderId="129" xfId="1442" applyFont="1" applyFill="1" applyBorder="1" applyAlignment="1">
      <alignment horizontal="left" vertical="center" indent="1"/>
    </xf>
    <xf numFmtId="0" fontId="157" fillId="27" borderId="130" xfId="1442" applyFont="1" applyFill="1" applyBorder="1">
      <alignment vertical="center"/>
    </xf>
    <xf numFmtId="0" fontId="158" fillId="27" borderId="130" xfId="0" applyFont="1" applyFill="1" applyBorder="1" applyAlignment="1">
      <alignment vertical="center"/>
    </xf>
    <xf numFmtId="0" fontId="158" fillId="27" borderId="131" xfId="0" applyFont="1" applyFill="1" applyBorder="1" applyAlignment="1">
      <alignment vertical="center"/>
    </xf>
    <xf numFmtId="0" fontId="118" fillId="28" borderId="34" xfId="0" applyFont="1" applyFill="1" applyBorder="1" applyAlignment="1">
      <alignment horizontal="left" vertical="center"/>
    </xf>
    <xf numFmtId="0" fontId="118" fillId="37" borderId="31" xfId="0" applyFont="1" applyFill="1" applyBorder="1" applyAlignment="1">
      <alignment horizontal="center" vertical="center"/>
    </xf>
    <xf numFmtId="182" fontId="111" fillId="29" borderId="30" xfId="0" applyNumberFormat="1" applyFont="1" applyFill="1" applyBorder="1" applyAlignment="1">
      <alignment horizontal="center" vertical="center" wrapText="1"/>
    </xf>
    <xf numFmtId="182" fontId="111" fillId="0" borderId="40" xfId="0" applyNumberFormat="1" applyFont="1" applyBorder="1" applyAlignment="1">
      <alignment vertical="center" wrapText="1"/>
    </xf>
    <xf numFmtId="0" fontId="161" fillId="0" borderId="0" xfId="0" applyFont="1"/>
    <xf numFmtId="0" fontId="160" fillId="35" borderId="85" xfId="0" applyFont="1" applyFill="1" applyBorder="1" applyAlignment="1">
      <alignment horizontal="center" vertical="center"/>
    </xf>
    <xf numFmtId="0" fontId="160" fillId="35" borderId="86" xfId="0" applyFont="1" applyFill="1" applyBorder="1" applyAlignment="1">
      <alignment horizontal="center" vertical="center"/>
    </xf>
    <xf numFmtId="0" fontId="160" fillId="35" borderId="87" xfId="0" applyFont="1" applyFill="1" applyBorder="1" applyAlignment="1">
      <alignment horizontal="center" vertical="center"/>
    </xf>
    <xf numFmtId="0" fontId="160" fillId="35" borderId="88" xfId="0" applyFont="1" applyFill="1" applyBorder="1" applyAlignment="1">
      <alignment horizontal="center" vertical="center"/>
    </xf>
    <xf numFmtId="0" fontId="160" fillId="35" borderId="85" xfId="1267" applyNumberFormat="1" applyFont="1" applyFill="1" applyBorder="1" applyAlignment="1">
      <alignment horizontal="center" vertical="center"/>
    </xf>
    <xf numFmtId="0" fontId="160" fillId="35" borderId="89" xfId="1267" applyNumberFormat="1" applyFont="1" applyFill="1" applyBorder="1" applyAlignment="1">
      <alignment horizontal="center" vertical="center"/>
    </xf>
    <xf numFmtId="0" fontId="160" fillId="35" borderId="134" xfId="1267" applyNumberFormat="1" applyFont="1" applyFill="1" applyBorder="1" applyAlignment="1">
      <alignment horizontal="center" vertical="center"/>
    </xf>
    <xf numFmtId="41" fontId="161" fillId="0" borderId="0" xfId="0" applyNumberFormat="1" applyFont="1"/>
    <xf numFmtId="0" fontId="159" fillId="0" borderId="0" xfId="0" applyFont="1" applyAlignment="1">
      <alignment horizontal="left" vertical="center"/>
    </xf>
    <xf numFmtId="41" fontId="159" fillId="0" borderId="0" xfId="1267" applyFont="1" applyAlignment="1">
      <alignment horizontal="center"/>
    </xf>
    <xf numFmtId="0" fontId="159" fillId="0" borderId="0" xfId="0" applyFont="1" applyAlignment="1">
      <alignment horizontal="center"/>
    </xf>
    <xf numFmtId="0" fontId="162" fillId="0" borderId="0" xfId="0" applyFont="1"/>
    <xf numFmtId="41" fontId="162" fillId="0" borderId="0" xfId="0" applyNumberFormat="1" applyFont="1"/>
    <xf numFmtId="0" fontId="163" fillId="0" borderId="97" xfId="0" applyFont="1" applyBorder="1" applyAlignment="1">
      <alignment horizontal="center" vertical="center"/>
    </xf>
    <xf numFmtId="41" fontId="163" fillId="0" borderId="64" xfId="1267" applyFont="1" applyBorder="1" applyAlignment="1">
      <alignment horizontal="center" vertical="center"/>
    </xf>
    <xf numFmtId="2" fontId="163" fillId="0" borderId="98" xfId="0" applyNumberFormat="1" applyFont="1" applyBorder="1" applyAlignment="1">
      <alignment horizontal="center" vertical="center"/>
    </xf>
    <xf numFmtId="41" fontId="163" fillId="0" borderId="97" xfId="1267" applyFont="1" applyBorder="1" applyAlignment="1">
      <alignment horizontal="center" vertical="center"/>
    </xf>
    <xf numFmtId="41" fontId="163" fillId="30" borderId="99" xfId="1267" applyFont="1" applyFill="1" applyBorder="1" applyAlignment="1">
      <alignment horizontal="center" vertical="center"/>
    </xf>
    <xf numFmtId="41" fontId="163" fillId="0" borderId="100" xfId="1267" applyFont="1" applyBorder="1" applyAlignment="1">
      <alignment horizontal="center" vertical="center"/>
    </xf>
    <xf numFmtId="41" fontId="163" fillId="29" borderId="98" xfId="1267" applyFont="1" applyFill="1" applyBorder="1" applyAlignment="1">
      <alignment horizontal="center" vertical="center"/>
    </xf>
    <xf numFmtId="41" fontId="163" fillId="0" borderId="101" xfId="1267" applyFont="1" applyBorder="1" applyAlignment="1">
      <alignment horizontal="center" vertical="center"/>
    </xf>
    <xf numFmtId="41" fontId="163" fillId="0" borderId="98" xfId="1267" applyFont="1" applyBorder="1" applyAlignment="1">
      <alignment horizontal="center" vertical="center"/>
    </xf>
    <xf numFmtId="41" fontId="163" fillId="0" borderId="102" xfId="1267" applyFont="1" applyBorder="1" applyAlignment="1">
      <alignment horizontal="center" vertical="center"/>
    </xf>
    <xf numFmtId="0" fontId="163" fillId="0" borderId="67" xfId="0" applyFont="1" applyBorder="1" applyAlignment="1">
      <alignment horizontal="center" vertical="center"/>
    </xf>
    <xf numFmtId="41" fontId="163" fillId="0" borderId="74" xfId="1267" applyFont="1" applyBorder="1" applyAlignment="1">
      <alignment horizontal="center" vertical="center"/>
    </xf>
    <xf numFmtId="2" fontId="163" fillId="0" borderId="71" xfId="0" applyNumberFormat="1" applyFont="1" applyBorder="1" applyAlignment="1">
      <alignment horizontal="center" vertical="center"/>
    </xf>
    <xf numFmtId="41" fontId="163" fillId="0" borderId="67" xfId="1267" applyFont="1" applyBorder="1" applyAlignment="1">
      <alignment horizontal="center" vertical="center"/>
    </xf>
    <xf numFmtId="41" fontId="163" fillId="30" borderId="68" xfId="1267" applyFont="1" applyFill="1" applyBorder="1" applyAlignment="1">
      <alignment horizontal="center" vertical="center"/>
    </xf>
    <xf numFmtId="41" fontId="163" fillId="0" borderId="72" xfId="1267" applyFont="1" applyBorder="1" applyAlignment="1">
      <alignment horizontal="center" vertical="center"/>
    </xf>
    <xf numFmtId="41" fontId="163" fillId="29" borderId="71" xfId="1267" applyFont="1" applyFill="1" applyBorder="1" applyAlignment="1">
      <alignment horizontal="center" vertical="center"/>
    </xf>
    <xf numFmtId="41" fontId="163" fillId="0" borderId="73" xfId="1267" applyFont="1" applyBorder="1" applyAlignment="1">
      <alignment horizontal="center" vertical="center"/>
    </xf>
    <xf numFmtId="41" fontId="163" fillId="0" borderId="71" xfId="1267" applyFont="1" applyBorder="1" applyAlignment="1">
      <alignment horizontal="center" vertical="center"/>
    </xf>
    <xf numFmtId="41" fontId="163" fillId="0" borderId="78" xfId="1267" applyFont="1" applyBorder="1" applyAlignment="1">
      <alignment horizontal="center" vertical="center"/>
    </xf>
    <xf numFmtId="0" fontId="163" fillId="0" borderId="122" xfId="0" applyFont="1" applyBorder="1" applyAlignment="1">
      <alignment horizontal="center" vertical="center"/>
    </xf>
    <xf numFmtId="41" fontId="163" fillId="0" borderId="5" xfId="1267" applyFont="1" applyBorder="1" applyAlignment="1">
      <alignment horizontal="center" vertical="center"/>
    </xf>
    <xf numFmtId="2" fontId="163" fillId="0" borderId="132" xfId="0" applyNumberFormat="1" applyFont="1" applyBorder="1" applyAlignment="1">
      <alignment horizontal="center" vertical="center"/>
    </xf>
    <xf numFmtId="41" fontId="163" fillId="0" borderId="122" xfId="1267" applyFont="1" applyBorder="1" applyAlignment="1">
      <alignment horizontal="center" vertical="center"/>
    </xf>
    <xf numFmtId="41" fontId="163" fillId="30" borderId="124" xfId="1267" applyFont="1" applyFill="1" applyBorder="1" applyAlignment="1">
      <alignment horizontal="center" vertical="center"/>
    </xf>
    <xf numFmtId="41" fontId="163" fillId="0" borderId="133" xfId="1267" applyFont="1" applyBorder="1" applyAlignment="1">
      <alignment horizontal="center" vertical="center"/>
    </xf>
    <xf numFmtId="41" fontId="163" fillId="29" borderId="132" xfId="1267" applyFont="1" applyFill="1" applyBorder="1" applyAlignment="1">
      <alignment horizontal="center" vertical="center"/>
    </xf>
    <xf numFmtId="41" fontId="163" fillId="0" borderId="123" xfId="1267" applyFont="1" applyBorder="1" applyAlignment="1">
      <alignment horizontal="center" vertical="center"/>
    </xf>
    <xf numFmtId="41" fontId="163" fillId="0" borderId="132" xfId="1267" applyFont="1" applyBorder="1" applyAlignment="1">
      <alignment horizontal="center" vertical="center"/>
    </xf>
    <xf numFmtId="41" fontId="163" fillId="0" borderId="125" xfId="1267" applyFont="1" applyBorder="1" applyAlignment="1">
      <alignment horizontal="center" vertical="center"/>
    </xf>
    <xf numFmtId="0" fontId="163" fillId="0" borderId="91" xfId="0" applyFont="1" applyBorder="1" applyAlignment="1">
      <alignment horizontal="center" vertical="center"/>
    </xf>
    <xf numFmtId="41" fontId="163" fillId="0" borderId="20" xfId="1267" applyFont="1" applyBorder="1" applyAlignment="1">
      <alignment horizontal="center" vertical="center"/>
    </xf>
    <xf numFmtId="2" fontId="163" fillId="0" borderId="92" xfId="0" applyNumberFormat="1" applyFont="1" applyBorder="1" applyAlignment="1">
      <alignment horizontal="center" vertical="center"/>
    </xf>
    <xf numFmtId="41" fontId="163" fillId="0" borderId="91" xfId="1267" applyFont="1" applyBorder="1" applyAlignment="1">
      <alignment horizontal="center" vertical="center"/>
    </xf>
    <xf numFmtId="41" fontId="163" fillId="30" borderId="93" xfId="1267" applyFont="1" applyFill="1" applyBorder="1" applyAlignment="1">
      <alignment horizontal="center" vertical="center"/>
    </xf>
    <xf numFmtId="41" fontId="163" fillId="0" borderId="94" xfId="1267" applyFont="1" applyBorder="1" applyAlignment="1">
      <alignment horizontal="center" vertical="center"/>
    </xf>
    <xf numFmtId="41" fontId="163" fillId="29" borderId="92" xfId="1267" applyFont="1" applyFill="1" applyBorder="1" applyAlignment="1">
      <alignment horizontal="center" vertical="center"/>
    </xf>
    <xf numFmtId="41" fontId="163" fillId="0" borderId="95" xfId="1267" applyFont="1" applyBorder="1" applyAlignment="1">
      <alignment horizontal="center" vertical="center"/>
    </xf>
    <xf numFmtId="41" fontId="163" fillId="0" borderId="92" xfId="1267" applyFont="1" applyBorder="1" applyAlignment="1">
      <alignment horizontal="center" vertical="center"/>
    </xf>
    <xf numFmtId="41" fontId="163" fillId="0" borderId="96" xfId="1267" applyFont="1" applyBorder="1" applyAlignment="1">
      <alignment horizontal="center" vertical="center"/>
    </xf>
    <xf numFmtId="0" fontId="163" fillId="0" borderId="0" xfId="0" applyFont="1"/>
    <xf numFmtId="0" fontId="48" fillId="0" borderId="0" xfId="0" applyFont="1"/>
    <xf numFmtId="0" fontId="163" fillId="0" borderId="0" xfId="0" applyFont="1" applyAlignment="1">
      <alignment horizontal="left" vertical="center"/>
    </xf>
    <xf numFmtId="0" fontId="161" fillId="0" borderId="0" xfId="0" applyFont="1" applyAlignment="1">
      <alignment horizontal="left"/>
    </xf>
    <xf numFmtId="0" fontId="165" fillId="0" borderId="81" xfId="0" applyFont="1" applyBorder="1"/>
    <xf numFmtId="0" fontId="162" fillId="0" borderId="28" xfId="0" applyFont="1" applyBorder="1"/>
    <xf numFmtId="0" fontId="162" fillId="0" borderId="82" xfId="0" applyFont="1" applyBorder="1"/>
    <xf numFmtId="0" fontId="161" fillId="0" borderId="84" xfId="0" applyFont="1" applyBorder="1" applyAlignment="1">
      <alignment horizontal="left"/>
    </xf>
    <xf numFmtId="0" fontId="161" fillId="0" borderId="29" xfId="0" applyFont="1" applyBorder="1"/>
    <xf numFmtId="0" fontId="164" fillId="0" borderId="84" xfId="0" applyFont="1" applyBorder="1"/>
    <xf numFmtId="0" fontId="161" fillId="0" borderId="83" xfId="0" applyFont="1" applyBorder="1" applyAlignment="1">
      <alignment horizontal="left"/>
    </xf>
    <xf numFmtId="0" fontId="161" fillId="0" borderId="7" xfId="0" applyFont="1" applyBorder="1"/>
    <xf numFmtId="0" fontId="161" fillId="0" borderId="76" xfId="0" applyFont="1" applyBorder="1"/>
    <xf numFmtId="0" fontId="120" fillId="28" borderId="147" xfId="0" applyFont="1" applyFill="1" applyBorder="1" applyAlignment="1">
      <alignment horizontal="center" vertical="center"/>
    </xf>
    <xf numFmtId="0" fontId="120" fillId="28" borderId="147" xfId="0" applyFont="1" applyFill="1" applyBorder="1" applyAlignment="1">
      <alignment horizontal="right" vertical="center"/>
    </xf>
    <xf numFmtId="0" fontId="118" fillId="28" borderId="147" xfId="0" applyFont="1" applyFill="1" applyBorder="1" applyAlignment="1">
      <alignment vertical="center"/>
    </xf>
    <xf numFmtId="0" fontId="120" fillId="0" borderId="149" xfId="0" applyFont="1" applyBorder="1" applyAlignment="1">
      <alignment vertical="center"/>
    </xf>
    <xf numFmtId="0" fontId="120" fillId="0" borderId="147" xfId="0" applyFont="1" applyBorder="1" applyAlignment="1">
      <alignment vertical="center"/>
    </xf>
    <xf numFmtId="0" fontId="120" fillId="28" borderId="151" xfId="0" applyFont="1" applyFill="1" applyBorder="1" applyAlignment="1">
      <alignment horizontal="right" vertical="center"/>
    </xf>
    <xf numFmtId="0" fontId="120" fillId="37" borderId="147" xfId="0" applyFont="1" applyFill="1" applyBorder="1" applyAlignment="1">
      <alignment horizontal="center" vertical="center"/>
    </xf>
    <xf numFmtId="0" fontId="120" fillId="37" borderId="147" xfId="0" applyFont="1" applyFill="1" applyBorder="1" applyAlignment="1">
      <alignment horizontal="right" vertical="center"/>
    </xf>
    <xf numFmtId="0" fontId="121" fillId="37" borderId="147" xfId="0" applyFont="1" applyFill="1" applyBorder="1" applyAlignment="1">
      <alignment vertical="center"/>
    </xf>
    <xf numFmtId="0" fontId="118" fillId="37" borderId="147" xfId="0" applyFont="1" applyFill="1" applyBorder="1" applyAlignment="1">
      <alignment vertical="center"/>
    </xf>
    <xf numFmtId="0" fontId="117" fillId="37" borderId="147" xfId="0" applyFont="1" applyFill="1" applyBorder="1" applyAlignment="1">
      <alignment horizontal="right" vertical="center"/>
    </xf>
    <xf numFmtId="0" fontId="117" fillId="0" borderId="147" xfId="0" applyFont="1" applyBorder="1" applyAlignment="1">
      <alignment horizontal="right" vertical="center"/>
    </xf>
    <xf numFmtId="0" fontId="120" fillId="37" borderId="151" xfId="0" applyFont="1" applyFill="1" applyBorder="1" applyAlignment="1">
      <alignment horizontal="right" vertical="center"/>
    </xf>
    <xf numFmtId="0" fontId="120" fillId="34" borderId="147" xfId="0" applyFont="1" applyFill="1" applyBorder="1" applyAlignment="1">
      <alignment horizontal="center" vertical="center"/>
    </xf>
    <xf numFmtId="0" fontId="120" fillId="34" borderId="147" xfId="0" applyFont="1" applyFill="1" applyBorder="1" applyAlignment="1">
      <alignment horizontal="right" vertical="center"/>
    </xf>
    <xf numFmtId="0" fontId="121" fillId="34" borderId="147" xfId="0" applyFont="1" applyFill="1" applyBorder="1" applyAlignment="1">
      <alignment vertical="center"/>
    </xf>
    <xf numFmtId="0" fontId="118" fillId="34" borderId="147" xfId="0" applyFont="1" applyFill="1" applyBorder="1" applyAlignment="1">
      <alignment vertical="center"/>
    </xf>
    <xf numFmtId="0" fontId="117" fillId="34" borderId="147" xfId="0" applyFont="1" applyFill="1" applyBorder="1" applyAlignment="1">
      <alignment horizontal="right" vertical="center"/>
    </xf>
    <xf numFmtId="0" fontId="120" fillId="34" borderId="151" xfId="0" applyFont="1" applyFill="1" applyBorder="1" applyAlignment="1">
      <alignment horizontal="right" vertical="center"/>
    </xf>
    <xf numFmtId="0" fontId="139" fillId="36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29" fillId="0" borderId="0" xfId="0" applyFont="1" applyAlignment="1">
      <alignment horizontal="center" vertical="center"/>
    </xf>
    <xf numFmtId="0" fontId="0" fillId="0" borderId="0" xfId="0"/>
    <xf numFmtId="179" fontId="128" fillId="0" borderId="0" xfId="0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177" fontId="103" fillId="0" borderId="31" xfId="0" applyNumberFormat="1" applyFont="1" applyBorder="1" applyAlignment="1">
      <alignment horizontal="right" vertical="center" shrinkToFit="1"/>
    </xf>
    <xf numFmtId="0" fontId="0" fillId="0" borderId="34" xfId="0" applyBorder="1"/>
    <xf numFmtId="0" fontId="0" fillId="0" borderId="33" xfId="0" applyBorder="1"/>
    <xf numFmtId="0" fontId="103" fillId="32" borderId="40" xfId="0" applyFont="1" applyFill="1" applyBorder="1" applyAlignment="1">
      <alignment horizontal="left" vertical="center" wrapText="1"/>
    </xf>
    <xf numFmtId="0" fontId="0" fillId="0" borderId="30" xfId="0" applyBorder="1"/>
    <xf numFmtId="0" fontId="0" fillId="0" borderId="40" xfId="0" applyBorder="1"/>
    <xf numFmtId="0" fontId="104" fillId="0" borderId="136" xfId="0" applyFont="1" applyBorder="1" applyAlignment="1">
      <alignment horizontal="center" vertical="center"/>
    </xf>
    <xf numFmtId="0" fontId="0" fillId="0" borderId="136" xfId="0" applyBorder="1"/>
    <xf numFmtId="177" fontId="123" fillId="0" borderId="31" xfId="1267" applyNumberFormat="1" applyFont="1" applyBorder="1" applyAlignment="1">
      <alignment horizontal="center" vertical="center" shrinkToFit="1"/>
    </xf>
    <xf numFmtId="0" fontId="105" fillId="0" borderId="156" xfId="0" applyFont="1" applyBorder="1" applyAlignment="1">
      <alignment horizontal="left" vertical="center" indent="2"/>
    </xf>
    <xf numFmtId="0" fontId="0" fillId="0" borderId="138" xfId="0" applyBorder="1"/>
    <xf numFmtId="0" fontId="0" fillId="0" borderId="139" xfId="0" applyBorder="1"/>
    <xf numFmtId="0" fontId="105" fillId="0" borderId="136" xfId="0" applyFont="1" applyBorder="1" applyAlignment="1">
      <alignment horizontal="center" vertical="center"/>
    </xf>
    <xf numFmtId="0" fontId="93" fillId="0" borderId="56" xfId="0" applyFont="1" applyBorder="1" applyAlignment="1">
      <alignment horizontal="center" vertical="center"/>
    </xf>
    <xf numFmtId="0" fontId="94" fillId="0" borderId="0" xfId="0" applyFont="1" applyAlignment="1">
      <alignment vertical="center"/>
    </xf>
    <xf numFmtId="0" fontId="104" fillId="32" borderId="14" xfId="0" applyFont="1" applyFill="1" applyBorder="1" applyAlignment="1">
      <alignment horizontal="center" vertical="center"/>
    </xf>
    <xf numFmtId="0" fontId="0" fillId="0" borderId="141" xfId="0" applyBorder="1"/>
    <xf numFmtId="0" fontId="105" fillId="0" borderId="156" xfId="0" applyFont="1" applyBorder="1" applyAlignment="1">
      <alignment horizontal="center" vertical="center" shrinkToFit="1"/>
    </xf>
    <xf numFmtId="0" fontId="111" fillId="30" borderId="48" xfId="0" applyFont="1" applyFill="1" applyBorder="1" applyAlignment="1">
      <alignment horizontal="left" vertical="center"/>
    </xf>
    <xf numFmtId="0" fontId="0" fillId="0" borderId="50" xfId="0" applyBorder="1"/>
    <xf numFmtId="0" fontId="0" fillId="0" borderId="47" xfId="0" applyBorder="1"/>
    <xf numFmtId="0" fontId="103" fillId="0" borderId="31" xfId="0" applyFont="1" applyBorder="1" applyAlignment="1">
      <alignment horizontal="center" vertical="center"/>
    </xf>
    <xf numFmtId="178" fontId="125" fillId="31" borderId="34" xfId="0" applyNumberFormat="1" applyFont="1" applyFill="1" applyBorder="1" applyAlignment="1">
      <alignment horizontal="center" vertical="center" shrinkToFit="1"/>
    </xf>
    <xf numFmtId="0" fontId="108" fillId="0" borderId="0" xfId="0" applyFont="1" applyAlignment="1">
      <alignment horizontal="center" vertical="center"/>
    </xf>
    <xf numFmtId="0" fontId="97" fillId="0" borderId="0" xfId="0" applyFont="1" applyAlignment="1">
      <alignment horizontal="right"/>
    </xf>
    <xf numFmtId="0" fontId="103" fillId="0" borderId="41" xfId="0" applyFont="1" applyBorder="1" applyAlignment="1">
      <alignment horizontal="center" vertical="center"/>
    </xf>
    <xf numFmtId="0" fontId="104" fillId="0" borderId="31" xfId="0" applyFont="1" applyBorder="1" applyAlignment="1">
      <alignment horizontal="center" vertical="center"/>
    </xf>
    <xf numFmtId="177" fontId="112" fillId="31" borderId="31" xfId="0" applyNumberFormat="1" applyFont="1" applyFill="1" applyBorder="1" applyAlignment="1">
      <alignment horizontal="right" vertical="center" shrinkToFit="1"/>
    </xf>
    <xf numFmtId="0" fontId="103" fillId="0" borderId="29" xfId="0" applyFont="1" applyBorder="1" applyAlignment="1">
      <alignment horizontal="center" vertical="center"/>
    </xf>
    <xf numFmtId="0" fontId="0" fillId="0" borderId="29" xfId="0" applyBorder="1"/>
    <xf numFmtId="0" fontId="95" fillId="0" borderId="152" xfId="0" applyFont="1" applyBorder="1" applyAlignment="1">
      <alignment horizontal="center" vertical="center" wrapText="1"/>
    </xf>
    <xf numFmtId="0" fontId="0" fillId="0" borderId="57" xfId="0" applyBorder="1"/>
    <xf numFmtId="0" fontId="103" fillId="0" borderId="40" xfId="0" applyFont="1" applyBorder="1" applyAlignment="1">
      <alignment vertical="center" shrinkToFit="1"/>
    </xf>
    <xf numFmtId="0" fontId="105" fillId="0" borderId="14" xfId="0" applyFont="1" applyBorder="1" applyAlignment="1">
      <alignment horizontal="center" vertical="center"/>
    </xf>
    <xf numFmtId="177" fontId="125" fillId="31" borderId="34" xfId="0" applyNumberFormat="1" applyFont="1" applyFill="1" applyBorder="1" applyAlignment="1">
      <alignment horizontal="center" vertical="center" shrinkToFit="1"/>
    </xf>
    <xf numFmtId="41" fontId="113" fillId="0" borderId="135" xfId="1267" applyFont="1" applyBorder="1" applyAlignment="1">
      <alignment horizontal="center" vertical="center" shrinkToFit="1"/>
    </xf>
    <xf numFmtId="0" fontId="0" fillId="0" borderId="135" xfId="0" applyBorder="1"/>
    <xf numFmtId="177" fontId="113" fillId="0" borderId="135" xfId="0" applyNumberFormat="1" applyFont="1" applyBorder="1" applyAlignment="1">
      <alignment horizontal="center" vertical="center" shrinkToFit="1"/>
    </xf>
    <xf numFmtId="0" fontId="104" fillId="32" borderId="154" xfId="0" applyFont="1" applyFill="1" applyBorder="1" applyAlignment="1">
      <alignment horizontal="center" vertical="center"/>
    </xf>
    <xf numFmtId="0" fontId="0" fillId="0" borderId="64" xfId="0" applyBorder="1"/>
    <xf numFmtId="0" fontId="0" fillId="0" borderId="142" xfId="0" applyBorder="1"/>
    <xf numFmtId="177" fontId="103" fillId="0" borderId="31" xfId="0" applyNumberFormat="1" applyFont="1" applyBorder="1" applyAlignment="1">
      <alignment horizontal="center" vertical="center"/>
    </xf>
    <xf numFmtId="179" fontId="103" fillId="0" borderId="29" xfId="0" applyNumberFormat="1" applyFont="1" applyBorder="1" applyAlignment="1">
      <alignment horizontal="left" vertical="center"/>
    </xf>
    <xf numFmtId="0" fontId="104" fillId="32" borderId="157" xfId="0" applyFont="1" applyFill="1" applyBorder="1" applyAlignment="1">
      <alignment horizontal="center" vertical="center"/>
    </xf>
    <xf numFmtId="0" fontId="0" fillId="0" borderId="74" xfId="0" applyBorder="1"/>
    <xf numFmtId="0" fontId="0" fillId="0" borderId="140" xfId="0" applyBorder="1"/>
    <xf numFmtId="177" fontId="111" fillId="32" borderId="31" xfId="0" applyNumberFormat="1" applyFont="1" applyFill="1" applyBorder="1" applyAlignment="1">
      <alignment horizontal="right" vertical="center"/>
    </xf>
    <xf numFmtId="0" fontId="116" fillId="0" borderId="29" xfId="0" applyFont="1" applyBorder="1" applyAlignment="1">
      <alignment vertical="center"/>
    </xf>
    <xf numFmtId="0" fontId="105" fillId="0" borderId="157" xfId="0" applyFont="1" applyBorder="1" applyAlignment="1">
      <alignment horizontal="center" vertical="center"/>
    </xf>
    <xf numFmtId="0" fontId="103" fillId="0" borderId="41" xfId="0" applyFont="1" applyBorder="1" applyAlignment="1">
      <alignment horizontal="center" vertical="center" wrapText="1"/>
    </xf>
    <xf numFmtId="177" fontId="123" fillId="0" borderId="31" xfId="0" applyNumberFormat="1" applyFont="1" applyBorder="1" applyAlignment="1">
      <alignment horizontal="center" vertical="center" wrapText="1" shrinkToFit="1"/>
    </xf>
    <xf numFmtId="0" fontId="0" fillId="0" borderId="45" xfId="0" applyBorder="1"/>
    <xf numFmtId="0" fontId="0" fillId="0" borderId="46" xfId="0" applyBorder="1"/>
    <xf numFmtId="0" fontId="0" fillId="0" borderId="51" xfId="0" applyBorder="1"/>
    <xf numFmtId="0" fontId="0" fillId="0" borderId="61" xfId="0" applyBorder="1"/>
    <xf numFmtId="0" fontId="0" fillId="0" borderId="52" xfId="0" applyBorder="1"/>
    <xf numFmtId="0" fontId="113" fillId="0" borderId="135" xfId="0" applyFont="1" applyBorder="1" applyAlignment="1">
      <alignment horizontal="center" vertical="center"/>
    </xf>
    <xf numFmtId="0" fontId="112" fillId="31" borderId="31" xfId="0" applyFont="1" applyFill="1" applyBorder="1" applyAlignment="1">
      <alignment horizontal="center" vertical="center"/>
    </xf>
    <xf numFmtId="0" fontId="124" fillId="31" borderId="31" xfId="0" applyFont="1" applyFill="1" applyBorder="1" applyAlignment="1">
      <alignment horizontal="center" vertical="center" wrapText="1"/>
    </xf>
    <xf numFmtId="31" fontId="103" fillId="0" borderId="40" xfId="0" applyNumberFormat="1" applyFont="1" applyBorder="1" applyAlignment="1">
      <alignment horizontal="left" vertical="center" wrapText="1"/>
    </xf>
    <xf numFmtId="31" fontId="111" fillId="0" borderId="29" xfId="0" applyNumberFormat="1" applyFont="1" applyBorder="1" applyAlignment="1">
      <alignment horizontal="left" vertical="center"/>
    </xf>
    <xf numFmtId="177" fontId="111" fillId="32" borderId="31" xfId="0" applyNumberFormat="1" applyFont="1" applyFill="1" applyBorder="1" applyAlignment="1">
      <alignment horizontal="right" vertical="center" shrinkToFit="1"/>
    </xf>
    <xf numFmtId="0" fontId="103" fillId="32" borderId="47" xfId="0" applyFont="1" applyFill="1" applyBorder="1" applyAlignment="1">
      <alignment horizontal="left" vertical="center" wrapText="1"/>
    </xf>
    <xf numFmtId="0" fontId="111" fillId="32" borderId="31" xfId="0" applyFont="1" applyFill="1" applyBorder="1" applyAlignment="1">
      <alignment horizontal="center" vertical="center"/>
    </xf>
    <xf numFmtId="0" fontId="111" fillId="32" borderId="33" xfId="0" applyFont="1" applyFill="1" applyBorder="1" applyAlignment="1">
      <alignment horizontal="center" vertical="center"/>
    </xf>
    <xf numFmtId="0" fontId="104" fillId="32" borderId="153" xfId="0" applyFont="1" applyFill="1" applyBorder="1" applyAlignment="1">
      <alignment horizontal="center" vertical="center" wrapText="1"/>
    </xf>
    <xf numFmtId="0" fontId="0" fillId="0" borderId="143" xfId="0" applyBorder="1"/>
    <xf numFmtId="0" fontId="0" fillId="0" borderId="144" xfId="0" applyBorder="1"/>
    <xf numFmtId="0" fontId="110" fillId="0" borderId="155" xfId="0" applyFont="1" applyBorder="1" applyAlignment="1">
      <alignment horizontal="center" vertical="center"/>
    </xf>
    <xf numFmtId="0" fontId="0" fillId="0" borderId="65" xfId="0" applyBorder="1"/>
    <xf numFmtId="0" fontId="105" fillId="0" borderId="158" xfId="0" applyFont="1" applyBorder="1" applyAlignment="1">
      <alignment horizontal="center" vertical="center"/>
    </xf>
    <xf numFmtId="0" fontId="0" fillId="0" borderId="137" xfId="0" applyBorder="1"/>
    <xf numFmtId="0" fontId="105" fillId="0" borderId="156" xfId="0" applyFont="1" applyBorder="1" applyAlignment="1">
      <alignment horizontal="center" vertical="center"/>
    </xf>
    <xf numFmtId="181" fontId="111" fillId="29" borderId="42" xfId="1267" applyNumberFormat="1" applyFont="1" applyFill="1" applyBorder="1" applyAlignment="1">
      <alignment horizontal="center" vertical="center" shrinkToFit="1"/>
    </xf>
    <xf numFmtId="0" fontId="125" fillId="31" borderId="32" xfId="0" applyFont="1" applyFill="1" applyBorder="1" applyAlignment="1">
      <alignment horizontal="center" vertical="center"/>
    </xf>
    <xf numFmtId="31" fontId="107" fillId="0" borderId="0" xfId="0" applyNumberFormat="1" applyFont="1" applyAlignment="1">
      <alignment horizontal="center" vertical="center"/>
    </xf>
    <xf numFmtId="0" fontId="116" fillId="0" borderId="40" xfId="0" applyFont="1" applyBorder="1" applyAlignment="1">
      <alignment horizontal="left" vertical="center" shrinkToFit="1"/>
    </xf>
    <xf numFmtId="0" fontId="121" fillId="0" borderId="32" xfId="0" applyFont="1" applyBorder="1" applyAlignment="1">
      <alignment horizontal="center" vertical="center"/>
    </xf>
    <xf numFmtId="0" fontId="117" fillId="32" borderId="31" xfId="0" applyFont="1" applyFill="1" applyBorder="1" applyAlignment="1">
      <alignment horizontal="center" vertical="center"/>
    </xf>
    <xf numFmtId="41" fontId="121" fillId="0" borderId="159" xfId="1267" applyFont="1" applyBorder="1" applyAlignment="1">
      <alignment horizontal="center" vertical="center"/>
    </xf>
    <xf numFmtId="0" fontId="0" fillId="0" borderId="149" xfId="0" applyBorder="1"/>
    <xf numFmtId="0" fontId="118" fillId="0" borderId="167" xfId="0" applyFont="1" applyBorder="1" applyAlignment="1">
      <alignment horizontal="left" vertical="center" indent="1"/>
    </xf>
    <xf numFmtId="0" fontId="0" fillId="0" borderId="111" xfId="0" applyBorder="1"/>
    <xf numFmtId="0" fontId="0" fillId="0" borderId="112" xfId="0" applyBorder="1"/>
    <xf numFmtId="177" fontId="120" fillId="0" borderId="159" xfId="0" applyNumberFormat="1" applyFont="1" applyBorder="1" applyAlignment="1">
      <alignment horizontal="center" vertical="center"/>
    </xf>
    <xf numFmtId="177" fontId="121" fillId="0" borderId="159" xfId="0" applyNumberFormat="1" applyFont="1" applyBorder="1" applyAlignment="1">
      <alignment horizontal="center" vertical="center" wrapText="1"/>
    </xf>
    <xf numFmtId="0" fontId="131" fillId="28" borderId="146" xfId="0" applyFont="1" applyFill="1" applyBorder="1" applyAlignment="1">
      <alignment horizontal="left" vertical="center"/>
    </xf>
    <xf numFmtId="0" fontId="0" fillId="0" borderId="103" xfId="0" applyBorder="1"/>
    <xf numFmtId="0" fontId="0" fillId="0" borderId="36" xfId="0" applyBorder="1"/>
    <xf numFmtId="0" fontId="117" fillId="0" borderId="165" xfId="0" applyFont="1" applyBorder="1" applyAlignment="1">
      <alignment horizontal="center" vertical="center"/>
    </xf>
    <xf numFmtId="0" fontId="0" fillId="0" borderId="106" xfId="0" applyBorder="1"/>
    <xf numFmtId="0" fontId="117" fillId="32" borderId="163" xfId="0" applyFont="1" applyFill="1" applyBorder="1" applyAlignment="1">
      <alignment horizontal="center" vertical="center"/>
    </xf>
    <xf numFmtId="0" fontId="121" fillId="0" borderId="31" xfId="0" applyFont="1" applyBorder="1" applyAlignment="1">
      <alignment horizontal="center" vertical="center"/>
    </xf>
    <xf numFmtId="180" fontId="118" fillId="0" borderId="31" xfId="0" applyNumberFormat="1" applyFont="1" applyBorder="1" applyAlignment="1">
      <alignment horizontal="center" vertical="center" wrapText="1"/>
    </xf>
    <xf numFmtId="0" fontId="132" fillId="28" borderId="161" xfId="0" applyFont="1" applyFill="1" applyBorder="1" applyAlignment="1">
      <alignment vertical="center"/>
    </xf>
    <xf numFmtId="0" fontId="0" fillId="0" borderId="54" xfId="0" applyBorder="1"/>
    <xf numFmtId="0" fontId="0" fillId="0" borderId="55" xfId="0" applyBorder="1"/>
    <xf numFmtId="0" fontId="120" fillId="28" borderId="35" xfId="0" applyFont="1" applyFill="1" applyBorder="1" applyAlignment="1">
      <alignment horizontal="center" vertical="center" wrapText="1"/>
    </xf>
    <xf numFmtId="180" fontId="118" fillId="0" borderId="32" xfId="0" applyNumberFormat="1" applyFont="1" applyBorder="1" applyAlignment="1">
      <alignment horizontal="center" vertical="center" wrapText="1"/>
    </xf>
    <xf numFmtId="0" fontId="118" fillId="0" borderId="166" xfId="0" applyFont="1" applyBorder="1" applyAlignment="1">
      <alignment horizontal="left" vertical="center" wrapText="1" indent="1"/>
    </xf>
    <xf numFmtId="0" fontId="0" fillId="0" borderId="44" xfId="0" applyBorder="1"/>
    <xf numFmtId="0" fontId="92" fillId="0" borderId="0" xfId="0" applyFont="1"/>
    <xf numFmtId="0" fontId="0" fillId="0" borderId="43" xfId="0" applyBorder="1"/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4" xfId="0" applyBorder="1"/>
    <xf numFmtId="0" fontId="118" fillId="0" borderId="105" xfId="0" applyFont="1" applyBorder="1" applyAlignment="1">
      <alignment horizontal="left" vertical="center" indent="1"/>
    </xf>
    <xf numFmtId="0" fontId="118" fillId="28" borderId="168" xfId="0" applyFont="1" applyFill="1" applyBorder="1" applyAlignment="1">
      <alignment horizontal="right" vertical="center" indent="1"/>
    </xf>
    <xf numFmtId="0" fontId="119" fillId="0" borderId="0" xfId="0" applyFont="1" applyAlignment="1">
      <alignment horizontal="center" vertical="center"/>
    </xf>
    <xf numFmtId="177" fontId="121" fillId="0" borderId="159" xfId="0" applyNumberFormat="1" applyFont="1" applyBorder="1" applyAlignment="1">
      <alignment horizontal="center" vertical="center"/>
    </xf>
    <xf numFmtId="0" fontId="92" fillId="0" borderId="54" xfId="0" applyFont="1" applyBorder="1" applyAlignment="1">
      <alignment horizontal="center"/>
    </xf>
    <xf numFmtId="0" fontId="117" fillId="0" borderId="160" xfId="0" applyFont="1" applyBorder="1" applyAlignment="1">
      <alignment horizontal="center" vertical="center"/>
    </xf>
    <xf numFmtId="0" fontId="0" fillId="0" borderId="116" xfId="0" applyBorder="1"/>
    <xf numFmtId="0" fontId="117" fillId="0" borderId="164" xfId="0" applyFont="1" applyBorder="1" applyAlignment="1">
      <alignment horizontal="center" vertical="center"/>
    </xf>
    <xf numFmtId="0" fontId="0" fillId="0" borderId="115" xfId="0" applyBorder="1"/>
    <xf numFmtId="177" fontId="120" fillId="28" borderId="162" xfId="0" applyNumberFormat="1" applyFont="1" applyFill="1" applyBorder="1" applyAlignment="1">
      <alignment horizontal="center" vertical="center"/>
    </xf>
    <xf numFmtId="0" fontId="0" fillId="0" borderId="150" xfId="0" applyBorder="1"/>
    <xf numFmtId="0" fontId="118" fillId="0" borderId="118" xfId="0" applyFont="1" applyBorder="1" applyAlignment="1">
      <alignment horizontal="left" vertical="center" indent="1"/>
    </xf>
    <xf numFmtId="0" fontId="0" fillId="0" borderId="117" xfId="0" applyBorder="1"/>
    <xf numFmtId="177" fontId="120" fillId="28" borderId="145" xfId="0" applyNumberFormat="1" applyFont="1" applyFill="1" applyBorder="1" applyAlignment="1">
      <alignment horizontal="center" vertical="center"/>
    </xf>
    <xf numFmtId="0" fontId="0" fillId="0" borderId="148" xfId="0" applyBorder="1"/>
    <xf numFmtId="0" fontId="120" fillId="0" borderId="159" xfId="0" applyFont="1" applyBorder="1" applyAlignment="1">
      <alignment horizontal="center" vertical="center"/>
    </xf>
    <xf numFmtId="0" fontId="118" fillId="0" borderId="104" xfId="0" applyFont="1" applyBorder="1" applyAlignment="1">
      <alignment horizontal="left" vertical="center" indent="1"/>
    </xf>
    <xf numFmtId="0" fontId="0" fillId="0" borderId="110" xfId="0" applyBorder="1"/>
    <xf numFmtId="0" fontId="131" fillId="37" borderId="146" xfId="0" applyFont="1" applyFill="1" applyBorder="1" applyAlignment="1">
      <alignment horizontal="left" vertical="center"/>
    </xf>
    <xf numFmtId="180" fontId="118" fillId="0" borderId="31" xfId="0" applyNumberFormat="1" applyFont="1" applyBorder="1" applyAlignment="1">
      <alignment horizontal="center" vertical="center"/>
    </xf>
    <xf numFmtId="0" fontId="132" fillId="37" borderId="161" xfId="0" applyFont="1" applyFill="1" applyBorder="1" applyAlignment="1">
      <alignment vertical="center"/>
    </xf>
    <xf numFmtId="0" fontId="120" fillId="37" borderId="35" xfId="0" applyFont="1" applyFill="1" applyBorder="1" applyAlignment="1">
      <alignment horizontal="center" vertical="center" wrapText="1"/>
    </xf>
    <xf numFmtId="180" fontId="121" fillId="0" borderId="32" xfId="0" applyNumberFormat="1" applyFont="1" applyBorder="1" applyAlignment="1">
      <alignment horizontal="center" vertical="center"/>
    </xf>
    <xf numFmtId="0" fontId="118" fillId="37" borderId="168" xfId="0" applyFont="1" applyFill="1" applyBorder="1" applyAlignment="1">
      <alignment horizontal="right" vertical="center" indent="1"/>
    </xf>
    <xf numFmtId="177" fontId="120" fillId="37" borderId="162" xfId="0" applyNumberFormat="1" applyFont="1" applyFill="1" applyBorder="1" applyAlignment="1">
      <alignment horizontal="center" vertical="center"/>
    </xf>
    <xf numFmtId="177" fontId="120" fillId="37" borderId="145" xfId="0" applyNumberFormat="1" applyFont="1" applyFill="1" applyBorder="1" applyAlignment="1">
      <alignment horizontal="center" vertical="center"/>
    </xf>
    <xf numFmtId="0" fontId="121" fillId="29" borderId="159" xfId="0" applyFont="1" applyFill="1" applyBorder="1" applyAlignment="1">
      <alignment horizontal="center" vertical="center"/>
    </xf>
    <xf numFmtId="0" fontId="133" fillId="0" borderId="104" xfId="0" applyFont="1" applyBorder="1" applyAlignment="1">
      <alignment horizontal="center" vertical="center" wrapText="1"/>
    </xf>
    <xf numFmtId="0" fontId="133" fillId="0" borderId="165" xfId="0" applyFont="1" applyBorder="1" applyAlignment="1">
      <alignment horizontal="center" vertical="center"/>
    </xf>
    <xf numFmtId="0" fontId="131" fillId="34" borderId="146" xfId="0" applyFont="1" applyFill="1" applyBorder="1" applyAlignment="1">
      <alignment horizontal="left" vertical="center"/>
    </xf>
    <xf numFmtId="0" fontId="132" fillId="34" borderId="161" xfId="0" applyFont="1" applyFill="1" applyBorder="1" applyAlignment="1">
      <alignment vertical="center"/>
    </xf>
    <xf numFmtId="0" fontId="133" fillId="0" borderId="160" xfId="0" applyFont="1" applyBorder="1" applyAlignment="1">
      <alignment horizontal="center" vertical="center"/>
    </xf>
    <xf numFmtId="0" fontId="133" fillId="0" borderId="118" xfId="0" applyFont="1" applyBorder="1" applyAlignment="1">
      <alignment horizontal="center" vertical="center" wrapText="1"/>
    </xf>
    <xf numFmtId="0" fontId="118" fillId="34" borderId="168" xfId="0" applyFont="1" applyFill="1" applyBorder="1" applyAlignment="1">
      <alignment horizontal="right" vertical="center" indent="1"/>
    </xf>
    <xf numFmtId="0" fontId="142" fillId="32" borderId="163" xfId="0" applyFont="1" applyFill="1" applyBorder="1" applyAlignment="1">
      <alignment horizontal="center" vertical="center"/>
    </xf>
    <xf numFmtId="0" fontId="133" fillId="0" borderId="105" xfId="0" applyFont="1" applyBorder="1" applyAlignment="1">
      <alignment horizontal="center" vertical="center" wrapText="1"/>
    </xf>
    <xf numFmtId="0" fontId="142" fillId="32" borderId="31" xfId="0" applyFont="1" applyFill="1" applyBorder="1" applyAlignment="1">
      <alignment horizontal="center" vertical="center"/>
    </xf>
    <xf numFmtId="177" fontId="120" fillId="34" borderId="162" xfId="0" applyNumberFormat="1" applyFont="1" applyFill="1" applyBorder="1" applyAlignment="1">
      <alignment horizontal="center" vertical="center"/>
    </xf>
    <xf numFmtId="177" fontId="120" fillId="34" borderId="145" xfId="0" applyNumberFormat="1" applyFont="1" applyFill="1" applyBorder="1" applyAlignment="1">
      <alignment horizontal="center" vertical="center"/>
    </xf>
    <xf numFmtId="0" fontId="133" fillId="0" borderId="169" xfId="0" applyFont="1" applyBorder="1" applyAlignment="1">
      <alignment horizontal="center" vertical="center"/>
    </xf>
    <xf numFmtId="0" fontId="120" fillId="0" borderId="77" xfId="0" applyFont="1" applyBorder="1" applyAlignment="1">
      <alignment horizontal="center" vertical="center"/>
    </xf>
    <xf numFmtId="0" fontId="0" fillId="0" borderId="28" xfId="0" applyBorder="1"/>
    <xf numFmtId="0" fontId="0" fillId="0" borderId="82" xfId="0" applyBorder="1"/>
    <xf numFmtId="0" fontId="117" fillId="0" borderId="170" xfId="0" applyFont="1" applyBorder="1" applyAlignment="1">
      <alignment horizontal="center" vertical="center" wrapText="1"/>
    </xf>
    <xf numFmtId="0" fontId="117" fillId="0" borderId="0" xfId="0" applyFont="1"/>
    <xf numFmtId="0" fontId="0" fillId="0" borderId="83" xfId="0" applyBorder="1"/>
    <xf numFmtId="0" fontId="0" fillId="0" borderId="7" xfId="0" applyBorder="1"/>
    <xf numFmtId="0" fontId="0" fillId="0" borderId="76" xfId="0" applyBorder="1"/>
    <xf numFmtId="0" fontId="120" fillId="0" borderId="77" xfId="0" applyFont="1" applyBorder="1" applyAlignment="1">
      <alignment horizontal="center" vertical="center" wrapText="1"/>
    </xf>
    <xf numFmtId="0" fontId="0" fillId="0" borderId="84" xfId="0" applyBorder="1"/>
    <xf numFmtId="0" fontId="136" fillId="34" borderId="125" xfId="0" applyFont="1" applyFill="1" applyBorder="1" applyAlignment="1">
      <alignment horizontal="center" vertical="center"/>
    </xf>
    <xf numFmtId="0" fontId="137" fillId="0" borderId="170" xfId="0" applyFont="1" applyBorder="1" applyAlignment="1">
      <alignment horizontal="center" vertical="center"/>
    </xf>
    <xf numFmtId="0" fontId="117" fillId="0" borderId="119" xfId="0" applyFont="1" applyBorder="1" applyAlignment="1">
      <alignment horizontal="center" vertical="center"/>
    </xf>
    <xf numFmtId="0" fontId="0" fillId="0" borderId="113" xfId="0" applyBorder="1"/>
    <xf numFmtId="0" fontId="0" fillId="0" borderId="79" xfId="0" applyBorder="1"/>
    <xf numFmtId="0" fontId="119" fillId="0" borderId="161" xfId="0" applyFont="1" applyBorder="1" applyAlignment="1">
      <alignment horizontal="center" vertical="center"/>
    </xf>
    <xf numFmtId="0" fontId="117" fillId="0" borderId="90" xfId="0" applyFont="1" applyBorder="1" applyAlignment="1">
      <alignment horizontal="center" vertical="center" wrapText="1"/>
    </xf>
    <xf numFmtId="0" fontId="120" fillId="0" borderId="125" xfId="0" applyFont="1" applyBorder="1" applyAlignment="1">
      <alignment horizontal="center" vertical="center"/>
    </xf>
    <xf numFmtId="41" fontId="136" fillId="0" borderId="125" xfId="1267" applyFont="1" applyBorder="1" applyAlignment="1">
      <alignment horizontal="center" vertical="center" wrapText="1"/>
    </xf>
    <xf numFmtId="0" fontId="146" fillId="35" borderId="2" xfId="0" applyFont="1" applyFill="1" applyBorder="1" applyAlignment="1">
      <alignment horizontal="center" vertical="center"/>
    </xf>
    <xf numFmtId="0" fontId="0" fillId="0" borderId="121" xfId="0" applyBorder="1"/>
    <xf numFmtId="0" fontId="0" fillId="0" borderId="17" xfId="0" applyBorder="1"/>
    <xf numFmtId="0" fontId="145" fillId="0" borderId="121" xfId="0" applyFont="1" applyBorder="1" applyAlignment="1">
      <alignment horizontal="center" vertical="center"/>
    </xf>
    <xf numFmtId="0" fontId="0" fillId="0" borderId="127" xfId="0" applyBorder="1"/>
    <xf numFmtId="0" fontId="145" fillId="0" borderId="2" xfId="0" applyFont="1" applyBorder="1" applyAlignment="1">
      <alignment horizontal="center" vertical="center"/>
    </xf>
    <xf numFmtId="0" fontId="151" fillId="0" borderId="0" xfId="0" applyFont="1" applyAlignment="1">
      <alignment horizontal="center" vertical="center"/>
    </xf>
    <xf numFmtId="41" fontId="151" fillId="0" borderId="0" xfId="1267" applyFont="1" applyAlignment="1">
      <alignment horizontal="center" vertical="center"/>
    </xf>
    <xf numFmtId="0" fontId="160" fillId="35" borderId="70" xfId="0" applyFont="1" applyFill="1" applyBorder="1" applyAlignment="1">
      <alignment horizontal="center" vertical="center"/>
    </xf>
    <xf numFmtId="0" fontId="0" fillId="0" borderId="70" xfId="0" applyBorder="1"/>
    <xf numFmtId="0" fontId="160" fillId="35" borderId="66" xfId="0" applyFont="1" applyFill="1" applyBorder="1" applyAlignment="1">
      <alignment horizontal="center" vertical="center"/>
    </xf>
    <xf numFmtId="0" fontId="0" fillId="0" borderId="171" xfId="0" applyBorder="1"/>
    <xf numFmtId="0" fontId="160" fillId="35" borderId="75" xfId="1267" applyNumberFormat="1" applyFont="1" applyFill="1" applyBorder="1" applyAlignment="1">
      <alignment horizontal="center" vertical="center"/>
    </xf>
    <xf numFmtId="0" fontId="0" fillId="0" borderId="12" xfId="0" applyBorder="1"/>
    <xf numFmtId="0" fontId="160" fillId="35" borderId="69" xfId="0" applyFont="1" applyFill="1" applyBorder="1" applyAlignment="1">
      <alignment horizontal="center" vertical="center"/>
    </xf>
    <xf numFmtId="0" fontId="0" fillId="0" borderId="172" xfId="0" applyBorder="1"/>
    <xf numFmtId="0" fontId="160" fillId="35" borderId="77" xfId="1267" applyNumberFormat="1" applyFont="1" applyFill="1" applyBorder="1" applyAlignment="1">
      <alignment horizontal="center" vertical="center" wrapText="1"/>
    </xf>
    <xf numFmtId="0" fontId="0" fillId="0" borderId="90" xfId="0" applyBorder="1"/>
    <xf numFmtId="0" fontId="160" fillId="35" borderId="66" xfId="1267" applyNumberFormat="1" applyFont="1" applyFill="1" applyBorder="1" applyAlignment="1">
      <alignment horizontal="center" vertical="center"/>
    </xf>
    <xf numFmtId="0" fontId="144" fillId="0" borderId="0" xfId="0" applyFont="1" applyAlignment="1">
      <alignment horizontal="right" vertical="center"/>
    </xf>
    <xf numFmtId="0" fontId="0" fillId="0" borderId="0" xfId="0" applyAlignment="1">
      <alignment horizontal="left"/>
    </xf>
  </cellXfs>
  <cellStyles count="2468">
    <cellStyle name="          _x000d__x000a_386grabber=vga.3gr_x000d__x000a_" xfId="1" xr:uid="{00000000-0005-0000-0000-000001000000}"/>
    <cellStyle name="_x000d_$" xfId="2" xr:uid="{00000000-0005-0000-0000-000002000000}"/>
    <cellStyle name="_x000d_;&amp;?;" xfId="3" xr:uid="{00000000-0005-0000-0000-000003000000}"/>
    <cellStyle name="&quot;" xfId="4" xr:uid="{00000000-0005-0000-0000-000004000000}"/>
    <cellStyle name="#,##0" xfId="5" xr:uid="{00000000-0005-0000-0000-000005000000}"/>
    <cellStyle name="$" xfId="6" xr:uid="{00000000-0005-0000-0000-000006000000}"/>
    <cellStyle name="$_db진흥" xfId="7" xr:uid="{00000000-0005-0000-0000-000007000000}"/>
    <cellStyle name="$_SE40" xfId="8" xr:uid="{00000000-0005-0000-0000-000008000000}"/>
    <cellStyle name="$_견적2" xfId="9" xr:uid="{00000000-0005-0000-0000-000009000000}"/>
    <cellStyle name="$_기아" xfId="10" xr:uid="{00000000-0005-0000-0000-00000A000000}"/>
    <cellStyle name="??&amp;O?&amp;H?_x0008__x000f__x0007_?_x0007__x0001__x0001_" xfId="11" xr:uid="{00000000-0005-0000-0000-00000B000000}"/>
    <cellStyle name="??&amp;O?&amp;H?_x0008_??_x0007__x0001__x0001_" xfId="12" xr:uid="{00000000-0005-0000-0000-00000C000000}"/>
    <cellStyle name="?W?_laroux" xfId="13" xr:uid="{00000000-0005-0000-0000-00000D000000}"/>
    <cellStyle name="?화 [0]_투자재원" xfId="14" xr:uid="{00000000-0005-0000-0000-00000E000000}"/>
    <cellStyle name="_07(종)두산힐스빌" xfId="15" xr:uid="{00000000-0005-0000-0000-00000F000000}"/>
    <cellStyle name="_07(종)미켈란쉘르빌" xfId="16" xr:uid="{00000000-0005-0000-0000-000010000000}"/>
    <cellStyle name="_08(작)가락 삼성 래미안 아파트" xfId="17" xr:uid="{00000000-0005-0000-0000-000011000000}"/>
    <cellStyle name="_08(작)아이언프라자" xfId="18" xr:uid="{00000000-0005-0000-0000-000012000000}"/>
    <cellStyle name="_08(종) 영통 삼성래미안 아파트" xfId="19" xr:uid="{00000000-0005-0000-0000-000013000000}"/>
    <cellStyle name="_08(종)뚝섬중앙하이츠빌" xfId="20" xr:uid="{00000000-0005-0000-0000-000014000000}"/>
    <cellStyle name="_08(종)한승미메이드아파트" xfId="21" xr:uid="{00000000-0005-0000-0000-000015000000}"/>
    <cellStyle name="_08(종)허브원" xfId="22" xr:uid="{00000000-0005-0000-0000-000016000000}"/>
    <cellStyle name="_09(작)SH빌딩" xfId="23" xr:uid="{00000000-0005-0000-0000-000017000000}"/>
    <cellStyle name="_09(작)다보빌딩" xfId="24" xr:uid="{00000000-0005-0000-0000-000018000000}"/>
    <cellStyle name="_09(작)산본성당" xfId="25" xr:uid="{00000000-0005-0000-0000-000019000000}"/>
    <cellStyle name="_09(종)동작쌍떼빌아파트" xfId="26" xr:uid="{00000000-0005-0000-0000-00001A000000}"/>
    <cellStyle name="_09(종)르네상스타워" xfId="27" xr:uid="{00000000-0005-0000-0000-00001B000000}"/>
    <cellStyle name="_09(종)수지두산위브아파트" xfId="28" xr:uid="{00000000-0005-0000-0000-00001C000000}"/>
    <cellStyle name="_09(종)인계선경1차" xfId="29" xr:uid="{00000000-0005-0000-0000-00001D000000}"/>
    <cellStyle name="_09(종)인덕원성당" xfId="30" xr:uid="{00000000-0005-0000-0000-00001E000000}"/>
    <cellStyle name="_09(종)종로대성스카이렉스" xfId="31" xr:uid="{00000000-0005-0000-0000-00001F000000}"/>
    <cellStyle name="_09(종)태영데시앙1차" xfId="32" xr:uid="{00000000-0005-0000-0000-000020000000}"/>
    <cellStyle name="_09(종)호계아크로리버" xfId="33" xr:uid="{00000000-0005-0000-0000-000021000000}"/>
    <cellStyle name="_2000하반기 견적서 ( 미씨860오피스텔 탑시티, 청우, 유일, 동부,경진 )" xfId="34" xr:uid="{00000000-0005-0000-0000-000022000000}"/>
    <cellStyle name="_2000하반기 견적서 ( 미씨860오피스텔 탑시티, 청우, 유일, 동부,경진 )_07(종)두산힐스빌" xfId="35" xr:uid="{00000000-0005-0000-0000-000023000000}"/>
    <cellStyle name="_2000하반기 견적서 ( 미씨860오피스텔 탑시티, 청우, 유일, 동부,경진 )_07(종)미켈란쉘르빌" xfId="36" xr:uid="{00000000-0005-0000-0000-000024000000}"/>
    <cellStyle name="_2000하반기 견적서 ( 미씨860오피스텔 탑시티, 청우, 유일, 동부,경진 )_08(종) 영통 삼성래미안 아파트" xfId="37" xr:uid="{00000000-0005-0000-0000-000025000000}"/>
    <cellStyle name="_2000하반기 견적서 ( 미씨860오피스텔 탑시티, 청우, 유일, 동부,경진 )_08(종)뚝섬중앙하이츠빌" xfId="38" xr:uid="{00000000-0005-0000-0000-000026000000}"/>
    <cellStyle name="_2000하반기 견적서 ( 미씨860오피스텔 탑시티, 청우, 유일, 동부,경진 )_08(종)한승미메이드아파트" xfId="39" xr:uid="{00000000-0005-0000-0000-000027000000}"/>
    <cellStyle name="_2000하반기 견적서 ( 미씨860오피스텔 탑시티, 청우, 유일, 동부,경진 )_08(종)허브원" xfId="40" xr:uid="{00000000-0005-0000-0000-000028000000}"/>
    <cellStyle name="_2000하반기 견적서 ( 미씨860오피스텔 탑시티, 청우, 유일, 동부,경진 )_09(종)르네상스타워" xfId="41" xr:uid="{00000000-0005-0000-0000-000029000000}"/>
    <cellStyle name="_2000하반기 견적서 ( 미씨860오피스텔 탑시티, 청우, 유일, 동부,경진 )_09(종)인덕원성당" xfId="42" xr:uid="{00000000-0005-0000-0000-00002A000000}"/>
    <cellStyle name="_2000하반기 견적서 ( 미씨860오피스텔 탑시티, 청우, 유일, 동부,경진 )_3호원본" xfId="43" xr:uid="{00000000-0005-0000-0000-00002B000000}"/>
    <cellStyle name="_2000하반기 견적서 ( 미씨860오피스텔 탑시티, 청우, 유일, 동부,경진 )_Book1" xfId="44" xr:uid="{00000000-0005-0000-0000-00002C000000}"/>
    <cellStyle name="_2000하반기 견적서 ( 미씨860오피스텔 탑시티, 청우, 유일, 동부,경진 )_Book1_08(종)허브원" xfId="45" xr:uid="{00000000-0005-0000-0000-00002D000000}"/>
    <cellStyle name="_2002 상반기 견적서 ( 롯데 분당점 공정표 )" xfId="46" xr:uid="{00000000-0005-0000-0000-00002E000000}"/>
    <cellStyle name="_2002 상반기 견적서 ( 롯데 분당점 공정표 )_07(종)두산힐스빌" xfId="47" xr:uid="{00000000-0005-0000-0000-00002F000000}"/>
    <cellStyle name="_2002 상반기 견적서 ( 롯데 분당점 공정표 )_07(종)미켈란쉘르빌" xfId="48" xr:uid="{00000000-0005-0000-0000-000030000000}"/>
    <cellStyle name="_2002 상반기 견적서 ( 롯데 분당점 공정표 )_08(종) 영통 삼성래미안 아파트" xfId="49" xr:uid="{00000000-0005-0000-0000-000031000000}"/>
    <cellStyle name="_2002 상반기 견적서 ( 롯데 분당점 공정표 )_08(종)뚝섬중앙하이츠빌" xfId="50" xr:uid="{00000000-0005-0000-0000-000032000000}"/>
    <cellStyle name="_2002 상반기 견적서 ( 롯데 분당점 공정표 )_08(종)한승미메이드아파트" xfId="51" xr:uid="{00000000-0005-0000-0000-000033000000}"/>
    <cellStyle name="_2002 상반기 견적서 ( 롯데 분당점 공정표 )_08(종)허브원" xfId="52" xr:uid="{00000000-0005-0000-0000-000034000000}"/>
    <cellStyle name="_2002 상반기 견적서 ( 롯데 분당점 공정표 )_09(종)르네상스타워" xfId="53" xr:uid="{00000000-0005-0000-0000-000035000000}"/>
    <cellStyle name="_2002 상반기 견적서 ( 롯데 분당점 공정표 )_09(종)인덕원성당" xfId="54" xr:uid="{00000000-0005-0000-0000-000036000000}"/>
    <cellStyle name="_2002 상반기 견적서 ( 롯데 분당점 공정표 )_3호원본" xfId="55" xr:uid="{00000000-0005-0000-0000-000037000000}"/>
    <cellStyle name="_2002 상반기 견적서 ( 롯데 분당점 공정표 )_Book1" xfId="56" xr:uid="{00000000-0005-0000-0000-000038000000}"/>
    <cellStyle name="_2002 상반기 견적서 ( 롯데 분당점 공정표 )_Book1_08(종)허브원" xfId="57" xr:uid="{00000000-0005-0000-0000-000039000000}"/>
    <cellStyle name="_2차5회(사정)" xfId="58" xr:uid="{00000000-0005-0000-0000-00003A000000}"/>
    <cellStyle name="_2호원본" xfId="59" xr:uid="{00000000-0005-0000-0000-00003B000000}"/>
    <cellStyle name="_3호원본" xfId="60" xr:uid="{00000000-0005-0000-0000-00003C000000}"/>
    <cellStyle name="_9월" xfId="61" xr:uid="{00000000-0005-0000-0000-00003D000000}"/>
    <cellStyle name="_Book1" xfId="62" xr:uid="{00000000-0005-0000-0000-00003E000000}"/>
    <cellStyle name="_Book1_08(종)허브원" xfId="63" xr:uid="{00000000-0005-0000-0000-00003F000000}"/>
    <cellStyle name="_SANDFILTER" xfId="64" xr:uid="{00000000-0005-0000-0000-000040000000}"/>
    <cellStyle name="_강내투찰내역서-x" xfId="65" xr:uid="{00000000-0005-0000-0000-000041000000}"/>
    <cellStyle name="_강내투찰내역서-x 2" xfId="1478" xr:uid="{00000000-0005-0000-0000-0000C6050000}"/>
    <cellStyle name="_강내투찰내역서-x_왜관-태평건설" xfId="66" xr:uid="{00000000-0005-0000-0000-000042000000}"/>
    <cellStyle name="_강내투찰내역서-x_왜관-태평건설 2" xfId="1479" xr:uid="{00000000-0005-0000-0000-0000C7050000}"/>
    <cellStyle name="_고산투찰" xfId="67" xr:uid="{00000000-0005-0000-0000-000043000000}"/>
    <cellStyle name="_광릉투찰" xfId="68" xr:uid="{00000000-0005-0000-0000-000044000000}"/>
    <cellStyle name="_광릉투찰 2" xfId="1480" xr:uid="{00000000-0005-0000-0000-0000C8050000}"/>
    <cellStyle name="_광릉투찰_왜관-태평건설" xfId="69" xr:uid="{00000000-0005-0000-0000-000045000000}"/>
    <cellStyle name="_광릉투찰_왜관-태평건설 2" xfId="1481" xr:uid="{00000000-0005-0000-0000-0000C9050000}"/>
    <cellStyle name="_광주평동투찰" xfId="70" xr:uid="{00000000-0005-0000-0000-000046000000}"/>
    <cellStyle name="_광주평동투찰 2" xfId="1482" xr:uid="{00000000-0005-0000-0000-0000CA050000}"/>
    <cellStyle name="_광주평동투찰3" xfId="71" xr:uid="{00000000-0005-0000-0000-000047000000}"/>
    <cellStyle name="_광주평동투찰3 2" xfId="1483" xr:uid="{00000000-0005-0000-0000-0000CB050000}"/>
    <cellStyle name="_광주평동품의1" xfId="72" xr:uid="{00000000-0005-0000-0000-000048000000}"/>
    <cellStyle name="_광주평동품의1 2" xfId="1484" xr:uid="{00000000-0005-0000-0000-0000CC050000}"/>
    <cellStyle name="_구문소철암투찰" xfId="73" xr:uid="{00000000-0005-0000-0000-000049000000}"/>
    <cellStyle name="_구문소철암투찰 2" xfId="1485" xr:uid="{00000000-0005-0000-0000-0000CD050000}"/>
    <cellStyle name="_구문소철암투찰_광릉투찰" xfId="74" xr:uid="{00000000-0005-0000-0000-00004A000000}"/>
    <cellStyle name="_구문소철암투찰_광릉투찰 2" xfId="1486" xr:uid="{00000000-0005-0000-0000-0000CE050000}"/>
    <cellStyle name="_구문소철암투찰_광릉투찰_왜관-태평건설" xfId="75" xr:uid="{00000000-0005-0000-0000-00004B000000}"/>
    <cellStyle name="_구문소철암투찰_광릉투찰_왜관-태평건설 2" xfId="1487" xr:uid="{00000000-0005-0000-0000-0000CF050000}"/>
    <cellStyle name="_구문소철암투찰_왜관-태평건설" xfId="76" xr:uid="{00000000-0005-0000-0000-00004C000000}"/>
    <cellStyle name="_구문소철암투찰_왜관-태평건설 2" xfId="1488" xr:uid="{00000000-0005-0000-0000-0000D0050000}"/>
    <cellStyle name="_국도23호선영암연소지구내역서" xfId="77" xr:uid="{00000000-0005-0000-0000-00004D000000}"/>
    <cellStyle name="_국도38호선통리지구내역서" xfId="78" xr:uid="{00000000-0005-0000-0000-00004E000000}"/>
    <cellStyle name="_국도42호선여량지구오르막차로" xfId="79" xr:uid="{00000000-0005-0000-0000-00004F000000}"/>
    <cellStyle name="_금천청소년수련관(토목林)" xfId="80" xr:uid="{00000000-0005-0000-0000-000050000000}"/>
    <cellStyle name="_농소투찰(32152)" xfId="81" xr:uid="{00000000-0005-0000-0000-000051000000}"/>
    <cellStyle name="_농소투찰(32152) 2" xfId="1489" xr:uid="{00000000-0005-0000-0000-0000D1050000}"/>
    <cellStyle name="_농소투찰(32152)_왜관-태평건설" xfId="82" xr:uid="{00000000-0005-0000-0000-000052000000}"/>
    <cellStyle name="_농소투찰(32152)_왜관-태평건설 2" xfId="1490" xr:uid="{00000000-0005-0000-0000-0000D2050000}"/>
    <cellStyle name="_대곡이설(투찰)" xfId="83" xr:uid="{00000000-0005-0000-0000-000053000000}"/>
    <cellStyle name="_대곡이설(투찰) 2" xfId="1491" xr:uid="{00000000-0005-0000-0000-0000D3050000}"/>
    <cellStyle name="_대곡이설(투찰)_1" xfId="84" xr:uid="{00000000-0005-0000-0000-000054000000}"/>
    <cellStyle name="_대곡이설(투찰)_1 2" xfId="1492" xr:uid="{00000000-0005-0000-0000-0000D4050000}"/>
    <cellStyle name="_대곡이설(투찰)_1_경찰서-터미널간도로(투찰)②" xfId="85" xr:uid="{00000000-0005-0000-0000-000055000000}"/>
    <cellStyle name="_대곡이설(투찰)_1_경찰서-터미널간도로(투찰)② 2" xfId="1493" xr:uid="{00000000-0005-0000-0000-0000D5050000}"/>
    <cellStyle name="_대곡이설(투찰)_1_경찰서-터미널간도로(투찰)②_마현생창(동양고속)" xfId="86" xr:uid="{00000000-0005-0000-0000-000056000000}"/>
    <cellStyle name="_대곡이설(투찰)_1_경찰서-터미널간도로(투찰)②_마현생창(동양고속) 2" xfId="1494" xr:uid="{00000000-0005-0000-0000-0000D6050000}"/>
    <cellStyle name="_대곡이설(투찰)_1_경찰서-터미널간도로(투찰)②_마현생창(동양고속)_왜관-태평건설" xfId="87" xr:uid="{00000000-0005-0000-0000-000057000000}"/>
    <cellStyle name="_대곡이설(투찰)_1_경찰서-터미널간도로(투찰)②_마현생창(동양고속)_왜관-태평건설 2" xfId="1495" xr:uid="{00000000-0005-0000-0000-0000D7050000}"/>
    <cellStyle name="_대곡이설(투찰)_1_경찰서-터미널간도로(투찰)②_왜관-태평건설" xfId="88" xr:uid="{00000000-0005-0000-0000-000058000000}"/>
    <cellStyle name="_대곡이설(투찰)_1_경찰서-터미널간도로(투찰)②_왜관-태평건설 2" xfId="1496" xr:uid="{00000000-0005-0000-0000-0000D8050000}"/>
    <cellStyle name="_대곡이설(투찰)_1_마현생창(동양고속)" xfId="89" xr:uid="{00000000-0005-0000-0000-000059000000}"/>
    <cellStyle name="_대곡이설(투찰)_1_마현생창(동양고속) 2" xfId="1497" xr:uid="{00000000-0005-0000-0000-0000D9050000}"/>
    <cellStyle name="_대곡이설(투찰)_1_마현생창(동양고속)_왜관-태평건설" xfId="90" xr:uid="{00000000-0005-0000-0000-00005A000000}"/>
    <cellStyle name="_대곡이설(투찰)_1_마현생창(동양고속)_왜관-태평건설 2" xfId="1498" xr:uid="{00000000-0005-0000-0000-0000DA050000}"/>
    <cellStyle name="_대곡이설(투찰)_1_봉무지방산업단지도로(투찰)②" xfId="91" xr:uid="{00000000-0005-0000-0000-00005B000000}"/>
    <cellStyle name="_대곡이설(투찰)_1_봉무지방산업단지도로(투찰)② 2" xfId="1499" xr:uid="{00000000-0005-0000-0000-0000DB050000}"/>
    <cellStyle name="_대곡이설(투찰)_1_봉무지방산업단지도로(투찰)②_마현생창(동양고속)" xfId="92" xr:uid="{00000000-0005-0000-0000-00005C000000}"/>
    <cellStyle name="_대곡이설(투찰)_1_봉무지방산업단지도로(투찰)②_마현생창(동양고속) 2" xfId="1500" xr:uid="{00000000-0005-0000-0000-0000DC050000}"/>
    <cellStyle name="_대곡이설(투찰)_1_봉무지방산업단지도로(투찰)②_마현생창(동양고속)_왜관-태평건설" xfId="93" xr:uid="{00000000-0005-0000-0000-00005D000000}"/>
    <cellStyle name="_대곡이설(투찰)_1_봉무지방산업단지도로(투찰)②_마현생창(동양고속)_왜관-태평건설 2" xfId="1501" xr:uid="{00000000-0005-0000-0000-0000DD050000}"/>
    <cellStyle name="_대곡이설(투찰)_1_봉무지방산업단지도로(투찰)②_왜관-태평건설" xfId="94" xr:uid="{00000000-0005-0000-0000-00005E000000}"/>
    <cellStyle name="_대곡이설(투찰)_1_봉무지방산업단지도로(투찰)②_왜관-태평건설 2" xfId="1502" xr:uid="{00000000-0005-0000-0000-0000DE050000}"/>
    <cellStyle name="_대곡이설(투찰)_1_봉무지방산업단지도로(투찰)②+0.250%" xfId="95" xr:uid="{00000000-0005-0000-0000-00005F000000}"/>
    <cellStyle name="_대곡이설(투찰)_1_봉무지방산업단지도로(투찰)②+0.250% 2" xfId="1503" xr:uid="{00000000-0005-0000-0000-0000DF050000}"/>
    <cellStyle name="_대곡이설(투찰)_1_봉무지방산업단지도로(투찰)②+0.250%_마현생창(동양고속)" xfId="96" xr:uid="{00000000-0005-0000-0000-000060000000}"/>
    <cellStyle name="_대곡이설(투찰)_1_봉무지방산업단지도로(투찰)②+0.250%_마현생창(동양고속) 2" xfId="1504" xr:uid="{00000000-0005-0000-0000-0000E0050000}"/>
    <cellStyle name="_대곡이설(투찰)_1_봉무지방산업단지도로(투찰)②+0.250%_마현생창(동양고속)_왜관-태평건설" xfId="97" xr:uid="{00000000-0005-0000-0000-000061000000}"/>
    <cellStyle name="_대곡이설(투찰)_1_봉무지방산업단지도로(투찰)②+0.250%_마현생창(동양고속)_왜관-태평건설 2" xfId="1505" xr:uid="{00000000-0005-0000-0000-0000E1050000}"/>
    <cellStyle name="_대곡이설(투찰)_1_봉무지방산업단지도로(투찰)②+0.250%_왜관-태평건설" xfId="98" xr:uid="{00000000-0005-0000-0000-000062000000}"/>
    <cellStyle name="_대곡이설(투찰)_1_봉무지방산업단지도로(투찰)②+0.250%_왜관-태평건설 2" xfId="1506" xr:uid="{00000000-0005-0000-0000-0000E2050000}"/>
    <cellStyle name="_대곡이설(투찰)_1_왜관-태평건설" xfId="99" xr:uid="{00000000-0005-0000-0000-000063000000}"/>
    <cellStyle name="_대곡이설(투찰)_1_왜관-태평건설 2" xfId="1507" xr:uid="{00000000-0005-0000-0000-0000E3050000}"/>
    <cellStyle name="_대곡이설(투찰)_1_합덕-신례원(2공구)투찰" xfId="100" xr:uid="{00000000-0005-0000-0000-000064000000}"/>
    <cellStyle name="_대곡이설(투찰)_1_합덕-신례원(2공구)투찰 2" xfId="1508" xr:uid="{00000000-0005-0000-0000-0000E4050000}"/>
    <cellStyle name="_대곡이설(투찰)_1_합덕-신례원(2공구)투찰_경찰서-터미널간도로(투찰)②" xfId="101" xr:uid="{00000000-0005-0000-0000-000065000000}"/>
    <cellStyle name="_대곡이설(투찰)_1_합덕-신례원(2공구)투찰_경찰서-터미널간도로(투찰)② 2" xfId="1509" xr:uid="{00000000-0005-0000-0000-0000E5050000}"/>
    <cellStyle name="_대곡이설(투찰)_1_합덕-신례원(2공구)투찰_경찰서-터미널간도로(투찰)②_마현생창(동양고속)" xfId="102" xr:uid="{00000000-0005-0000-0000-000066000000}"/>
    <cellStyle name="_대곡이설(투찰)_1_합덕-신례원(2공구)투찰_경찰서-터미널간도로(투찰)②_마현생창(동양고속) 2" xfId="1510" xr:uid="{00000000-0005-0000-0000-0000E6050000}"/>
    <cellStyle name="_대곡이설(투찰)_1_합덕-신례원(2공구)투찰_경찰서-터미널간도로(투찰)②_마현생창(동양고속)_왜관-태평건설" xfId="103" xr:uid="{00000000-0005-0000-0000-000067000000}"/>
    <cellStyle name="_대곡이설(투찰)_1_합덕-신례원(2공구)투찰_경찰서-터미널간도로(투찰)②_마현생창(동양고속)_왜관-태평건설 2" xfId="1511" xr:uid="{00000000-0005-0000-0000-0000E7050000}"/>
    <cellStyle name="_대곡이설(투찰)_1_합덕-신례원(2공구)투찰_경찰서-터미널간도로(투찰)②_왜관-태평건설" xfId="104" xr:uid="{00000000-0005-0000-0000-000068000000}"/>
    <cellStyle name="_대곡이설(투찰)_1_합덕-신례원(2공구)투찰_경찰서-터미널간도로(투찰)②_왜관-태평건설 2" xfId="1512" xr:uid="{00000000-0005-0000-0000-0000E8050000}"/>
    <cellStyle name="_대곡이설(투찰)_1_합덕-신례원(2공구)투찰_마현생창(동양고속)" xfId="105" xr:uid="{00000000-0005-0000-0000-000069000000}"/>
    <cellStyle name="_대곡이설(투찰)_1_합덕-신례원(2공구)투찰_마현생창(동양고속) 2" xfId="1513" xr:uid="{00000000-0005-0000-0000-0000E9050000}"/>
    <cellStyle name="_대곡이설(투찰)_1_합덕-신례원(2공구)투찰_마현생창(동양고속)_왜관-태평건설" xfId="106" xr:uid="{00000000-0005-0000-0000-00006A000000}"/>
    <cellStyle name="_대곡이설(투찰)_1_합덕-신례원(2공구)투찰_마현생창(동양고속)_왜관-태평건설 2" xfId="1514" xr:uid="{00000000-0005-0000-0000-0000EA050000}"/>
    <cellStyle name="_대곡이설(투찰)_1_합덕-신례원(2공구)투찰_봉무지방산업단지도로(투찰)②" xfId="107" xr:uid="{00000000-0005-0000-0000-00006B000000}"/>
    <cellStyle name="_대곡이설(투찰)_1_합덕-신례원(2공구)투찰_봉무지방산업단지도로(투찰)② 2" xfId="1515" xr:uid="{00000000-0005-0000-0000-0000EB050000}"/>
    <cellStyle name="_대곡이설(투찰)_1_합덕-신례원(2공구)투찰_봉무지방산업단지도로(투찰)②_마현생창(동양고속)" xfId="108" xr:uid="{00000000-0005-0000-0000-00006C000000}"/>
    <cellStyle name="_대곡이설(투찰)_1_합덕-신례원(2공구)투찰_봉무지방산업단지도로(투찰)②_마현생창(동양고속) 2" xfId="1516" xr:uid="{00000000-0005-0000-0000-0000EC050000}"/>
    <cellStyle name="_대곡이설(투찰)_1_합덕-신례원(2공구)투찰_봉무지방산업단지도로(투찰)②_마현생창(동양고속)_왜관-태평건설" xfId="109" xr:uid="{00000000-0005-0000-0000-00006D000000}"/>
    <cellStyle name="_대곡이설(투찰)_1_합덕-신례원(2공구)투찰_봉무지방산업단지도로(투찰)②_마현생창(동양고속)_왜관-태평건설 2" xfId="1517" xr:uid="{00000000-0005-0000-0000-0000ED050000}"/>
    <cellStyle name="_대곡이설(투찰)_1_합덕-신례원(2공구)투찰_봉무지방산업단지도로(투찰)②_왜관-태평건설" xfId="110" xr:uid="{00000000-0005-0000-0000-00006E000000}"/>
    <cellStyle name="_대곡이설(투찰)_1_합덕-신례원(2공구)투찰_봉무지방산업단지도로(투찰)②_왜관-태평건설 2" xfId="1518" xr:uid="{00000000-0005-0000-0000-0000EE050000}"/>
    <cellStyle name="_대곡이설(투찰)_1_합덕-신례원(2공구)투찰_봉무지방산업단지도로(투찰)②+0.250%" xfId="111" xr:uid="{00000000-0005-0000-0000-00006F000000}"/>
    <cellStyle name="_대곡이설(투찰)_1_합덕-신례원(2공구)투찰_봉무지방산업단지도로(투찰)②+0.250% 2" xfId="1519" xr:uid="{00000000-0005-0000-0000-0000EF050000}"/>
    <cellStyle name="_대곡이설(투찰)_1_합덕-신례원(2공구)투찰_봉무지방산업단지도로(투찰)②+0.250%_마현생창(동양고속)" xfId="112" xr:uid="{00000000-0005-0000-0000-000070000000}"/>
    <cellStyle name="_대곡이설(투찰)_1_합덕-신례원(2공구)투찰_봉무지방산업단지도로(투찰)②+0.250%_마현생창(동양고속) 2" xfId="1520" xr:uid="{00000000-0005-0000-0000-0000F0050000}"/>
    <cellStyle name="_대곡이설(투찰)_1_합덕-신례원(2공구)투찰_봉무지방산업단지도로(투찰)②+0.250%_마현생창(동양고속)_왜관-태평건설" xfId="113" xr:uid="{00000000-0005-0000-0000-000071000000}"/>
    <cellStyle name="_대곡이설(투찰)_1_합덕-신례원(2공구)투찰_봉무지방산업단지도로(투찰)②+0.250%_마현생창(동양고속)_왜관-태평건설 2" xfId="1521" xr:uid="{00000000-0005-0000-0000-0000F1050000}"/>
    <cellStyle name="_대곡이설(투찰)_1_합덕-신례원(2공구)투찰_봉무지방산업단지도로(투찰)②+0.250%_왜관-태평건설" xfId="114" xr:uid="{00000000-0005-0000-0000-000072000000}"/>
    <cellStyle name="_대곡이설(투찰)_1_합덕-신례원(2공구)투찰_봉무지방산업단지도로(투찰)②+0.250%_왜관-태평건설 2" xfId="1522" xr:uid="{00000000-0005-0000-0000-0000F2050000}"/>
    <cellStyle name="_대곡이설(투찰)_1_합덕-신례원(2공구)투찰_왜관-태평건설" xfId="115" xr:uid="{00000000-0005-0000-0000-000073000000}"/>
    <cellStyle name="_대곡이설(투찰)_1_합덕-신례원(2공구)투찰_왜관-태평건설 2" xfId="1523" xr:uid="{00000000-0005-0000-0000-0000F3050000}"/>
    <cellStyle name="_대곡이설(투찰)_1_합덕-신례원(2공구)투찰_합덕-신례원(2공구)투찰" xfId="116" xr:uid="{00000000-0005-0000-0000-000074000000}"/>
    <cellStyle name="_대곡이설(투찰)_1_합덕-신례원(2공구)투찰_합덕-신례원(2공구)투찰 2" xfId="1524" xr:uid="{00000000-0005-0000-0000-0000F4050000}"/>
    <cellStyle name="_대곡이설(투찰)_1_합덕-신례원(2공구)투찰_합덕-신례원(2공구)투찰_경찰서-터미널간도로(투찰)②" xfId="117" xr:uid="{00000000-0005-0000-0000-000075000000}"/>
    <cellStyle name="_대곡이설(투찰)_1_합덕-신례원(2공구)투찰_합덕-신례원(2공구)투찰_경찰서-터미널간도로(투찰)② 2" xfId="1525" xr:uid="{00000000-0005-0000-0000-0000F5050000}"/>
    <cellStyle name="_대곡이설(투찰)_1_합덕-신례원(2공구)투찰_합덕-신례원(2공구)투찰_경찰서-터미널간도로(투찰)②_마현생창(동양고속)" xfId="118" xr:uid="{00000000-0005-0000-0000-000076000000}"/>
    <cellStyle name="_대곡이설(투찰)_1_합덕-신례원(2공구)투찰_합덕-신례원(2공구)투찰_경찰서-터미널간도로(투찰)②_마현생창(동양고속) 2" xfId="1526" xr:uid="{00000000-0005-0000-0000-0000F6050000}"/>
    <cellStyle name="_대곡이설(투찰)_1_합덕-신례원(2공구)투찰_합덕-신례원(2공구)투찰_경찰서-터미널간도로(투찰)②_마현생창(동양고속)_왜관-태평건설" xfId="119" xr:uid="{00000000-0005-0000-0000-000077000000}"/>
    <cellStyle name="_대곡이설(투찰)_1_합덕-신례원(2공구)투찰_합덕-신례원(2공구)투찰_경찰서-터미널간도로(투찰)②_마현생창(동양고속)_왜관-태평건설 2" xfId="1527" xr:uid="{00000000-0005-0000-0000-0000F7050000}"/>
    <cellStyle name="_대곡이설(투찰)_1_합덕-신례원(2공구)투찰_합덕-신례원(2공구)투찰_경찰서-터미널간도로(투찰)②_왜관-태평건설" xfId="120" xr:uid="{00000000-0005-0000-0000-000078000000}"/>
    <cellStyle name="_대곡이설(투찰)_1_합덕-신례원(2공구)투찰_합덕-신례원(2공구)투찰_경찰서-터미널간도로(투찰)②_왜관-태평건설 2" xfId="1528" xr:uid="{00000000-0005-0000-0000-0000F8050000}"/>
    <cellStyle name="_대곡이설(투찰)_1_합덕-신례원(2공구)투찰_합덕-신례원(2공구)투찰_마현생창(동양고속)" xfId="121" xr:uid="{00000000-0005-0000-0000-000079000000}"/>
    <cellStyle name="_대곡이설(투찰)_1_합덕-신례원(2공구)투찰_합덕-신례원(2공구)투찰_마현생창(동양고속) 2" xfId="1529" xr:uid="{00000000-0005-0000-0000-0000F9050000}"/>
    <cellStyle name="_대곡이설(투찰)_1_합덕-신례원(2공구)투찰_합덕-신례원(2공구)투찰_마현생창(동양고속)_왜관-태평건설" xfId="122" xr:uid="{00000000-0005-0000-0000-00007A000000}"/>
    <cellStyle name="_대곡이설(투찰)_1_합덕-신례원(2공구)투찰_합덕-신례원(2공구)투찰_마현생창(동양고속)_왜관-태평건설 2" xfId="1530" xr:uid="{00000000-0005-0000-0000-0000FA050000}"/>
    <cellStyle name="_대곡이설(투찰)_1_합덕-신례원(2공구)투찰_합덕-신례원(2공구)투찰_봉무지방산업단지도로(투찰)②" xfId="123" xr:uid="{00000000-0005-0000-0000-00007B000000}"/>
    <cellStyle name="_대곡이설(투찰)_1_합덕-신례원(2공구)투찰_합덕-신례원(2공구)투찰_봉무지방산업단지도로(투찰)② 2" xfId="1531" xr:uid="{00000000-0005-0000-0000-0000FB050000}"/>
    <cellStyle name="_대곡이설(투찰)_1_합덕-신례원(2공구)투찰_합덕-신례원(2공구)투찰_봉무지방산업단지도로(투찰)②_마현생창(동양고속)" xfId="124" xr:uid="{00000000-0005-0000-0000-00007C000000}"/>
    <cellStyle name="_대곡이설(투찰)_1_합덕-신례원(2공구)투찰_합덕-신례원(2공구)투찰_봉무지방산업단지도로(투찰)②_마현생창(동양고속) 2" xfId="1532" xr:uid="{00000000-0005-0000-0000-0000FC050000}"/>
    <cellStyle name="_대곡이설(투찰)_1_합덕-신례원(2공구)투찰_합덕-신례원(2공구)투찰_봉무지방산업단지도로(투찰)②_마현생창(동양고속)_왜관-태평건설" xfId="125" xr:uid="{00000000-0005-0000-0000-00007D000000}"/>
    <cellStyle name="_대곡이설(투찰)_1_합덕-신례원(2공구)투찰_합덕-신례원(2공구)투찰_봉무지방산업단지도로(투찰)②_마현생창(동양고속)_왜관-태평건설 2" xfId="1533" xr:uid="{00000000-0005-0000-0000-0000FD050000}"/>
    <cellStyle name="_대곡이설(투찰)_1_합덕-신례원(2공구)투찰_합덕-신례원(2공구)투찰_봉무지방산업단지도로(투찰)②_왜관-태평건설" xfId="126" xr:uid="{00000000-0005-0000-0000-00007E000000}"/>
    <cellStyle name="_대곡이설(투찰)_1_합덕-신례원(2공구)투찰_합덕-신례원(2공구)투찰_봉무지방산업단지도로(투찰)②_왜관-태평건설 2" xfId="1534" xr:uid="{00000000-0005-0000-0000-0000FE050000}"/>
    <cellStyle name="_대곡이설(투찰)_1_합덕-신례원(2공구)투찰_합덕-신례원(2공구)투찰_봉무지방산업단지도로(투찰)②+0.250%" xfId="127" xr:uid="{00000000-0005-0000-0000-00007F000000}"/>
    <cellStyle name="_대곡이설(투찰)_1_합덕-신례원(2공구)투찰_합덕-신례원(2공구)투찰_봉무지방산업단지도로(투찰)②+0.250% 2" xfId="1535" xr:uid="{00000000-0005-0000-0000-0000FF050000}"/>
    <cellStyle name="_대곡이설(투찰)_1_합덕-신례원(2공구)투찰_합덕-신례원(2공구)투찰_봉무지방산업단지도로(투찰)②+0.250%_마현생창(동양고속)" xfId="128" xr:uid="{00000000-0005-0000-0000-000080000000}"/>
    <cellStyle name="_대곡이설(투찰)_1_합덕-신례원(2공구)투찰_합덕-신례원(2공구)투찰_봉무지방산업단지도로(투찰)②+0.250%_마현생창(동양고속) 2" xfId="1536" xr:uid="{00000000-0005-0000-0000-000000060000}"/>
    <cellStyle name="_대곡이설(투찰)_1_합덕-신례원(2공구)투찰_합덕-신례원(2공구)투찰_봉무지방산업단지도로(투찰)②+0.250%_마현생창(동양고속)_왜관-태평건설" xfId="129" xr:uid="{00000000-0005-0000-0000-000081000000}"/>
    <cellStyle name="_대곡이설(투찰)_1_합덕-신례원(2공구)투찰_합덕-신례원(2공구)투찰_봉무지방산업단지도로(투찰)②+0.250%_마현생창(동양고속)_왜관-태평건설 2" xfId="1537" xr:uid="{00000000-0005-0000-0000-000001060000}"/>
    <cellStyle name="_대곡이설(투찰)_1_합덕-신례원(2공구)투찰_합덕-신례원(2공구)투찰_봉무지방산업단지도로(투찰)②+0.250%_왜관-태평건설" xfId="130" xr:uid="{00000000-0005-0000-0000-000082000000}"/>
    <cellStyle name="_대곡이설(투찰)_1_합덕-신례원(2공구)투찰_합덕-신례원(2공구)투찰_봉무지방산업단지도로(투찰)②+0.250%_왜관-태평건설 2" xfId="1538" xr:uid="{00000000-0005-0000-0000-000002060000}"/>
    <cellStyle name="_대곡이설(투찰)_1_합덕-신례원(2공구)투찰_합덕-신례원(2공구)투찰_왜관-태평건설" xfId="131" xr:uid="{00000000-0005-0000-0000-000083000000}"/>
    <cellStyle name="_대곡이설(투찰)_1_합덕-신례원(2공구)투찰_합덕-신례원(2공구)투찰_왜관-태평건설 2" xfId="1539" xr:uid="{00000000-0005-0000-0000-000003060000}"/>
    <cellStyle name="_대곡이설(투찰)_경찰서-터미널간도로(투찰)②" xfId="132" xr:uid="{00000000-0005-0000-0000-000084000000}"/>
    <cellStyle name="_대곡이설(투찰)_경찰서-터미널간도로(투찰)② 2" xfId="1540" xr:uid="{00000000-0005-0000-0000-000004060000}"/>
    <cellStyle name="_대곡이설(투찰)_경찰서-터미널간도로(투찰)②_마현생창(동양고속)" xfId="133" xr:uid="{00000000-0005-0000-0000-000085000000}"/>
    <cellStyle name="_대곡이설(투찰)_경찰서-터미널간도로(투찰)②_마현생창(동양고속) 2" xfId="1541" xr:uid="{00000000-0005-0000-0000-000005060000}"/>
    <cellStyle name="_대곡이설(투찰)_경찰서-터미널간도로(투찰)②_마현생창(동양고속)_왜관-태평건설" xfId="134" xr:uid="{00000000-0005-0000-0000-000086000000}"/>
    <cellStyle name="_대곡이설(투찰)_경찰서-터미널간도로(투찰)②_마현생창(동양고속)_왜관-태평건설 2" xfId="1542" xr:uid="{00000000-0005-0000-0000-000006060000}"/>
    <cellStyle name="_대곡이설(투찰)_경찰서-터미널간도로(투찰)②_왜관-태평건설" xfId="135" xr:uid="{00000000-0005-0000-0000-000087000000}"/>
    <cellStyle name="_대곡이설(투찰)_경찰서-터미널간도로(투찰)②_왜관-태평건설 2" xfId="1543" xr:uid="{00000000-0005-0000-0000-000007060000}"/>
    <cellStyle name="_대곡이설(투찰)_도덕-고흥도로(투찰)" xfId="136" xr:uid="{00000000-0005-0000-0000-000088000000}"/>
    <cellStyle name="_대곡이설(투찰)_도덕-고흥도로(투찰) 2" xfId="1544" xr:uid="{00000000-0005-0000-0000-000008060000}"/>
    <cellStyle name="_대곡이설(투찰)_도덕-고흥도로(투찰)_경찰서-터미널간도로(투찰)②" xfId="137" xr:uid="{00000000-0005-0000-0000-000089000000}"/>
    <cellStyle name="_대곡이설(투찰)_도덕-고흥도로(투찰)_경찰서-터미널간도로(투찰)② 2" xfId="1545" xr:uid="{00000000-0005-0000-0000-000009060000}"/>
    <cellStyle name="_대곡이설(투찰)_도덕-고흥도로(투찰)_경찰서-터미널간도로(투찰)②_마현생창(동양고속)" xfId="138" xr:uid="{00000000-0005-0000-0000-00008A000000}"/>
    <cellStyle name="_대곡이설(투찰)_도덕-고흥도로(투찰)_경찰서-터미널간도로(투찰)②_마현생창(동양고속) 2" xfId="1546" xr:uid="{00000000-0005-0000-0000-00000A060000}"/>
    <cellStyle name="_대곡이설(투찰)_도덕-고흥도로(투찰)_경찰서-터미널간도로(투찰)②_마현생창(동양고속)_왜관-태평건설" xfId="139" xr:uid="{00000000-0005-0000-0000-00008B000000}"/>
    <cellStyle name="_대곡이설(투찰)_도덕-고흥도로(투찰)_경찰서-터미널간도로(투찰)②_마현생창(동양고속)_왜관-태평건설 2" xfId="1547" xr:uid="{00000000-0005-0000-0000-00000B060000}"/>
    <cellStyle name="_대곡이설(투찰)_도덕-고흥도로(투찰)_경찰서-터미널간도로(투찰)②_왜관-태평건설" xfId="140" xr:uid="{00000000-0005-0000-0000-00008C000000}"/>
    <cellStyle name="_대곡이설(투찰)_도덕-고흥도로(투찰)_경찰서-터미널간도로(투찰)②_왜관-태평건설 2" xfId="1548" xr:uid="{00000000-0005-0000-0000-00000C060000}"/>
    <cellStyle name="_대곡이설(투찰)_도덕-고흥도로(투찰)_마현생창(동양고속)" xfId="141" xr:uid="{00000000-0005-0000-0000-00008D000000}"/>
    <cellStyle name="_대곡이설(투찰)_도덕-고흥도로(투찰)_마현생창(동양고속) 2" xfId="1549" xr:uid="{00000000-0005-0000-0000-00000D060000}"/>
    <cellStyle name="_대곡이설(투찰)_도덕-고흥도로(투찰)_마현생창(동양고속)_왜관-태평건설" xfId="142" xr:uid="{00000000-0005-0000-0000-00008E000000}"/>
    <cellStyle name="_대곡이설(투찰)_도덕-고흥도로(투찰)_마현생창(동양고속)_왜관-태평건설 2" xfId="1550" xr:uid="{00000000-0005-0000-0000-00000E060000}"/>
    <cellStyle name="_대곡이설(투찰)_도덕-고흥도로(투찰)_봉무지방산업단지도로(투찰)②" xfId="143" xr:uid="{00000000-0005-0000-0000-00008F000000}"/>
    <cellStyle name="_대곡이설(투찰)_도덕-고흥도로(투찰)_봉무지방산업단지도로(투찰)② 2" xfId="1551" xr:uid="{00000000-0005-0000-0000-00000F060000}"/>
    <cellStyle name="_대곡이설(투찰)_도덕-고흥도로(투찰)_봉무지방산업단지도로(투찰)②_마현생창(동양고속)" xfId="144" xr:uid="{00000000-0005-0000-0000-000090000000}"/>
    <cellStyle name="_대곡이설(투찰)_도덕-고흥도로(투찰)_봉무지방산업단지도로(투찰)②_마현생창(동양고속) 2" xfId="1552" xr:uid="{00000000-0005-0000-0000-000010060000}"/>
    <cellStyle name="_대곡이설(투찰)_도덕-고흥도로(투찰)_봉무지방산업단지도로(투찰)②_마현생창(동양고속)_왜관-태평건설" xfId="145" xr:uid="{00000000-0005-0000-0000-000091000000}"/>
    <cellStyle name="_대곡이설(투찰)_도덕-고흥도로(투찰)_봉무지방산업단지도로(투찰)②_마현생창(동양고속)_왜관-태평건설 2" xfId="1553" xr:uid="{00000000-0005-0000-0000-000011060000}"/>
    <cellStyle name="_대곡이설(투찰)_도덕-고흥도로(투찰)_봉무지방산업단지도로(투찰)②_왜관-태평건설" xfId="146" xr:uid="{00000000-0005-0000-0000-000092000000}"/>
    <cellStyle name="_대곡이설(투찰)_도덕-고흥도로(투찰)_봉무지방산업단지도로(투찰)②_왜관-태평건설 2" xfId="1554" xr:uid="{00000000-0005-0000-0000-000012060000}"/>
    <cellStyle name="_대곡이설(투찰)_도덕-고흥도로(투찰)_봉무지방산업단지도로(투찰)②+0.250%" xfId="147" xr:uid="{00000000-0005-0000-0000-000093000000}"/>
    <cellStyle name="_대곡이설(투찰)_도덕-고흥도로(투찰)_봉무지방산업단지도로(투찰)②+0.250% 2" xfId="1555" xr:uid="{00000000-0005-0000-0000-000013060000}"/>
    <cellStyle name="_대곡이설(투찰)_도덕-고흥도로(투찰)_봉무지방산업단지도로(투찰)②+0.250%_마현생창(동양고속)" xfId="148" xr:uid="{00000000-0005-0000-0000-000094000000}"/>
    <cellStyle name="_대곡이설(투찰)_도덕-고흥도로(투찰)_봉무지방산업단지도로(투찰)②+0.250%_마현생창(동양고속) 2" xfId="1556" xr:uid="{00000000-0005-0000-0000-000014060000}"/>
    <cellStyle name="_대곡이설(투찰)_도덕-고흥도로(투찰)_봉무지방산업단지도로(투찰)②+0.250%_마현생창(동양고속)_왜관-태평건설" xfId="149" xr:uid="{00000000-0005-0000-0000-000095000000}"/>
    <cellStyle name="_대곡이설(투찰)_도덕-고흥도로(투찰)_봉무지방산업단지도로(투찰)②+0.250%_마현생창(동양고속)_왜관-태평건설 2" xfId="1557" xr:uid="{00000000-0005-0000-0000-000015060000}"/>
    <cellStyle name="_대곡이설(투찰)_도덕-고흥도로(투찰)_봉무지방산업단지도로(투찰)②+0.250%_왜관-태평건설" xfId="150" xr:uid="{00000000-0005-0000-0000-000096000000}"/>
    <cellStyle name="_대곡이설(투찰)_도덕-고흥도로(투찰)_봉무지방산업단지도로(투찰)②+0.250%_왜관-태평건설 2" xfId="1558" xr:uid="{00000000-0005-0000-0000-000016060000}"/>
    <cellStyle name="_대곡이설(투찰)_도덕-고흥도로(투찰)_왜관-태평건설" xfId="151" xr:uid="{00000000-0005-0000-0000-000097000000}"/>
    <cellStyle name="_대곡이설(투찰)_도덕-고흥도로(투찰)_왜관-태평건설 2" xfId="1559" xr:uid="{00000000-0005-0000-0000-000017060000}"/>
    <cellStyle name="_대곡이설(투찰)_도덕-고흥도로(투찰)_합덕-신례원(2공구)투찰" xfId="152" xr:uid="{00000000-0005-0000-0000-000098000000}"/>
    <cellStyle name="_대곡이설(투찰)_도덕-고흥도로(투찰)_합덕-신례원(2공구)투찰 2" xfId="1560" xr:uid="{00000000-0005-0000-0000-000018060000}"/>
    <cellStyle name="_대곡이설(투찰)_도덕-고흥도로(투찰)_합덕-신례원(2공구)투찰_경찰서-터미널간도로(투찰)②" xfId="153" xr:uid="{00000000-0005-0000-0000-000099000000}"/>
    <cellStyle name="_대곡이설(투찰)_도덕-고흥도로(투찰)_합덕-신례원(2공구)투찰_경찰서-터미널간도로(투찰)② 2" xfId="1561" xr:uid="{00000000-0005-0000-0000-000019060000}"/>
    <cellStyle name="_대곡이설(투찰)_도덕-고흥도로(투찰)_합덕-신례원(2공구)투찰_경찰서-터미널간도로(투찰)②_마현생창(동양고속)" xfId="154" xr:uid="{00000000-0005-0000-0000-00009A000000}"/>
    <cellStyle name="_대곡이설(투찰)_도덕-고흥도로(투찰)_합덕-신례원(2공구)투찰_경찰서-터미널간도로(투찰)②_마현생창(동양고속) 2" xfId="1562" xr:uid="{00000000-0005-0000-0000-00001A060000}"/>
    <cellStyle name="_대곡이설(투찰)_도덕-고흥도로(투찰)_합덕-신례원(2공구)투찰_경찰서-터미널간도로(투찰)②_마현생창(동양고속)_왜관-태평건설" xfId="155" xr:uid="{00000000-0005-0000-0000-00009B000000}"/>
    <cellStyle name="_대곡이설(투찰)_도덕-고흥도로(투찰)_합덕-신례원(2공구)투찰_경찰서-터미널간도로(투찰)②_마현생창(동양고속)_왜관-태평건설 2" xfId="1563" xr:uid="{00000000-0005-0000-0000-00001B060000}"/>
    <cellStyle name="_대곡이설(투찰)_도덕-고흥도로(투찰)_합덕-신례원(2공구)투찰_경찰서-터미널간도로(투찰)②_왜관-태평건설" xfId="156" xr:uid="{00000000-0005-0000-0000-00009C000000}"/>
    <cellStyle name="_대곡이설(투찰)_도덕-고흥도로(투찰)_합덕-신례원(2공구)투찰_경찰서-터미널간도로(투찰)②_왜관-태평건설 2" xfId="1564" xr:uid="{00000000-0005-0000-0000-00001C060000}"/>
    <cellStyle name="_대곡이설(투찰)_도덕-고흥도로(투찰)_합덕-신례원(2공구)투찰_마현생창(동양고속)" xfId="157" xr:uid="{00000000-0005-0000-0000-00009D000000}"/>
    <cellStyle name="_대곡이설(투찰)_도덕-고흥도로(투찰)_합덕-신례원(2공구)투찰_마현생창(동양고속) 2" xfId="1565" xr:uid="{00000000-0005-0000-0000-00001D060000}"/>
    <cellStyle name="_대곡이설(투찰)_도덕-고흥도로(투찰)_합덕-신례원(2공구)투찰_마현생창(동양고속)_왜관-태평건설" xfId="158" xr:uid="{00000000-0005-0000-0000-00009E000000}"/>
    <cellStyle name="_대곡이설(투찰)_도덕-고흥도로(투찰)_합덕-신례원(2공구)투찰_마현생창(동양고속)_왜관-태평건설 2" xfId="1566" xr:uid="{00000000-0005-0000-0000-00001E060000}"/>
    <cellStyle name="_대곡이설(투찰)_도덕-고흥도로(투찰)_합덕-신례원(2공구)투찰_봉무지방산업단지도로(투찰)②" xfId="159" xr:uid="{00000000-0005-0000-0000-00009F000000}"/>
    <cellStyle name="_대곡이설(투찰)_도덕-고흥도로(투찰)_합덕-신례원(2공구)투찰_봉무지방산업단지도로(투찰)② 2" xfId="1567" xr:uid="{00000000-0005-0000-0000-00001F060000}"/>
    <cellStyle name="_대곡이설(투찰)_도덕-고흥도로(투찰)_합덕-신례원(2공구)투찰_봉무지방산업단지도로(투찰)②_마현생창(동양고속)" xfId="160" xr:uid="{00000000-0005-0000-0000-0000A0000000}"/>
    <cellStyle name="_대곡이설(투찰)_도덕-고흥도로(투찰)_합덕-신례원(2공구)투찰_봉무지방산업단지도로(투찰)②_마현생창(동양고속) 2" xfId="1568" xr:uid="{00000000-0005-0000-0000-000020060000}"/>
    <cellStyle name="_대곡이설(투찰)_도덕-고흥도로(투찰)_합덕-신례원(2공구)투찰_봉무지방산업단지도로(투찰)②_마현생창(동양고속)_왜관-태평건설" xfId="161" xr:uid="{00000000-0005-0000-0000-0000A1000000}"/>
    <cellStyle name="_대곡이설(투찰)_도덕-고흥도로(투찰)_합덕-신례원(2공구)투찰_봉무지방산업단지도로(투찰)②_마현생창(동양고속)_왜관-태평건설 2" xfId="1569" xr:uid="{00000000-0005-0000-0000-000021060000}"/>
    <cellStyle name="_대곡이설(투찰)_도덕-고흥도로(투찰)_합덕-신례원(2공구)투찰_봉무지방산업단지도로(투찰)②_왜관-태평건설" xfId="162" xr:uid="{00000000-0005-0000-0000-0000A2000000}"/>
    <cellStyle name="_대곡이설(투찰)_도덕-고흥도로(투찰)_합덕-신례원(2공구)투찰_봉무지방산업단지도로(투찰)②_왜관-태평건설 2" xfId="1570" xr:uid="{00000000-0005-0000-0000-000022060000}"/>
    <cellStyle name="_대곡이설(투찰)_도덕-고흥도로(투찰)_합덕-신례원(2공구)투찰_봉무지방산업단지도로(투찰)②+0.250%" xfId="163" xr:uid="{00000000-0005-0000-0000-0000A3000000}"/>
    <cellStyle name="_대곡이설(투찰)_도덕-고흥도로(투찰)_합덕-신례원(2공구)투찰_봉무지방산업단지도로(투찰)②+0.250% 2" xfId="1571" xr:uid="{00000000-0005-0000-0000-000023060000}"/>
    <cellStyle name="_대곡이설(투찰)_도덕-고흥도로(투찰)_합덕-신례원(2공구)투찰_봉무지방산업단지도로(투찰)②+0.250%_마현생창(동양고속)" xfId="164" xr:uid="{00000000-0005-0000-0000-0000A4000000}"/>
    <cellStyle name="_대곡이설(투찰)_도덕-고흥도로(투찰)_합덕-신례원(2공구)투찰_봉무지방산업단지도로(투찰)②+0.250%_마현생창(동양고속) 2" xfId="1572" xr:uid="{00000000-0005-0000-0000-000024060000}"/>
    <cellStyle name="_대곡이설(투찰)_도덕-고흥도로(투찰)_합덕-신례원(2공구)투찰_봉무지방산업단지도로(투찰)②+0.250%_마현생창(동양고속)_왜관-태평건설" xfId="165" xr:uid="{00000000-0005-0000-0000-0000A5000000}"/>
    <cellStyle name="_대곡이설(투찰)_도덕-고흥도로(투찰)_합덕-신례원(2공구)투찰_봉무지방산업단지도로(투찰)②+0.250%_마현생창(동양고속)_왜관-태평건설 2" xfId="1573" xr:uid="{00000000-0005-0000-0000-000025060000}"/>
    <cellStyle name="_대곡이설(투찰)_도덕-고흥도로(투찰)_합덕-신례원(2공구)투찰_봉무지방산업단지도로(투찰)②+0.250%_왜관-태평건설" xfId="166" xr:uid="{00000000-0005-0000-0000-0000A6000000}"/>
    <cellStyle name="_대곡이설(투찰)_도덕-고흥도로(투찰)_합덕-신례원(2공구)투찰_봉무지방산업단지도로(투찰)②+0.250%_왜관-태평건설 2" xfId="1574" xr:uid="{00000000-0005-0000-0000-000026060000}"/>
    <cellStyle name="_대곡이설(투찰)_도덕-고흥도로(투찰)_합덕-신례원(2공구)투찰_왜관-태평건설" xfId="167" xr:uid="{00000000-0005-0000-0000-0000A7000000}"/>
    <cellStyle name="_대곡이설(투찰)_도덕-고흥도로(투찰)_합덕-신례원(2공구)투찰_왜관-태평건설 2" xfId="1575" xr:uid="{00000000-0005-0000-0000-000027060000}"/>
    <cellStyle name="_대곡이설(투찰)_도덕-고흥도로(투찰)_합덕-신례원(2공구)투찰_합덕-신례원(2공구)투찰" xfId="168" xr:uid="{00000000-0005-0000-0000-0000A8000000}"/>
    <cellStyle name="_대곡이설(투찰)_도덕-고흥도로(투찰)_합덕-신례원(2공구)투찰_합덕-신례원(2공구)투찰 2" xfId="1576" xr:uid="{00000000-0005-0000-0000-000028060000}"/>
    <cellStyle name="_대곡이설(투찰)_도덕-고흥도로(투찰)_합덕-신례원(2공구)투찰_합덕-신례원(2공구)투찰_경찰서-터미널간도로(투찰)②" xfId="169" xr:uid="{00000000-0005-0000-0000-0000A9000000}"/>
    <cellStyle name="_대곡이설(투찰)_도덕-고흥도로(투찰)_합덕-신례원(2공구)투찰_합덕-신례원(2공구)투찰_경찰서-터미널간도로(투찰)② 2" xfId="1577" xr:uid="{00000000-0005-0000-0000-000029060000}"/>
    <cellStyle name="_대곡이설(투찰)_도덕-고흥도로(투찰)_합덕-신례원(2공구)투찰_합덕-신례원(2공구)투찰_경찰서-터미널간도로(투찰)②_마현생창(동양고속)" xfId="170" xr:uid="{00000000-0005-0000-0000-0000AA000000}"/>
    <cellStyle name="_대곡이설(투찰)_도덕-고흥도로(투찰)_합덕-신례원(2공구)투찰_합덕-신례원(2공구)투찰_경찰서-터미널간도로(투찰)②_마현생창(동양고속) 2" xfId="1578" xr:uid="{00000000-0005-0000-0000-00002A060000}"/>
    <cellStyle name="_대곡이설(투찰)_도덕-고흥도로(투찰)_합덕-신례원(2공구)투찰_합덕-신례원(2공구)투찰_경찰서-터미널간도로(투찰)②_마현생창(동양고속)_왜관-태평건설" xfId="171" xr:uid="{00000000-0005-0000-0000-0000AB000000}"/>
    <cellStyle name="_대곡이설(투찰)_도덕-고흥도로(투찰)_합덕-신례원(2공구)투찰_합덕-신례원(2공구)투찰_경찰서-터미널간도로(투찰)②_마현생창(동양고속)_왜관-태평건설 2" xfId="1579" xr:uid="{00000000-0005-0000-0000-00002B060000}"/>
    <cellStyle name="_대곡이설(투찰)_도덕-고흥도로(투찰)_합덕-신례원(2공구)투찰_합덕-신례원(2공구)투찰_경찰서-터미널간도로(투찰)②_왜관-태평건설" xfId="172" xr:uid="{00000000-0005-0000-0000-0000AC000000}"/>
    <cellStyle name="_대곡이설(투찰)_도덕-고흥도로(투찰)_합덕-신례원(2공구)투찰_합덕-신례원(2공구)투찰_경찰서-터미널간도로(투찰)②_왜관-태평건설 2" xfId="1580" xr:uid="{00000000-0005-0000-0000-00002C060000}"/>
    <cellStyle name="_대곡이설(투찰)_도덕-고흥도로(투찰)_합덕-신례원(2공구)투찰_합덕-신례원(2공구)투찰_마현생창(동양고속)" xfId="173" xr:uid="{00000000-0005-0000-0000-0000AD000000}"/>
    <cellStyle name="_대곡이설(투찰)_도덕-고흥도로(투찰)_합덕-신례원(2공구)투찰_합덕-신례원(2공구)투찰_마현생창(동양고속) 2" xfId="1581" xr:uid="{00000000-0005-0000-0000-00002D060000}"/>
    <cellStyle name="_대곡이설(투찰)_도덕-고흥도로(투찰)_합덕-신례원(2공구)투찰_합덕-신례원(2공구)투찰_마현생창(동양고속)_왜관-태평건설" xfId="174" xr:uid="{00000000-0005-0000-0000-0000AE000000}"/>
    <cellStyle name="_대곡이설(투찰)_도덕-고흥도로(투찰)_합덕-신례원(2공구)투찰_합덕-신례원(2공구)투찰_마현생창(동양고속)_왜관-태평건설 2" xfId="1582" xr:uid="{00000000-0005-0000-0000-00002E060000}"/>
    <cellStyle name="_대곡이설(투찰)_도덕-고흥도로(투찰)_합덕-신례원(2공구)투찰_합덕-신례원(2공구)투찰_봉무지방산업단지도로(투찰)②" xfId="175" xr:uid="{00000000-0005-0000-0000-0000AF000000}"/>
    <cellStyle name="_대곡이설(투찰)_도덕-고흥도로(투찰)_합덕-신례원(2공구)투찰_합덕-신례원(2공구)투찰_봉무지방산업단지도로(투찰)② 2" xfId="1583" xr:uid="{00000000-0005-0000-0000-00002F060000}"/>
    <cellStyle name="_대곡이설(투찰)_도덕-고흥도로(투찰)_합덕-신례원(2공구)투찰_합덕-신례원(2공구)투찰_봉무지방산업단지도로(투찰)②_마현생창(동양고속)" xfId="176" xr:uid="{00000000-0005-0000-0000-0000B0000000}"/>
    <cellStyle name="_대곡이설(투찰)_도덕-고흥도로(투찰)_합덕-신례원(2공구)투찰_합덕-신례원(2공구)투찰_봉무지방산업단지도로(투찰)②_마현생창(동양고속) 2" xfId="1584" xr:uid="{00000000-0005-0000-0000-000030060000}"/>
    <cellStyle name="_대곡이설(투찰)_도덕-고흥도로(투찰)_합덕-신례원(2공구)투찰_합덕-신례원(2공구)투찰_봉무지방산업단지도로(투찰)②_마현생창(동양고속)_왜관-태평건설" xfId="177" xr:uid="{00000000-0005-0000-0000-0000B1000000}"/>
    <cellStyle name="_대곡이설(투찰)_도덕-고흥도로(투찰)_합덕-신례원(2공구)투찰_합덕-신례원(2공구)투찰_봉무지방산업단지도로(투찰)②_마현생창(동양고속)_왜관-태평건설 2" xfId="1585" xr:uid="{00000000-0005-0000-0000-000031060000}"/>
    <cellStyle name="_대곡이설(투찰)_도덕-고흥도로(투찰)_합덕-신례원(2공구)투찰_합덕-신례원(2공구)투찰_봉무지방산업단지도로(투찰)②_왜관-태평건설" xfId="178" xr:uid="{00000000-0005-0000-0000-0000B2000000}"/>
    <cellStyle name="_대곡이설(투찰)_도덕-고흥도로(투찰)_합덕-신례원(2공구)투찰_합덕-신례원(2공구)투찰_봉무지방산업단지도로(투찰)②_왜관-태평건설 2" xfId="1586" xr:uid="{00000000-0005-0000-0000-000032060000}"/>
    <cellStyle name="_대곡이설(투찰)_도덕-고흥도로(투찰)_합덕-신례원(2공구)투찰_합덕-신례원(2공구)투찰_봉무지방산업단지도로(투찰)②+0.250%" xfId="179" xr:uid="{00000000-0005-0000-0000-0000B3000000}"/>
    <cellStyle name="_대곡이설(투찰)_도덕-고흥도로(투찰)_합덕-신례원(2공구)투찰_합덕-신례원(2공구)투찰_봉무지방산업단지도로(투찰)②+0.250% 2" xfId="1587" xr:uid="{00000000-0005-0000-0000-000033060000}"/>
    <cellStyle name="_대곡이설(투찰)_도덕-고흥도로(투찰)_합덕-신례원(2공구)투찰_합덕-신례원(2공구)투찰_봉무지방산업단지도로(투찰)②+0.250%_마현생창(동양고속)" xfId="180" xr:uid="{00000000-0005-0000-0000-0000B4000000}"/>
    <cellStyle name="_대곡이설(투찰)_도덕-고흥도로(투찰)_합덕-신례원(2공구)투찰_합덕-신례원(2공구)투찰_봉무지방산업단지도로(투찰)②+0.250%_마현생창(동양고속) 2" xfId="1588" xr:uid="{00000000-0005-0000-0000-000034060000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5000000}"/>
    <cellStyle name="_대곡이설(투찰)_도덕-고흥도로(투찰)_합덕-신례원(2공구)투찰_합덕-신례원(2공구)투찰_봉무지방산업단지도로(투찰)②+0.250%_마현생창(동양고속)_왜관-태평건설 2" xfId="1589" xr:uid="{00000000-0005-0000-0000-000035060000}"/>
    <cellStyle name="_대곡이설(투찰)_도덕-고흥도로(투찰)_합덕-신례원(2공구)투찰_합덕-신례원(2공구)투찰_봉무지방산업단지도로(투찰)②+0.250%_왜관-태평건설" xfId="182" xr:uid="{00000000-0005-0000-0000-0000B6000000}"/>
    <cellStyle name="_대곡이설(투찰)_도덕-고흥도로(투찰)_합덕-신례원(2공구)투찰_합덕-신례원(2공구)투찰_봉무지방산업단지도로(투찰)②+0.250%_왜관-태평건설 2" xfId="1590" xr:uid="{00000000-0005-0000-0000-000036060000}"/>
    <cellStyle name="_대곡이설(투찰)_도덕-고흥도로(투찰)_합덕-신례원(2공구)투찰_합덕-신례원(2공구)투찰_왜관-태평건설" xfId="183" xr:uid="{00000000-0005-0000-0000-0000B7000000}"/>
    <cellStyle name="_대곡이설(투찰)_도덕-고흥도로(투찰)_합덕-신례원(2공구)투찰_합덕-신례원(2공구)투찰_왜관-태평건설 2" xfId="1591" xr:uid="{00000000-0005-0000-0000-000037060000}"/>
    <cellStyle name="_대곡이설(투찰)_마현생창(동양고속)" xfId="184" xr:uid="{00000000-0005-0000-0000-0000B8000000}"/>
    <cellStyle name="_대곡이설(투찰)_마현생창(동양고속) 2" xfId="1592" xr:uid="{00000000-0005-0000-0000-000038060000}"/>
    <cellStyle name="_대곡이설(투찰)_마현생창(동양고속)_왜관-태평건설" xfId="185" xr:uid="{00000000-0005-0000-0000-0000B9000000}"/>
    <cellStyle name="_대곡이설(투찰)_마현생창(동양고속)_왜관-태평건설 2" xfId="1593" xr:uid="{00000000-0005-0000-0000-000039060000}"/>
    <cellStyle name="_대곡이설(투찰)_봉무지방산업단지도로(투찰)②" xfId="186" xr:uid="{00000000-0005-0000-0000-0000BA000000}"/>
    <cellStyle name="_대곡이설(투찰)_봉무지방산업단지도로(투찰)② 2" xfId="1594" xr:uid="{00000000-0005-0000-0000-00003A060000}"/>
    <cellStyle name="_대곡이설(투찰)_봉무지방산업단지도로(투찰)②_마현생창(동양고속)" xfId="187" xr:uid="{00000000-0005-0000-0000-0000BB000000}"/>
    <cellStyle name="_대곡이설(투찰)_봉무지방산업단지도로(투찰)②_마현생창(동양고속) 2" xfId="1595" xr:uid="{00000000-0005-0000-0000-00003B060000}"/>
    <cellStyle name="_대곡이설(투찰)_봉무지방산업단지도로(투찰)②_마현생창(동양고속)_왜관-태평건설" xfId="188" xr:uid="{00000000-0005-0000-0000-0000BC000000}"/>
    <cellStyle name="_대곡이설(투찰)_봉무지방산업단지도로(투찰)②_마현생창(동양고속)_왜관-태평건설 2" xfId="1596" xr:uid="{00000000-0005-0000-0000-00003C060000}"/>
    <cellStyle name="_대곡이설(투찰)_봉무지방산업단지도로(투찰)②_왜관-태평건설" xfId="189" xr:uid="{00000000-0005-0000-0000-0000BD000000}"/>
    <cellStyle name="_대곡이설(투찰)_봉무지방산업단지도로(투찰)②_왜관-태평건설 2" xfId="1597" xr:uid="{00000000-0005-0000-0000-00003D060000}"/>
    <cellStyle name="_대곡이설(투찰)_봉무지방산업단지도로(투찰)②+0.250%" xfId="190" xr:uid="{00000000-0005-0000-0000-0000BE000000}"/>
    <cellStyle name="_대곡이설(투찰)_봉무지방산업단지도로(투찰)②+0.250% 2" xfId="1598" xr:uid="{00000000-0005-0000-0000-00003E060000}"/>
    <cellStyle name="_대곡이설(투찰)_봉무지방산업단지도로(투찰)②+0.250%_마현생창(동양고속)" xfId="191" xr:uid="{00000000-0005-0000-0000-0000BF000000}"/>
    <cellStyle name="_대곡이설(투찰)_봉무지방산업단지도로(투찰)②+0.250%_마현생창(동양고속) 2" xfId="1599" xr:uid="{00000000-0005-0000-0000-00003F060000}"/>
    <cellStyle name="_대곡이설(투찰)_봉무지방산업단지도로(투찰)②+0.250%_마현생창(동양고속)_왜관-태평건설" xfId="192" xr:uid="{00000000-0005-0000-0000-0000C0000000}"/>
    <cellStyle name="_대곡이설(투찰)_봉무지방산업단지도로(투찰)②+0.250%_마현생창(동양고속)_왜관-태평건설 2" xfId="1600" xr:uid="{00000000-0005-0000-0000-000040060000}"/>
    <cellStyle name="_대곡이설(투찰)_봉무지방산업단지도로(투찰)②+0.250%_왜관-태평건설" xfId="193" xr:uid="{00000000-0005-0000-0000-0000C1000000}"/>
    <cellStyle name="_대곡이설(투찰)_봉무지방산업단지도로(투찰)②+0.250%_왜관-태평건설 2" xfId="1601" xr:uid="{00000000-0005-0000-0000-000041060000}"/>
    <cellStyle name="_대곡이설(투찰)_안산부대(투찰)⑤" xfId="194" xr:uid="{00000000-0005-0000-0000-0000C2000000}"/>
    <cellStyle name="_대곡이설(투찰)_안산부대(투찰)⑤ 2" xfId="1602" xr:uid="{00000000-0005-0000-0000-000042060000}"/>
    <cellStyle name="_대곡이설(투찰)_안산부대(투찰)⑤_경찰서-터미널간도로(투찰)②" xfId="195" xr:uid="{00000000-0005-0000-0000-0000C3000000}"/>
    <cellStyle name="_대곡이설(투찰)_안산부대(투찰)⑤_경찰서-터미널간도로(투찰)② 2" xfId="1603" xr:uid="{00000000-0005-0000-0000-000043060000}"/>
    <cellStyle name="_대곡이설(투찰)_안산부대(투찰)⑤_경찰서-터미널간도로(투찰)②_마현생창(동양고속)" xfId="196" xr:uid="{00000000-0005-0000-0000-0000C4000000}"/>
    <cellStyle name="_대곡이설(투찰)_안산부대(투찰)⑤_경찰서-터미널간도로(투찰)②_마현생창(동양고속) 2" xfId="1604" xr:uid="{00000000-0005-0000-0000-000044060000}"/>
    <cellStyle name="_대곡이설(투찰)_안산부대(투찰)⑤_경찰서-터미널간도로(투찰)②_마현생창(동양고속)_왜관-태평건설" xfId="197" xr:uid="{00000000-0005-0000-0000-0000C5000000}"/>
    <cellStyle name="_대곡이설(투찰)_안산부대(투찰)⑤_경찰서-터미널간도로(투찰)②_마현생창(동양고속)_왜관-태평건설 2" xfId="1605" xr:uid="{00000000-0005-0000-0000-000045060000}"/>
    <cellStyle name="_대곡이설(투찰)_안산부대(투찰)⑤_경찰서-터미널간도로(투찰)②_왜관-태평건설" xfId="198" xr:uid="{00000000-0005-0000-0000-0000C6000000}"/>
    <cellStyle name="_대곡이설(투찰)_안산부대(투찰)⑤_경찰서-터미널간도로(투찰)②_왜관-태평건설 2" xfId="1606" xr:uid="{00000000-0005-0000-0000-000046060000}"/>
    <cellStyle name="_대곡이설(투찰)_안산부대(투찰)⑤_마현생창(동양고속)" xfId="199" xr:uid="{00000000-0005-0000-0000-0000C7000000}"/>
    <cellStyle name="_대곡이설(투찰)_안산부대(투찰)⑤_마현생창(동양고속) 2" xfId="1607" xr:uid="{00000000-0005-0000-0000-000047060000}"/>
    <cellStyle name="_대곡이설(투찰)_안산부대(투찰)⑤_마현생창(동양고속)_왜관-태평건설" xfId="200" xr:uid="{00000000-0005-0000-0000-0000C8000000}"/>
    <cellStyle name="_대곡이설(투찰)_안산부대(투찰)⑤_마현생창(동양고속)_왜관-태평건설 2" xfId="1608" xr:uid="{00000000-0005-0000-0000-000048060000}"/>
    <cellStyle name="_대곡이설(투찰)_안산부대(투찰)⑤_봉무지방산업단지도로(투찰)②" xfId="201" xr:uid="{00000000-0005-0000-0000-0000C9000000}"/>
    <cellStyle name="_대곡이설(투찰)_안산부대(투찰)⑤_봉무지방산업단지도로(투찰)② 2" xfId="1609" xr:uid="{00000000-0005-0000-0000-000049060000}"/>
    <cellStyle name="_대곡이설(투찰)_안산부대(투찰)⑤_봉무지방산업단지도로(투찰)②_마현생창(동양고속)" xfId="202" xr:uid="{00000000-0005-0000-0000-0000CA000000}"/>
    <cellStyle name="_대곡이설(투찰)_안산부대(투찰)⑤_봉무지방산업단지도로(투찰)②_마현생창(동양고속) 2" xfId="1610" xr:uid="{00000000-0005-0000-0000-00004A060000}"/>
    <cellStyle name="_대곡이설(투찰)_안산부대(투찰)⑤_봉무지방산업단지도로(투찰)②_마현생창(동양고속)_왜관-태평건설" xfId="203" xr:uid="{00000000-0005-0000-0000-0000CB000000}"/>
    <cellStyle name="_대곡이설(투찰)_안산부대(투찰)⑤_봉무지방산업단지도로(투찰)②_마현생창(동양고속)_왜관-태평건설 2" xfId="1611" xr:uid="{00000000-0005-0000-0000-00004B060000}"/>
    <cellStyle name="_대곡이설(투찰)_안산부대(투찰)⑤_봉무지방산업단지도로(투찰)②_왜관-태평건설" xfId="204" xr:uid="{00000000-0005-0000-0000-0000CC000000}"/>
    <cellStyle name="_대곡이설(투찰)_안산부대(투찰)⑤_봉무지방산업단지도로(투찰)②_왜관-태평건설 2" xfId="1612" xr:uid="{00000000-0005-0000-0000-00004C060000}"/>
    <cellStyle name="_대곡이설(투찰)_안산부대(투찰)⑤_봉무지방산업단지도로(투찰)②+0.250%" xfId="205" xr:uid="{00000000-0005-0000-0000-0000CD000000}"/>
    <cellStyle name="_대곡이설(투찰)_안산부대(투찰)⑤_봉무지방산업단지도로(투찰)②+0.250% 2" xfId="1613" xr:uid="{00000000-0005-0000-0000-00004D060000}"/>
    <cellStyle name="_대곡이설(투찰)_안산부대(투찰)⑤_봉무지방산업단지도로(투찰)②+0.250%_마현생창(동양고속)" xfId="206" xr:uid="{00000000-0005-0000-0000-0000CE000000}"/>
    <cellStyle name="_대곡이설(투찰)_안산부대(투찰)⑤_봉무지방산업단지도로(투찰)②+0.250%_마현생창(동양고속) 2" xfId="1614" xr:uid="{00000000-0005-0000-0000-00004E060000}"/>
    <cellStyle name="_대곡이설(투찰)_안산부대(투찰)⑤_봉무지방산업단지도로(투찰)②+0.250%_마현생창(동양고속)_왜관-태평건설" xfId="207" xr:uid="{00000000-0005-0000-0000-0000CF000000}"/>
    <cellStyle name="_대곡이설(투찰)_안산부대(투찰)⑤_봉무지방산업단지도로(투찰)②+0.250%_마현생창(동양고속)_왜관-태평건설 2" xfId="1615" xr:uid="{00000000-0005-0000-0000-00004F060000}"/>
    <cellStyle name="_대곡이설(투찰)_안산부대(투찰)⑤_봉무지방산업단지도로(투찰)②+0.250%_왜관-태평건설" xfId="208" xr:uid="{00000000-0005-0000-0000-0000D0000000}"/>
    <cellStyle name="_대곡이설(투찰)_안산부대(투찰)⑤_봉무지방산업단지도로(투찰)②+0.250%_왜관-태평건설 2" xfId="1616" xr:uid="{00000000-0005-0000-0000-000050060000}"/>
    <cellStyle name="_대곡이설(투찰)_안산부대(투찰)⑤_왜관-태평건설" xfId="209" xr:uid="{00000000-0005-0000-0000-0000D1000000}"/>
    <cellStyle name="_대곡이설(투찰)_안산부대(투찰)⑤_왜관-태평건설 2" xfId="1617" xr:uid="{00000000-0005-0000-0000-000051060000}"/>
    <cellStyle name="_대곡이설(투찰)_안산부대(투찰)⑤_합덕-신례원(2공구)투찰" xfId="210" xr:uid="{00000000-0005-0000-0000-0000D2000000}"/>
    <cellStyle name="_대곡이설(투찰)_안산부대(투찰)⑤_합덕-신례원(2공구)투찰 2" xfId="1618" xr:uid="{00000000-0005-0000-0000-000052060000}"/>
    <cellStyle name="_대곡이설(투찰)_안산부대(투찰)⑤_합덕-신례원(2공구)투찰_경찰서-터미널간도로(투찰)②" xfId="211" xr:uid="{00000000-0005-0000-0000-0000D3000000}"/>
    <cellStyle name="_대곡이설(투찰)_안산부대(투찰)⑤_합덕-신례원(2공구)투찰_경찰서-터미널간도로(투찰)② 2" xfId="1619" xr:uid="{00000000-0005-0000-0000-000053060000}"/>
    <cellStyle name="_대곡이설(투찰)_안산부대(투찰)⑤_합덕-신례원(2공구)투찰_경찰서-터미널간도로(투찰)②_마현생창(동양고속)" xfId="212" xr:uid="{00000000-0005-0000-0000-0000D4000000}"/>
    <cellStyle name="_대곡이설(투찰)_안산부대(투찰)⑤_합덕-신례원(2공구)투찰_경찰서-터미널간도로(투찰)②_마현생창(동양고속) 2" xfId="1620" xr:uid="{00000000-0005-0000-0000-000054060000}"/>
    <cellStyle name="_대곡이설(투찰)_안산부대(투찰)⑤_합덕-신례원(2공구)투찰_경찰서-터미널간도로(투찰)②_마현생창(동양고속)_왜관-태평건설" xfId="213" xr:uid="{00000000-0005-0000-0000-0000D5000000}"/>
    <cellStyle name="_대곡이설(투찰)_안산부대(투찰)⑤_합덕-신례원(2공구)투찰_경찰서-터미널간도로(투찰)②_마현생창(동양고속)_왜관-태평건설 2" xfId="1621" xr:uid="{00000000-0005-0000-0000-000055060000}"/>
    <cellStyle name="_대곡이설(투찰)_안산부대(투찰)⑤_합덕-신례원(2공구)투찰_경찰서-터미널간도로(투찰)②_왜관-태평건설" xfId="214" xr:uid="{00000000-0005-0000-0000-0000D6000000}"/>
    <cellStyle name="_대곡이설(투찰)_안산부대(투찰)⑤_합덕-신례원(2공구)투찰_경찰서-터미널간도로(투찰)②_왜관-태평건설 2" xfId="1622" xr:uid="{00000000-0005-0000-0000-000056060000}"/>
    <cellStyle name="_대곡이설(투찰)_안산부대(투찰)⑤_합덕-신례원(2공구)투찰_마현생창(동양고속)" xfId="215" xr:uid="{00000000-0005-0000-0000-0000D7000000}"/>
    <cellStyle name="_대곡이설(투찰)_안산부대(투찰)⑤_합덕-신례원(2공구)투찰_마현생창(동양고속) 2" xfId="1623" xr:uid="{00000000-0005-0000-0000-000057060000}"/>
    <cellStyle name="_대곡이설(투찰)_안산부대(투찰)⑤_합덕-신례원(2공구)투찰_마현생창(동양고속)_왜관-태평건설" xfId="216" xr:uid="{00000000-0005-0000-0000-0000D8000000}"/>
    <cellStyle name="_대곡이설(투찰)_안산부대(투찰)⑤_합덕-신례원(2공구)투찰_마현생창(동양고속)_왜관-태평건설 2" xfId="1624" xr:uid="{00000000-0005-0000-0000-000058060000}"/>
    <cellStyle name="_대곡이설(투찰)_안산부대(투찰)⑤_합덕-신례원(2공구)투찰_봉무지방산업단지도로(투찰)②" xfId="217" xr:uid="{00000000-0005-0000-0000-0000D9000000}"/>
    <cellStyle name="_대곡이설(투찰)_안산부대(투찰)⑤_합덕-신례원(2공구)투찰_봉무지방산업단지도로(투찰)② 2" xfId="1625" xr:uid="{00000000-0005-0000-0000-000059060000}"/>
    <cellStyle name="_대곡이설(투찰)_안산부대(투찰)⑤_합덕-신례원(2공구)투찰_봉무지방산업단지도로(투찰)②_마현생창(동양고속)" xfId="218" xr:uid="{00000000-0005-0000-0000-0000DA000000}"/>
    <cellStyle name="_대곡이설(투찰)_안산부대(투찰)⑤_합덕-신례원(2공구)투찰_봉무지방산업단지도로(투찰)②_마현생창(동양고속) 2" xfId="1626" xr:uid="{00000000-0005-0000-0000-00005A060000}"/>
    <cellStyle name="_대곡이설(투찰)_안산부대(투찰)⑤_합덕-신례원(2공구)투찰_봉무지방산업단지도로(투찰)②_마현생창(동양고속)_왜관-태평건설" xfId="219" xr:uid="{00000000-0005-0000-0000-0000DB000000}"/>
    <cellStyle name="_대곡이설(투찰)_안산부대(투찰)⑤_합덕-신례원(2공구)투찰_봉무지방산업단지도로(투찰)②_마현생창(동양고속)_왜관-태평건설 2" xfId="1627" xr:uid="{00000000-0005-0000-0000-00005B060000}"/>
    <cellStyle name="_대곡이설(투찰)_안산부대(투찰)⑤_합덕-신례원(2공구)투찰_봉무지방산업단지도로(투찰)②_왜관-태평건설" xfId="220" xr:uid="{00000000-0005-0000-0000-0000DC000000}"/>
    <cellStyle name="_대곡이설(투찰)_안산부대(투찰)⑤_합덕-신례원(2공구)투찰_봉무지방산업단지도로(투찰)②_왜관-태평건설 2" xfId="1628" xr:uid="{00000000-0005-0000-0000-00005C060000}"/>
    <cellStyle name="_대곡이설(투찰)_안산부대(투찰)⑤_합덕-신례원(2공구)투찰_봉무지방산업단지도로(투찰)②+0.250%" xfId="221" xr:uid="{00000000-0005-0000-0000-0000DD000000}"/>
    <cellStyle name="_대곡이설(투찰)_안산부대(투찰)⑤_합덕-신례원(2공구)투찰_봉무지방산업단지도로(투찰)②+0.250% 2" xfId="1629" xr:uid="{00000000-0005-0000-0000-00005D060000}"/>
    <cellStyle name="_대곡이설(투찰)_안산부대(투찰)⑤_합덕-신례원(2공구)투찰_봉무지방산업단지도로(투찰)②+0.250%_마현생창(동양고속)" xfId="222" xr:uid="{00000000-0005-0000-0000-0000DE000000}"/>
    <cellStyle name="_대곡이설(투찰)_안산부대(투찰)⑤_합덕-신례원(2공구)투찰_봉무지방산업단지도로(투찰)②+0.250%_마현생창(동양고속) 2" xfId="1630" xr:uid="{00000000-0005-0000-0000-00005E060000}"/>
    <cellStyle name="_대곡이설(투찰)_안산부대(투찰)⑤_합덕-신례원(2공구)투찰_봉무지방산업단지도로(투찰)②+0.250%_마현생창(동양고속)_왜관-태평건설" xfId="223" xr:uid="{00000000-0005-0000-0000-0000DF000000}"/>
    <cellStyle name="_대곡이설(투찰)_안산부대(투찰)⑤_합덕-신례원(2공구)투찰_봉무지방산업단지도로(투찰)②+0.250%_마현생창(동양고속)_왜관-태평건설 2" xfId="1631" xr:uid="{00000000-0005-0000-0000-00005F060000}"/>
    <cellStyle name="_대곡이설(투찰)_안산부대(투찰)⑤_합덕-신례원(2공구)투찰_봉무지방산업단지도로(투찰)②+0.250%_왜관-태평건설" xfId="224" xr:uid="{00000000-0005-0000-0000-0000E0000000}"/>
    <cellStyle name="_대곡이설(투찰)_안산부대(투찰)⑤_합덕-신례원(2공구)투찰_봉무지방산업단지도로(투찰)②+0.250%_왜관-태평건설 2" xfId="1632" xr:uid="{00000000-0005-0000-0000-000060060000}"/>
    <cellStyle name="_대곡이설(투찰)_안산부대(투찰)⑤_합덕-신례원(2공구)투찰_왜관-태평건설" xfId="225" xr:uid="{00000000-0005-0000-0000-0000E1000000}"/>
    <cellStyle name="_대곡이설(투찰)_안산부대(투찰)⑤_합덕-신례원(2공구)투찰_왜관-태평건설 2" xfId="1633" xr:uid="{00000000-0005-0000-0000-000061060000}"/>
    <cellStyle name="_대곡이설(투찰)_안산부대(투찰)⑤_합덕-신례원(2공구)투찰_합덕-신례원(2공구)투찰" xfId="226" xr:uid="{00000000-0005-0000-0000-0000E2000000}"/>
    <cellStyle name="_대곡이설(투찰)_안산부대(투찰)⑤_합덕-신례원(2공구)투찰_합덕-신례원(2공구)투찰 2" xfId="1634" xr:uid="{00000000-0005-0000-0000-000062060000}"/>
    <cellStyle name="_대곡이설(투찰)_안산부대(투찰)⑤_합덕-신례원(2공구)투찰_합덕-신례원(2공구)투찰_경찰서-터미널간도로(투찰)②" xfId="227" xr:uid="{00000000-0005-0000-0000-0000E3000000}"/>
    <cellStyle name="_대곡이설(투찰)_안산부대(투찰)⑤_합덕-신례원(2공구)투찰_합덕-신례원(2공구)투찰_경찰서-터미널간도로(투찰)② 2" xfId="1635" xr:uid="{00000000-0005-0000-0000-000063060000}"/>
    <cellStyle name="_대곡이설(투찰)_안산부대(투찰)⑤_합덕-신례원(2공구)투찰_합덕-신례원(2공구)투찰_경찰서-터미널간도로(투찰)②_마현생창(동양고속)" xfId="228" xr:uid="{00000000-0005-0000-0000-0000E4000000}"/>
    <cellStyle name="_대곡이설(투찰)_안산부대(투찰)⑤_합덕-신례원(2공구)투찰_합덕-신례원(2공구)투찰_경찰서-터미널간도로(투찰)②_마현생창(동양고속) 2" xfId="1636" xr:uid="{00000000-0005-0000-0000-000064060000}"/>
    <cellStyle name="_대곡이설(투찰)_안산부대(투찰)⑤_합덕-신례원(2공구)투찰_합덕-신례원(2공구)투찰_경찰서-터미널간도로(투찰)②_마현생창(동양고속)_왜관-태평건설" xfId="229" xr:uid="{00000000-0005-0000-0000-0000E5000000}"/>
    <cellStyle name="_대곡이설(투찰)_안산부대(투찰)⑤_합덕-신례원(2공구)투찰_합덕-신례원(2공구)투찰_경찰서-터미널간도로(투찰)②_마현생창(동양고속)_왜관-태평건설 2" xfId="1637" xr:uid="{00000000-0005-0000-0000-000065060000}"/>
    <cellStyle name="_대곡이설(투찰)_안산부대(투찰)⑤_합덕-신례원(2공구)투찰_합덕-신례원(2공구)투찰_경찰서-터미널간도로(투찰)②_왜관-태평건설" xfId="230" xr:uid="{00000000-0005-0000-0000-0000E6000000}"/>
    <cellStyle name="_대곡이설(투찰)_안산부대(투찰)⑤_합덕-신례원(2공구)투찰_합덕-신례원(2공구)투찰_경찰서-터미널간도로(투찰)②_왜관-태평건설 2" xfId="1638" xr:uid="{00000000-0005-0000-0000-000066060000}"/>
    <cellStyle name="_대곡이설(투찰)_안산부대(투찰)⑤_합덕-신례원(2공구)투찰_합덕-신례원(2공구)투찰_마현생창(동양고속)" xfId="231" xr:uid="{00000000-0005-0000-0000-0000E7000000}"/>
    <cellStyle name="_대곡이설(투찰)_안산부대(투찰)⑤_합덕-신례원(2공구)투찰_합덕-신례원(2공구)투찰_마현생창(동양고속) 2" xfId="1639" xr:uid="{00000000-0005-0000-0000-000067060000}"/>
    <cellStyle name="_대곡이설(투찰)_안산부대(투찰)⑤_합덕-신례원(2공구)투찰_합덕-신례원(2공구)투찰_마현생창(동양고속)_왜관-태평건설" xfId="232" xr:uid="{00000000-0005-0000-0000-0000E8000000}"/>
    <cellStyle name="_대곡이설(투찰)_안산부대(투찰)⑤_합덕-신례원(2공구)투찰_합덕-신례원(2공구)투찰_마현생창(동양고속)_왜관-태평건설 2" xfId="1640" xr:uid="{00000000-0005-0000-0000-000068060000}"/>
    <cellStyle name="_대곡이설(투찰)_안산부대(투찰)⑤_합덕-신례원(2공구)투찰_합덕-신례원(2공구)투찰_봉무지방산업단지도로(투찰)②" xfId="233" xr:uid="{00000000-0005-0000-0000-0000E9000000}"/>
    <cellStyle name="_대곡이설(투찰)_안산부대(투찰)⑤_합덕-신례원(2공구)투찰_합덕-신례원(2공구)투찰_봉무지방산업단지도로(투찰)② 2" xfId="1641" xr:uid="{00000000-0005-0000-0000-000069060000}"/>
    <cellStyle name="_대곡이설(투찰)_안산부대(투찰)⑤_합덕-신례원(2공구)투찰_합덕-신례원(2공구)투찰_봉무지방산업단지도로(투찰)②_마현생창(동양고속)" xfId="234" xr:uid="{00000000-0005-0000-0000-0000EA000000}"/>
    <cellStyle name="_대곡이설(투찰)_안산부대(투찰)⑤_합덕-신례원(2공구)투찰_합덕-신례원(2공구)투찰_봉무지방산업단지도로(투찰)②_마현생창(동양고속) 2" xfId="1642" xr:uid="{00000000-0005-0000-0000-00006A060000}"/>
    <cellStyle name="_대곡이설(투찰)_안산부대(투찰)⑤_합덕-신례원(2공구)투찰_합덕-신례원(2공구)투찰_봉무지방산업단지도로(투찰)②_마현생창(동양고속)_왜관-태평건설" xfId="235" xr:uid="{00000000-0005-0000-0000-0000EB000000}"/>
    <cellStyle name="_대곡이설(투찰)_안산부대(투찰)⑤_합덕-신례원(2공구)투찰_합덕-신례원(2공구)투찰_봉무지방산업단지도로(투찰)②_마현생창(동양고속)_왜관-태평건설 2" xfId="1643" xr:uid="{00000000-0005-0000-0000-00006B060000}"/>
    <cellStyle name="_대곡이설(투찰)_안산부대(투찰)⑤_합덕-신례원(2공구)투찰_합덕-신례원(2공구)투찰_봉무지방산업단지도로(투찰)②_왜관-태평건설" xfId="236" xr:uid="{00000000-0005-0000-0000-0000EC000000}"/>
    <cellStyle name="_대곡이설(투찰)_안산부대(투찰)⑤_합덕-신례원(2공구)투찰_합덕-신례원(2공구)투찰_봉무지방산업단지도로(투찰)②_왜관-태평건설 2" xfId="1644" xr:uid="{00000000-0005-0000-0000-00006C060000}"/>
    <cellStyle name="_대곡이설(투찰)_안산부대(투찰)⑤_합덕-신례원(2공구)투찰_합덕-신례원(2공구)투찰_봉무지방산업단지도로(투찰)②+0.250%" xfId="237" xr:uid="{00000000-0005-0000-0000-0000ED000000}"/>
    <cellStyle name="_대곡이설(투찰)_안산부대(투찰)⑤_합덕-신례원(2공구)투찰_합덕-신례원(2공구)투찰_봉무지방산업단지도로(투찰)②+0.250% 2" xfId="1645" xr:uid="{00000000-0005-0000-0000-00006D060000}"/>
    <cellStyle name="_대곡이설(투찰)_안산부대(투찰)⑤_합덕-신례원(2공구)투찰_합덕-신례원(2공구)투찰_봉무지방산업단지도로(투찰)②+0.250%_마현생창(동양고속)" xfId="238" xr:uid="{00000000-0005-0000-0000-0000EE000000}"/>
    <cellStyle name="_대곡이설(투찰)_안산부대(투찰)⑤_합덕-신례원(2공구)투찰_합덕-신례원(2공구)투찰_봉무지방산업단지도로(투찰)②+0.250%_마현생창(동양고속) 2" xfId="1646" xr:uid="{00000000-0005-0000-0000-00006E06000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F000000}"/>
    <cellStyle name="_대곡이설(투찰)_안산부대(투찰)⑤_합덕-신례원(2공구)투찰_합덕-신례원(2공구)투찰_봉무지방산업단지도로(투찰)②+0.250%_마현생창(동양고속)_왜관-태평건설 2" xfId="1647" xr:uid="{00000000-0005-0000-0000-00006F060000}"/>
    <cellStyle name="_대곡이설(투찰)_안산부대(투찰)⑤_합덕-신례원(2공구)투찰_합덕-신례원(2공구)투찰_봉무지방산업단지도로(투찰)②+0.250%_왜관-태평건설" xfId="240" xr:uid="{00000000-0005-0000-0000-0000F0000000}"/>
    <cellStyle name="_대곡이설(투찰)_안산부대(투찰)⑤_합덕-신례원(2공구)투찰_합덕-신례원(2공구)투찰_봉무지방산업단지도로(투찰)②+0.250%_왜관-태평건설 2" xfId="1648" xr:uid="{00000000-0005-0000-0000-000070060000}"/>
    <cellStyle name="_대곡이설(투찰)_안산부대(투찰)⑤_합덕-신례원(2공구)투찰_합덕-신례원(2공구)투찰_왜관-태평건설" xfId="241" xr:uid="{00000000-0005-0000-0000-0000F1000000}"/>
    <cellStyle name="_대곡이설(투찰)_안산부대(투찰)⑤_합덕-신례원(2공구)투찰_합덕-신례원(2공구)투찰_왜관-태평건설 2" xfId="1649" xr:uid="{00000000-0005-0000-0000-000071060000}"/>
    <cellStyle name="_대곡이설(투찰)_양곡부두(투찰)-0.31%" xfId="242" xr:uid="{00000000-0005-0000-0000-0000F2000000}"/>
    <cellStyle name="_대곡이설(투찰)_양곡부두(투찰)-0.31% 2" xfId="1650" xr:uid="{00000000-0005-0000-0000-000072060000}"/>
    <cellStyle name="_대곡이설(투찰)_양곡부두(투찰)-0.31%_경찰서-터미널간도로(투찰)②" xfId="243" xr:uid="{00000000-0005-0000-0000-0000F3000000}"/>
    <cellStyle name="_대곡이설(투찰)_양곡부두(투찰)-0.31%_경찰서-터미널간도로(투찰)② 2" xfId="1651" xr:uid="{00000000-0005-0000-0000-000073060000}"/>
    <cellStyle name="_대곡이설(투찰)_양곡부두(투찰)-0.31%_경찰서-터미널간도로(투찰)②_마현생창(동양고속)" xfId="244" xr:uid="{00000000-0005-0000-0000-0000F4000000}"/>
    <cellStyle name="_대곡이설(투찰)_양곡부두(투찰)-0.31%_경찰서-터미널간도로(투찰)②_마현생창(동양고속) 2" xfId="1652" xr:uid="{00000000-0005-0000-0000-000074060000}"/>
    <cellStyle name="_대곡이설(투찰)_양곡부두(투찰)-0.31%_경찰서-터미널간도로(투찰)②_마현생창(동양고속)_왜관-태평건설" xfId="245" xr:uid="{00000000-0005-0000-0000-0000F5000000}"/>
    <cellStyle name="_대곡이설(투찰)_양곡부두(투찰)-0.31%_경찰서-터미널간도로(투찰)②_마현생창(동양고속)_왜관-태평건설 2" xfId="1653" xr:uid="{00000000-0005-0000-0000-000075060000}"/>
    <cellStyle name="_대곡이설(투찰)_양곡부두(투찰)-0.31%_경찰서-터미널간도로(투찰)②_왜관-태평건설" xfId="246" xr:uid="{00000000-0005-0000-0000-0000F6000000}"/>
    <cellStyle name="_대곡이설(투찰)_양곡부두(투찰)-0.31%_경찰서-터미널간도로(투찰)②_왜관-태평건설 2" xfId="1654" xr:uid="{00000000-0005-0000-0000-000076060000}"/>
    <cellStyle name="_대곡이설(투찰)_양곡부두(투찰)-0.31%_마현생창(동양고속)" xfId="247" xr:uid="{00000000-0005-0000-0000-0000F7000000}"/>
    <cellStyle name="_대곡이설(투찰)_양곡부두(투찰)-0.31%_마현생창(동양고속) 2" xfId="1655" xr:uid="{00000000-0005-0000-0000-000077060000}"/>
    <cellStyle name="_대곡이설(투찰)_양곡부두(투찰)-0.31%_마현생창(동양고속)_왜관-태평건설" xfId="248" xr:uid="{00000000-0005-0000-0000-0000F8000000}"/>
    <cellStyle name="_대곡이설(투찰)_양곡부두(투찰)-0.31%_마현생창(동양고속)_왜관-태평건설 2" xfId="1656" xr:uid="{00000000-0005-0000-0000-000078060000}"/>
    <cellStyle name="_대곡이설(투찰)_양곡부두(투찰)-0.31%_봉무지방산업단지도로(투찰)②" xfId="249" xr:uid="{00000000-0005-0000-0000-0000F9000000}"/>
    <cellStyle name="_대곡이설(투찰)_양곡부두(투찰)-0.31%_봉무지방산업단지도로(투찰)② 2" xfId="1657" xr:uid="{00000000-0005-0000-0000-000079060000}"/>
    <cellStyle name="_대곡이설(투찰)_양곡부두(투찰)-0.31%_봉무지방산업단지도로(투찰)②_마현생창(동양고속)" xfId="250" xr:uid="{00000000-0005-0000-0000-0000FA000000}"/>
    <cellStyle name="_대곡이설(투찰)_양곡부두(투찰)-0.31%_봉무지방산업단지도로(투찰)②_마현생창(동양고속) 2" xfId="1658" xr:uid="{00000000-0005-0000-0000-00007A060000}"/>
    <cellStyle name="_대곡이설(투찰)_양곡부두(투찰)-0.31%_봉무지방산업단지도로(투찰)②_마현생창(동양고속)_왜관-태평건설" xfId="251" xr:uid="{00000000-0005-0000-0000-0000FB000000}"/>
    <cellStyle name="_대곡이설(투찰)_양곡부두(투찰)-0.31%_봉무지방산업단지도로(투찰)②_마현생창(동양고속)_왜관-태평건설 2" xfId="1659" xr:uid="{00000000-0005-0000-0000-00007B060000}"/>
    <cellStyle name="_대곡이설(투찰)_양곡부두(투찰)-0.31%_봉무지방산업단지도로(투찰)②_왜관-태평건설" xfId="252" xr:uid="{00000000-0005-0000-0000-0000FC000000}"/>
    <cellStyle name="_대곡이설(투찰)_양곡부두(투찰)-0.31%_봉무지방산업단지도로(투찰)②_왜관-태평건설 2" xfId="1660" xr:uid="{00000000-0005-0000-0000-00007C060000}"/>
    <cellStyle name="_대곡이설(투찰)_양곡부두(투찰)-0.31%_봉무지방산업단지도로(투찰)②+0.250%" xfId="253" xr:uid="{00000000-0005-0000-0000-0000FD000000}"/>
    <cellStyle name="_대곡이설(투찰)_양곡부두(투찰)-0.31%_봉무지방산업단지도로(투찰)②+0.250% 2" xfId="1661" xr:uid="{00000000-0005-0000-0000-00007D060000}"/>
    <cellStyle name="_대곡이설(투찰)_양곡부두(투찰)-0.31%_봉무지방산업단지도로(투찰)②+0.250%_마현생창(동양고속)" xfId="254" xr:uid="{00000000-0005-0000-0000-0000FE000000}"/>
    <cellStyle name="_대곡이설(투찰)_양곡부두(투찰)-0.31%_봉무지방산업단지도로(투찰)②+0.250%_마현생창(동양고속) 2" xfId="1662" xr:uid="{00000000-0005-0000-0000-00007E060000}"/>
    <cellStyle name="_대곡이설(투찰)_양곡부두(투찰)-0.31%_봉무지방산업단지도로(투찰)②+0.250%_마현생창(동양고속)_왜관-태평건설" xfId="255" xr:uid="{00000000-0005-0000-0000-0000FF000000}"/>
    <cellStyle name="_대곡이설(투찰)_양곡부두(투찰)-0.31%_봉무지방산업단지도로(투찰)②+0.250%_마현생창(동양고속)_왜관-태평건설 2" xfId="1663" xr:uid="{00000000-0005-0000-0000-00007F060000}"/>
    <cellStyle name="_대곡이설(투찰)_양곡부두(투찰)-0.31%_봉무지방산업단지도로(투찰)②+0.250%_왜관-태평건설" xfId="256" xr:uid="{00000000-0005-0000-0000-000000010000}"/>
    <cellStyle name="_대곡이설(투찰)_양곡부두(투찰)-0.31%_봉무지방산업단지도로(투찰)②+0.250%_왜관-태평건설 2" xfId="1664" xr:uid="{00000000-0005-0000-0000-000080060000}"/>
    <cellStyle name="_대곡이설(투찰)_양곡부두(투찰)-0.31%_왜관-태평건설" xfId="257" xr:uid="{00000000-0005-0000-0000-000001010000}"/>
    <cellStyle name="_대곡이설(투찰)_양곡부두(투찰)-0.31%_왜관-태평건설 2" xfId="1665" xr:uid="{00000000-0005-0000-0000-000081060000}"/>
    <cellStyle name="_대곡이설(투찰)_양곡부두(투찰)-0.31%_합덕-신례원(2공구)투찰" xfId="258" xr:uid="{00000000-0005-0000-0000-000002010000}"/>
    <cellStyle name="_대곡이설(투찰)_양곡부두(투찰)-0.31%_합덕-신례원(2공구)투찰 2" xfId="1666" xr:uid="{00000000-0005-0000-0000-000082060000}"/>
    <cellStyle name="_대곡이설(투찰)_양곡부두(투찰)-0.31%_합덕-신례원(2공구)투찰_경찰서-터미널간도로(투찰)②" xfId="259" xr:uid="{00000000-0005-0000-0000-000003010000}"/>
    <cellStyle name="_대곡이설(투찰)_양곡부두(투찰)-0.31%_합덕-신례원(2공구)투찰_경찰서-터미널간도로(투찰)② 2" xfId="1667" xr:uid="{00000000-0005-0000-0000-000083060000}"/>
    <cellStyle name="_대곡이설(투찰)_양곡부두(투찰)-0.31%_합덕-신례원(2공구)투찰_경찰서-터미널간도로(투찰)②_마현생창(동양고속)" xfId="260" xr:uid="{00000000-0005-0000-0000-000004010000}"/>
    <cellStyle name="_대곡이설(투찰)_양곡부두(투찰)-0.31%_합덕-신례원(2공구)투찰_경찰서-터미널간도로(투찰)②_마현생창(동양고속) 2" xfId="1668" xr:uid="{00000000-0005-0000-0000-000084060000}"/>
    <cellStyle name="_대곡이설(투찰)_양곡부두(투찰)-0.31%_합덕-신례원(2공구)투찰_경찰서-터미널간도로(투찰)②_마현생창(동양고속)_왜관-태평건설" xfId="261" xr:uid="{00000000-0005-0000-0000-000005010000}"/>
    <cellStyle name="_대곡이설(투찰)_양곡부두(투찰)-0.31%_합덕-신례원(2공구)투찰_경찰서-터미널간도로(투찰)②_마현생창(동양고속)_왜관-태평건설 2" xfId="1669" xr:uid="{00000000-0005-0000-0000-000085060000}"/>
    <cellStyle name="_대곡이설(투찰)_양곡부두(투찰)-0.31%_합덕-신례원(2공구)투찰_경찰서-터미널간도로(투찰)②_왜관-태평건설" xfId="262" xr:uid="{00000000-0005-0000-0000-000006010000}"/>
    <cellStyle name="_대곡이설(투찰)_양곡부두(투찰)-0.31%_합덕-신례원(2공구)투찰_경찰서-터미널간도로(투찰)②_왜관-태평건설 2" xfId="1670" xr:uid="{00000000-0005-0000-0000-000086060000}"/>
    <cellStyle name="_대곡이설(투찰)_양곡부두(투찰)-0.31%_합덕-신례원(2공구)투찰_마현생창(동양고속)" xfId="263" xr:uid="{00000000-0005-0000-0000-000007010000}"/>
    <cellStyle name="_대곡이설(투찰)_양곡부두(투찰)-0.31%_합덕-신례원(2공구)투찰_마현생창(동양고속) 2" xfId="1671" xr:uid="{00000000-0005-0000-0000-000087060000}"/>
    <cellStyle name="_대곡이설(투찰)_양곡부두(투찰)-0.31%_합덕-신례원(2공구)투찰_마현생창(동양고속)_왜관-태평건설" xfId="264" xr:uid="{00000000-0005-0000-0000-000008010000}"/>
    <cellStyle name="_대곡이설(투찰)_양곡부두(투찰)-0.31%_합덕-신례원(2공구)투찰_마현생창(동양고속)_왜관-태평건설 2" xfId="1672" xr:uid="{00000000-0005-0000-0000-000088060000}"/>
    <cellStyle name="_대곡이설(투찰)_양곡부두(투찰)-0.31%_합덕-신례원(2공구)투찰_봉무지방산업단지도로(투찰)②" xfId="265" xr:uid="{00000000-0005-0000-0000-000009010000}"/>
    <cellStyle name="_대곡이설(투찰)_양곡부두(투찰)-0.31%_합덕-신례원(2공구)투찰_봉무지방산업단지도로(투찰)② 2" xfId="1673" xr:uid="{00000000-0005-0000-0000-000089060000}"/>
    <cellStyle name="_대곡이설(투찰)_양곡부두(투찰)-0.31%_합덕-신례원(2공구)투찰_봉무지방산업단지도로(투찰)②_마현생창(동양고속)" xfId="266" xr:uid="{00000000-0005-0000-0000-00000A010000}"/>
    <cellStyle name="_대곡이설(투찰)_양곡부두(투찰)-0.31%_합덕-신례원(2공구)투찰_봉무지방산업단지도로(투찰)②_마현생창(동양고속) 2" xfId="1674" xr:uid="{00000000-0005-0000-0000-00008A060000}"/>
    <cellStyle name="_대곡이설(투찰)_양곡부두(투찰)-0.31%_합덕-신례원(2공구)투찰_봉무지방산업단지도로(투찰)②_마현생창(동양고속)_왜관-태평건설" xfId="267" xr:uid="{00000000-0005-0000-0000-00000B010000}"/>
    <cellStyle name="_대곡이설(투찰)_양곡부두(투찰)-0.31%_합덕-신례원(2공구)투찰_봉무지방산업단지도로(투찰)②_마현생창(동양고속)_왜관-태평건설 2" xfId="1675" xr:uid="{00000000-0005-0000-0000-00008B060000}"/>
    <cellStyle name="_대곡이설(투찰)_양곡부두(투찰)-0.31%_합덕-신례원(2공구)투찰_봉무지방산업단지도로(투찰)②_왜관-태평건설" xfId="268" xr:uid="{00000000-0005-0000-0000-00000C010000}"/>
    <cellStyle name="_대곡이설(투찰)_양곡부두(투찰)-0.31%_합덕-신례원(2공구)투찰_봉무지방산업단지도로(투찰)②_왜관-태평건설 2" xfId="1676" xr:uid="{00000000-0005-0000-0000-00008C060000}"/>
    <cellStyle name="_대곡이설(투찰)_양곡부두(투찰)-0.31%_합덕-신례원(2공구)투찰_봉무지방산업단지도로(투찰)②+0.250%" xfId="269" xr:uid="{00000000-0005-0000-0000-00000D010000}"/>
    <cellStyle name="_대곡이설(투찰)_양곡부두(투찰)-0.31%_합덕-신례원(2공구)투찰_봉무지방산업단지도로(투찰)②+0.250% 2" xfId="1677" xr:uid="{00000000-0005-0000-0000-00008D060000}"/>
    <cellStyle name="_대곡이설(투찰)_양곡부두(투찰)-0.31%_합덕-신례원(2공구)투찰_봉무지방산업단지도로(투찰)②+0.250%_마현생창(동양고속)" xfId="270" xr:uid="{00000000-0005-0000-0000-00000E010000}"/>
    <cellStyle name="_대곡이설(투찰)_양곡부두(투찰)-0.31%_합덕-신례원(2공구)투찰_봉무지방산업단지도로(투찰)②+0.250%_마현생창(동양고속) 2" xfId="1678" xr:uid="{00000000-0005-0000-0000-00008E060000}"/>
    <cellStyle name="_대곡이설(투찰)_양곡부두(투찰)-0.31%_합덕-신례원(2공구)투찰_봉무지방산업단지도로(투찰)②+0.250%_마현생창(동양고속)_왜관-태평건설" xfId="271" xr:uid="{00000000-0005-0000-0000-00000F010000}"/>
    <cellStyle name="_대곡이설(투찰)_양곡부두(투찰)-0.31%_합덕-신례원(2공구)투찰_봉무지방산업단지도로(투찰)②+0.250%_마현생창(동양고속)_왜관-태평건설 2" xfId="1679" xr:uid="{00000000-0005-0000-0000-00008F060000}"/>
    <cellStyle name="_대곡이설(투찰)_양곡부두(투찰)-0.31%_합덕-신례원(2공구)투찰_봉무지방산업단지도로(투찰)②+0.250%_왜관-태평건설" xfId="272" xr:uid="{00000000-0005-0000-0000-000010010000}"/>
    <cellStyle name="_대곡이설(투찰)_양곡부두(투찰)-0.31%_합덕-신례원(2공구)투찰_봉무지방산업단지도로(투찰)②+0.250%_왜관-태평건설 2" xfId="1680" xr:uid="{00000000-0005-0000-0000-000090060000}"/>
    <cellStyle name="_대곡이설(투찰)_양곡부두(투찰)-0.31%_합덕-신례원(2공구)투찰_왜관-태평건설" xfId="273" xr:uid="{00000000-0005-0000-0000-000011010000}"/>
    <cellStyle name="_대곡이설(투찰)_양곡부두(투찰)-0.31%_합덕-신례원(2공구)투찰_왜관-태평건설 2" xfId="1681" xr:uid="{00000000-0005-0000-0000-000091060000}"/>
    <cellStyle name="_대곡이설(투찰)_양곡부두(투찰)-0.31%_합덕-신례원(2공구)투찰_합덕-신례원(2공구)투찰" xfId="274" xr:uid="{00000000-0005-0000-0000-000012010000}"/>
    <cellStyle name="_대곡이설(투찰)_양곡부두(투찰)-0.31%_합덕-신례원(2공구)투찰_합덕-신례원(2공구)투찰 2" xfId="1682" xr:uid="{00000000-0005-0000-0000-000092060000}"/>
    <cellStyle name="_대곡이설(투찰)_양곡부두(투찰)-0.31%_합덕-신례원(2공구)투찰_합덕-신례원(2공구)투찰_경찰서-터미널간도로(투찰)②" xfId="275" xr:uid="{00000000-0005-0000-0000-000013010000}"/>
    <cellStyle name="_대곡이설(투찰)_양곡부두(투찰)-0.31%_합덕-신례원(2공구)투찰_합덕-신례원(2공구)투찰_경찰서-터미널간도로(투찰)② 2" xfId="1683" xr:uid="{00000000-0005-0000-0000-000093060000}"/>
    <cellStyle name="_대곡이설(투찰)_양곡부두(투찰)-0.31%_합덕-신례원(2공구)투찰_합덕-신례원(2공구)투찰_경찰서-터미널간도로(투찰)②_마현생창(동양고속)" xfId="276" xr:uid="{00000000-0005-0000-0000-000014010000}"/>
    <cellStyle name="_대곡이설(투찰)_양곡부두(투찰)-0.31%_합덕-신례원(2공구)투찰_합덕-신례원(2공구)투찰_경찰서-터미널간도로(투찰)②_마현생창(동양고속) 2" xfId="1684" xr:uid="{00000000-0005-0000-0000-000094060000}"/>
    <cellStyle name="_대곡이설(투찰)_양곡부두(투찰)-0.31%_합덕-신례원(2공구)투찰_합덕-신례원(2공구)투찰_경찰서-터미널간도로(투찰)②_마현생창(동양고속)_왜관-태평건설" xfId="277" xr:uid="{00000000-0005-0000-0000-000015010000}"/>
    <cellStyle name="_대곡이설(투찰)_양곡부두(투찰)-0.31%_합덕-신례원(2공구)투찰_합덕-신례원(2공구)투찰_경찰서-터미널간도로(투찰)②_마현생창(동양고속)_왜관-태평건설 2" xfId="1685" xr:uid="{00000000-0005-0000-0000-000095060000}"/>
    <cellStyle name="_대곡이설(투찰)_양곡부두(투찰)-0.31%_합덕-신례원(2공구)투찰_합덕-신례원(2공구)투찰_경찰서-터미널간도로(투찰)②_왜관-태평건설" xfId="278" xr:uid="{00000000-0005-0000-0000-000016010000}"/>
    <cellStyle name="_대곡이설(투찰)_양곡부두(투찰)-0.31%_합덕-신례원(2공구)투찰_합덕-신례원(2공구)투찰_경찰서-터미널간도로(투찰)②_왜관-태평건설 2" xfId="1686" xr:uid="{00000000-0005-0000-0000-000096060000}"/>
    <cellStyle name="_대곡이설(투찰)_양곡부두(투찰)-0.31%_합덕-신례원(2공구)투찰_합덕-신례원(2공구)투찰_마현생창(동양고속)" xfId="279" xr:uid="{00000000-0005-0000-0000-000017010000}"/>
    <cellStyle name="_대곡이설(투찰)_양곡부두(투찰)-0.31%_합덕-신례원(2공구)투찰_합덕-신례원(2공구)투찰_마현생창(동양고속) 2" xfId="1687" xr:uid="{00000000-0005-0000-0000-000097060000}"/>
    <cellStyle name="_대곡이설(투찰)_양곡부두(투찰)-0.31%_합덕-신례원(2공구)투찰_합덕-신례원(2공구)투찰_마현생창(동양고속)_왜관-태평건설" xfId="280" xr:uid="{00000000-0005-0000-0000-000018010000}"/>
    <cellStyle name="_대곡이설(투찰)_양곡부두(투찰)-0.31%_합덕-신례원(2공구)투찰_합덕-신례원(2공구)투찰_마현생창(동양고속)_왜관-태평건설 2" xfId="1688" xr:uid="{00000000-0005-0000-0000-000098060000}"/>
    <cellStyle name="_대곡이설(투찰)_양곡부두(투찰)-0.31%_합덕-신례원(2공구)투찰_합덕-신례원(2공구)투찰_봉무지방산업단지도로(투찰)②" xfId="281" xr:uid="{00000000-0005-0000-0000-000019010000}"/>
    <cellStyle name="_대곡이설(투찰)_양곡부두(투찰)-0.31%_합덕-신례원(2공구)투찰_합덕-신례원(2공구)투찰_봉무지방산업단지도로(투찰)② 2" xfId="1689" xr:uid="{00000000-0005-0000-0000-000099060000}"/>
    <cellStyle name="_대곡이설(투찰)_양곡부두(투찰)-0.31%_합덕-신례원(2공구)투찰_합덕-신례원(2공구)투찰_봉무지방산업단지도로(투찰)②_마현생창(동양고속)" xfId="282" xr:uid="{00000000-0005-0000-0000-00001A010000}"/>
    <cellStyle name="_대곡이설(투찰)_양곡부두(투찰)-0.31%_합덕-신례원(2공구)투찰_합덕-신례원(2공구)투찰_봉무지방산업단지도로(투찰)②_마현생창(동양고속) 2" xfId="1690" xr:uid="{00000000-0005-0000-0000-00009A060000}"/>
    <cellStyle name="_대곡이설(투찰)_양곡부두(투찰)-0.31%_합덕-신례원(2공구)투찰_합덕-신례원(2공구)투찰_봉무지방산업단지도로(투찰)②_마현생창(동양고속)_왜관-태평건설" xfId="283" xr:uid="{00000000-0005-0000-0000-00001B010000}"/>
    <cellStyle name="_대곡이설(투찰)_양곡부두(투찰)-0.31%_합덕-신례원(2공구)투찰_합덕-신례원(2공구)투찰_봉무지방산업단지도로(투찰)②_마현생창(동양고속)_왜관-태평건설 2" xfId="1691" xr:uid="{00000000-0005-0000-0000-00009B060000}"/>
    <cellStyle name="_대곡이설(투찰)_양곡부두(투찰)-0.31%_합덕-신례원(2공구)투찰_합덕-신례원(2공구)투찰_봉무지방산업단지도로(투찰)②_왜관-태평건설" xfId="284" xr:uid="{00000000-0005-0000-0000-00001C010000}"/>
    <cellStyle name="_대곡이설(투찰)_양곡부두(투찰)-0.31%_합덕-신례원(2공구)투찰_합덕-신례원(2공구)투찰_봉무지방산업단지도로(투찰)②_왜관-태평건설 2" xfId="1692" xr:uid="{00000000-0005-0000-0000-00009C060000}"/>
    <cellStyle name="_대곡이설(투찰)_양곡부두(투찰)-0.31%_합덕-신례원(2공구)투찰_합덕-신례원(2공구)투찰_봉무지방산업단지도로(투찰)②+0.250%" xfId="285" xr:uid="{00000000-0005-0000-0000-00001D010000}"/>
    <cellStyle name="_대곡이설(투찰)_양곡부두(투찰)-0.31%_합덕-신례원(2공구)투찰_합덕-신례원(2공구)투찰_봉무지방산업단지도로(투찰)②+0.250% 2" xfId="1693" xr:uid="{00000000-0005-0000-0000-00009D060000}"/>
    <cellStyle name="_대곡이설(투찰)_양곡부두(투찰)-0.31%_합덕-신례원(2공구)투찰_합덕-신례원(2공구)투찰_봉무지방산업단지도로(투찰)②+0.250%_마현생창(동양고속)" xfId="286" xr:uid="{00000000-0005-0000-0000-00001E010000}"/>
    <cellStyle name="_대곡이설(투찰)_양곡부두(투찰)-0.31%_합덕-신례원(2공구)투찰_합덕-신례원(2공구)투찰_봉무지방산업단지도로(투찰)②+0.250%_마현생창(동양고속) 2" xfId="1694" xr:uid="{00000000-0005-0000-0000-00009E060000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F010000}"/>
    <cellStyle name="_대곡이설(투찰)_양곡부두(투찰)-0.31%_합덕-신례원(2공구)투찰_합덕-신례원(2공구)투찰_봉무지방산업단지도로(투찰)②+0.250%_마현생창(동양고속)_왜관-태평건설 2" xfId="1695" xr:uid="{00000000-0005-0000-0000-00009F060000}"/>
    <cellStyle name="_대곡이설(투찰)_양곡부두(투찰)-0.31%_합덕-신례원(2공구)투찰_합덕-신례원(2공구)투찰_봉무지방산업단지도로(투찰)②+0.250%_왜관-태평건설" xfId="288" xr:uid="{00000000-0005-0000-0000-000020010000}"/>
    <cellStyle name="_대곡이설(투찰)_양곡부두(투찰)-0.31%_합덕-신례원(2공구)투찰_합덕-신례원(2공구)투찰_봉무지방산업단지도로(투찰)②+0.250%_왜관-태평건설 2" xfId="1696" xr:uid="{00000000-0005-0000-0000-0000A0060000}"/>
    <cellStyle name="_대곡이설(투찰)_양곡부두(투찰)-0.31%_합덕-신례원(2공구)투찰_합덕-신례원(2공구)투찰_왜관-태평건설" xfId="289" xr:uid="{00000000-0005-0000-0000-000021010000}"/>
    <cellStyle name="_대곡이설(투찰)_양곡부두(투찰)-0.31%_합덕-신례원(2공구)투찰_합덕-신례원(2공구)투찰_왜관-태평건설 2" xfId="1697" xr:uid="{00000000-0005-0000-0000-0000A1060000}"/>
    <cellStyle name="_대곡이설(투찰)_왜관-태평건설" xfId="290" xr:uid="{00000000-0005-0000-0000-000022010000}"/>
    <cellStyle name="_대곡이설(투찰)_왜관-태평건설 2" xfId="1698" xr:uid="{00000000-0005-0000-0000-0000A2060000}"/>
    <cellStyle name="_대곡이설(투찰)_창원상수도(토목)투찰" xfId="291" xr:uid="{00000000-0005-0000-0000-000023010000}"/>
    <cellStyle name="_대곡이설(투찰)_창원상수도(토목)투찰 2" xfId="1699" xr:uid="{00000000-0005-0000-0000-0000A3060000}"/>
    <cellStyle name="_대곡이설(투찰)_창원상수도(토목)투찰_경찰서-터미널간도로(투찰)②" xfId="292" xr:uid="{00000000-0005-0000-0000-000024010000}"/>
    <cellStyle name="_대곡이설(투찰)_창원상수도(토목)투찰_경찰서-터미널간도로(투찰)② 2" xfId="1700" xr:uid="{00000000-0005-0000-0000-0000A4060000}"/>
    <cellStyle name="_대곡이설(투찰)_창원상수도(토목)투찰_경찰서-터미널간도로(투찰)②_마현생창(동양고속)" xfId="293" xr:uid="{00000000-0005-0000-0000-000025010000}"/>
    <cellStyle name="_대곡이설(투찰)_창원상수도(토목)투찰_경찰서-터미널간도로(투찰)②_마현생창(동양고속) 2" xfId="1701" xr:uid="{00000000-0005-0000-0000-0000A5060000}"/>
    <cellStyle name="_대곡이설(투찰)_창원상수도(토목)투찰_경찰서-터미널간도로(투찰)②_마현생창(동양고속)_왜관-태평건설" xfId="294" xr:uid="{00000000-0005-0000-0000-000026010000}"/>
    <cellStyle name="_대곡이설(투찰)_창원상수도(토목)투찰_경찰서-터미널간도로(투찰)②_마현생창(동양고속)_왜관-태평건설 2" xfId="1702" xr:uid="{00000000-0005-0000-0000-0000A6060000}"/>
    <cellStyle name="_대곡이설(투찰)_창원상수도(토목)투찰_경찰서-터미널간도로(투찰)②_왜관-태평건설" xfId="295" xr:uid="{00000000-0005-0000-0000-000027010000}"/>
    <cellStyle name="_대곡이설(투찰)_창원상수도(토목)투찰_경찰서-터미널간도로(투찰)②_왜관-태평건설 2" xfId="1703" xr:uid="{00000000-0005-0000-0000-0000A7060000}"/>
    <cellStyle name="_대곡이설(투찰)_창원상수도(토목)투찰_마현생창(동양고속)" xfId="296" xr:uid="{00000000-0005-0000-0000-000028010000}"/>
    <cellStyle name="_대곡이설(투찰)_창원상수도(토목)투찰_마현생창(동양고속) 2" xfId="1704" xr:uid="{00000000-0005-0000-0000-0000A8060000}"/>
    <cellStyle name="_대곡이설(투찰)_창원상수도(토목)투찰_마현생창(동양고속)_왜관-태평건설" xfId="297" xr:uid="{00000000-0005-0000-0000-000029010000}"/>
    <cellStyle name="_대곡이설(투찰)_창원상수도(토목)투찰_마현생창(동양고속)_왜관-태평건설 2" xfId="1705" xr:uid="{00000000-0005-0000-0000-0000A9060000}"/>
    <cellStyle name="_대곡이설(투찰)_창원상수도(토목)투찰_봉무지방산업단지도로(투찰)②" xfId="298" xr:uid="{00000000-0005-0000-0000-00002A010000}"/>
    <cellStyle name="_대곡이설(투찰)_창원상수도(토목)투찰_봉무지방산업단지도로(투찰)② 2" xfId="1706" xr:uid="{00000000-0005-0000-0000-0000AA060000}"/>
    <cellStyle name="_대곡이설(투찰)_창원상수도(토목)투찰_봉무지방산업단지도로(투찰)②_마현생창(동양고속)" xfId="299" xr:uid="{00000000-0005-0000-0000-00002B010000}"/>
    <cellStyle name="_대곡이설(투찰)_창원상수도(토목)투찰_봉무지방산업단지도로(투찰)②_마현생창(동양고속) 2" xfId="1707" xr:uid="{00000000-0005-0000-0000-0000AB060000}"/>
    <cellStyle name="_대곡이설(투찰)_창원상수도(토목)투찰_봉무지방산업단지도로(투찰)②_마현생창(동양고속)_왜관-태평건설" xfId="300" xr:uid="{00000000-0005-0000-0000-00002C010000}"/>
    <cellStyle name="_대곡이설(투찰)_창원상수도(토목)투찰_봉무지방산업단지도로(투찰)②_마현생창(동양고속)_왜관-태평건설 2" xfId="1708" xr:uid="{00000000-0005-0000-0000-0000AC060000}"/>
    <cellStyle name="_대곡이설(투찰)_창원상수도(토목)투찰_봉무지방산업단지도로(투찰)②_왜관-태평건설" xfId="301" xr:uid="{00000000-0005-0000-0000-00002D010000}"/>
    <cellStyle name="_대곡이설(투찰)_창원상수도(토목)투찰_봉무지방산업단지도로(투찰)②_왜관-태평건설 2" xfId="1709" xr:uid="{00000000-0005-0000-0000-0000AD060000}"/>
    <cellStyle name="_대곡이설(투찰)_창원상수도(토목)투찰_봉무지방산업단지도로(투찰)②+0.250%" xfId="302" xr:uid="{00000000-0005-0000-0000-00002E010000}"/>
    <cellStyle name="_대곡이설(투찰)_창원상수도(토목)투찰_봉무지방산업단지도로(투찰)②+0.250% 2" xfId="1710" xr:uid="{00000000-0005-0000-0000-0000AE060000}"/>
    <cellStyle name="_대곡이설(투찰)_창원상수도(토목)투찰_봉무지방산업단지도로(투찰)②+0.250%_마현생창(동양고속)" xfId="303" xr:uid="{00000000-0005-0000-0000-00002F010000}"/>
    <cellStyle name="_대곡이설(투찰)_창원상수도(토목)투찰_봉무지방산업단지도로(투찰)②+0.250%_마현생창(동양고속) 2" xfId="1711" xr:uid="{00000000-0005-0000-0000-0000AF060000}"/>
    <cellStyle name="_대곡이설(투찰)_창원상수도(토목)투찰_봉무지방산업단지도로(투찰)②+0.250%_마현생창(동양고속)_왜관-태평건설" xfId="304" xr:uid="{00000000-0005-0000-0000-000030010000}"/>
    <cellStyle name="_대곡이설(투찰)_창원상수도(토목)투찰_봉무지방산업단지도로(투찰)②+0.250%_마현생창(동양고속)_왜관-태평건설 2" xfId="1712" xr:uid="{00000000-0005-0000-0000-0000B0060000}"/>
    <cellStyle name="_대곡이설(투찰)_창원상수도(토목)투찰_봉무지방산업단지도로(투찰)②+0.250%_왜관-태평건설" xfId="305" xr:uid="{00000000-0005-0000-0000-000031010000}"/>
    <cellStyle name="_대곡이설(투찰)_창원상수도(토목)투찰_봉무지방산업단지도로(투찰)②+0.250%_왜관-태평건설 2" xfId="1713" xr:uid="{00000000-0005-0000-0000-0000B1060000}"/>
    <cellStyle name="_대곡이설(투찰)_창원상수도(토목)투찰_왜관-태평건설" xfId="306" xr:uid="{00000000-0005-0000-0000-000032010000}"/>
    <cellStyle name="_대곡이설(투찰)_창원상수도(토목)투찰_왜관-태평건설 2" xfId="1714" xr:uid="{00000000-0005-0000-0000-0000B2060000}"/>
    <cellStyle name="_대곡이설(투찰)_창원상수도(토목)투찰_합덕-신례원(2공구)투찰" xfId="307" xr:uid="{00000000-0005-0000-0000-000033010000}"/>
    <cellStyle name="_대곡이설(투찰)_창원상수도(토목)투찰_합덕-신례원(2공구)투찰 2" xfId="1715" xr:uid="{00000000-0005-0000-0000-0000B3060000}"/>
    <cellStyle name="_대곡이설(투찰)_창원상수도(토목)투찰_합덕-신례원(2공구)투찰_경찰서-터미널간도로(투찰)②" xfId="308" xr:uid="{00000000-0005-0000-0000-000034010000}"/>
    <cellStyle name="_대곡이설(투찰)_창원상수도(토목)투찰_합덕-신례원(2공구)투찰_경찰서-터미널간도로(투찰)② 2" xfId="1716" xr:uid="{00000000-0005-0000-0000-0000B4060000}"/>
    <cellStyle name="_대곡이설(투찰)_창원상수도(토목)투찰_합덕-신례원(2공구)투찰_경찰서-터미널간도로(투찰)②_마현생창(동양고속)" xfId="309" xr:uid="{00000000-0005-0000-0000-000035010000}"/>
    <cellStyle name="_대곡이설(투찰)_창원상수도(토목)투찰_합덕-신례원(2공구)투찰_경찰서-터미널간도로(투찰)②_마현생창(동양고속) 2" xfId="1717" xr:uid="{00000000-0005-0000-0000-0000B5060000}"/>
    <cellStyle name="_대곡이설(투찰)_창원상수도(토목)투찰_합덕-신례원(2공구)투찰_경찰서-터미널간도로(투찰)②_마현생창(동양고속)_왜관-태평건설" xfId="310" xr:uid="{00000000-0005-0000-0000-000036010000}"/>
    <cellStyle name="_대곡이설(투찰)_창원상수도(토목)투찰_합덕-신례원(2공구)투찰_경찰서-터미널간도로(투찰)②_마현생창(동양고속)_왜관-태평건설 2" xfId="1718" xr:uid="{00000000-0005-0000-0000-0000B6060000}"/>
    <cellStyle name="_대곡이설(투찰)_창원상수도(토목)투찰_합덕-신례원(2공구)투찰_경찰서-터미널간도로(투찰)②_왜관-태평건설" xfId="311" xr:uid="{00000000-0005-0000-0000-000037010000}"/>
    <cellStyle name="_대곡이설(투찰)_창원상수도(토목)투찰_합덕-신례원(2공구)투찰_경찰서-터미널간도로(투찰)②_왜관-태평건설 2" xfId="1719" xr:uid="{00000000-0005-0000-0000-0000B7060000}"/>
    <cellStyle name="_대곡이설(투찰)_창원상수도(토목)투찰_합덕-신례원(2공구)투찰_마현생창(동양고속)" xfId="312" xr:uid="{00000000-0005-0000-0000-000038010000}"/>
    <cellStyle name="_대곡이설(투찰)_창원상수도(토목)투찰_합덕-신례원(2공구)투찰_마현생창(동양고속) 2" xfId="1720" xr:uid="{00000000-0005-0000-0000-0000B8060000}"/>
    <cellStyle name="_대곡이설(투찰)_창원상수도(토목)투찰_합덕-신례원(2공구)투찰_마현생창(동양고속)_왜관-태평건설" xfId="313" xr:uid="{00000000-0005-0000-0000-000039010000}"/>
    <cellStyle name="_대곡이설(투찰)_창원상수도(토목)투찰_합덕-신례원(2공구)투찰_마현생창(동양고속)_왜관-태평건설 2" xfId="1721" xr:uid="{00000000-0005-0000-0000-0000B9060000}"/>
    <cellStyle name="_대곡이설(투찰)_창원상수도(토목)투찰_합덕-신례원(2공구)투찰_봉무지방산업단지도로(투찰)②" xfId="314" xr:uid="{00000000-0005-0000-0000-00003A010000}"/>
    <cellStyle name="_대곡이설(투찰)_창원상수도(토목)투찰_합덕-신례원(2공구)투찰_봉무지방산업단지도로(투찰)② 2" xfId="1722" xr:uid="{00000000-0005-0000-0000-0000BA060000}"/>
    <cellStyle name="_대곡이설(투찰)_창원상수도(토목)투찰_합덕-신례원(2공구)투찰_봉무지방산업단지도로(투찰)②_마현생창(동양고속)" xfId="315" xr:uid="{00000000-0005-0000-0000-00003B010000}"/>
    <cellStyle name="_대곡이설(투찰)_창원상수도(토목)투찰_합덕-신례원(2공구)투찰_봉무지방산업단지도로(투찰)②_마현생창(동양고속) 2" xfId="1723" xr:uid="{00000000-0005-0000-0000-0000BB060000}"/>
    <cellStyle name="_대곡이설(투찰)_창원상수도(토목)투찰_합덕-신례원(2공구)투찰_봉무지방산업단지도로(투찰)②_마현생창(동양고속)_왜관-태평건설" xfId="316" xr:uid="{00000000-0005-0000-0000-00003C010000}"/>
    <cellStyle name="_대곡이설(투찰)_창원상수도(토목)투찰_합덕-신례원(2공구)투찰_봉무지방산업단지도로(투찰)②_마현생창(동양고속)_왜관-태평건설 2" xfId="1724" xr:uid="{00000000-0005-0000-0000-0000BC060000}"/>
    <cellStyle name="_대곡이설(투찰)_창원상수도(토목)투찰_합덕-신례원(2공구)투찰_봉무지방산업단지도로(투찰)②_왜관-태평건설" xfId="317" xr:uid="{00000000-0005-0000-0000-00003D010000}"/>
    <cellStyle name="_대곡이설(투찰)_창원상수도(토목)투찰_합덕-신례원(2공구)투찰_봉무지방산업단지도로(투찰)②_왜관-태평건설 2" xfId="1725" xr:uid="{00000000-0005-0000-0000-0000BD060000}"/>
    <cellStyle name="_대곡이설(투찰)_창원상수도(토목)투찰_합덕-신례원(2공구)투찰_봉무지방산업단지도로(투찰)②+0.250%" xfId="318" xr:uid="{00000000-0005-0000-0000-00003E010000}"/>
    <cellStyle name="_대곡이설(투찰)_창원상수도(토목)투찰_합덕-신례원(2공구)투찰_봉무지방산업단지도로(투찰)②+0.250% 2" xfId="1726" xr:uid="{00000000-0005-0000-0000-0000BE060000}"/>
    <cellStyle name="_대곡이설(투찰)_창원상수도(토목)투찰_합덕-신례원(2공구)투찰_봉무지방산업단지도로(투찰)②+0.250%_마현생창(동양고속)" xfId="319" xr:uid="{00000000-0005-0000-0000-00003F010000}"/>
    <cellStyle name="_대곡이설(투찰)_창원상수도(토목)투찰_합덕-신례원(2공구)투찰_봉무지방산업단지도로(투찰)②+0.250%_마현생창(동양고속) 2" xfId="1727" xr:uid="{00000000-0005-0000-0000-0000BF060000}"/>
    <cellStyle name="_대곡이설(투찰)_창원상수도(토목)투찰_합덕-신례원(2공구)투찰_봉무지방산업단지도로(투찰)②+0.250%_마현생창(동양고속)_왜관-태평건설" xfId="320" xr:uid="{00000000-0005-0000-0000-000040010000}"/>
    <cellStyle name="_대곡이설(투찰)_창원상수도(토목)투찰_합덕-신례원(2공구)투찰_봉무지방산업단지도로(투찰)②+0.250%_마현생창(동양고속)_왜관-태평건설 2" xfId="1728" xr:uid="{00000000-0005-0000-0000-0000C0060000}"/>
    <cellStyle name="_대곡이설(투찰)_창원상수도(토목)투찰_합덕-신례원(2공구)투찰_봉무지방산업단지도로(투찰)②+0.250%_왜관-태평건설" xfId="321" xr:uid="{00000000-0005-0000-0000-000041010000}"/>
    <cellStyle name="_대곡이설(투찰)_창원상수도(토목)투찰_합덕-신례원(2공구)투찰_봉무지방산업단지도로(투찰)②+0.250%_왜관-태평건설 2" xfId="1729" xr:uid="{00000000-0005-0000-0000-0000C1060000}"/>
    <cellStyle name="_대곡이설(투찰)_창원상수도(토목)투찰_합덕-신례원(2공구)투찰_왜관-태평건설" xfId="322" xr:uid="{00000000-0005-0000-0000-000042010000}"/>
    <cellStyle name="_대곡이설(투찰)_창원상수도(토목)투찰_합덕-신례원(2공구)투찰_왜관-태평건설 2" xfId="1730" xr:uid="{00000000-0005-0000-0000-0000C2060000}"/>
    <cellStyle name="_대곡이설(투찰)_창원상수도(토목)투찰_합덕-신례원(2공구)투찰_합덕-신례원(2공구)투찰" xfId="323" xr:uid="{00000000-0005-0000-0000-000043010000}"/>
    <cellStyle name="_대곡이설(투찰)_창원상수도(토목)투찰_합덕-신례원(2공구)투찰_합덕-신례원(2공구)투찰 2" xfId="1731" xr:uid="{00000000-0005-0000-0000-0000C3060000}"/>
    <cellStyle name="_대곡이설(투찰)_창원상수도(토목)투찰_합덕-신례원(2공구)투찰_합덕-신례원(2공구)투찰_경찰서-터미널간도로(투찰)②" xfId="324" xr:uid="{00000000-0005-0000-0000-000044010000}"/>
    <cellStyle name="_대곡이설(투찰)_창원상수도(토목)투찰_합덕-신례원(2공구)투찰_합덕-신례원(2공구)투찰_경찰서-터미널간도로(투찰)② 2" xfId="1732" xr:uid="{00000000-0005-0000-0000-0000C4060000}"/>
    <cellStyle name="_대곡이설(투찰)_창원상수도(토목)투찰_합덕-신례원(2공구)투찰_합덕-신례원(2공구)투찰_경찰서-터미널간도로(투찰)②_마현생창(동양고속)" xfId="325" xr:uid="{00000000-0005-0000-0000-000045010000}"/>
    <cellStyle name="_대곡이설(투찰)_창원상수도(토목)투찰_합덕-신례원(2공구)투찰_합덕-신례원(2공구)투찰_경찰서-터미널간도로(투찰)②_마현생창(동양고속) 2" xfId="1733" xr:uid="{00000000-0005-0000-0000-0000C5060000}"/>
    <cellStyle name="_대곡이설(투찰)_창원상수도(토목)투찰_합덕-신례원(2공구)투찰_합덕-신례원(2공구)투찰_경찰서-터미널간도로(투찰)②_마현생창(동양고속)_왜관-태평건설" xfId="326" xr:uid="{00000000-0005-0000-0000-000046010000}"/>
    <cellStyle name="_대곡이설(투찰)_창원상수도(토목)투찰_합덕-신례원(2공구)투찰_합덕-신례원(2공구)투찰_경찰서-터미널간도로(투찰)②_마현생창(동양고속)_왜관-태평건설 2" xfId="1734" xr:uid="{00000000-0005-0000-0000-0000C6060000}"/>
    <cellStyle name="_대곡이설(투찰)_창원상수도(토목)투찰_합덕-신례원(2공구)투찰_합덕-신례원(2공구)투찰_경찰서-터미널간도로(투찰)②_왜관-태평건설" xfId="327" xr:uid="{00000000-0005-0000-0000-000047010000}"/>
    <cellStyle name="_대곡이설(투찰)_창원상수도(토목)투찰_합덕-신례원(2공구)투찰_합덕-신례원(2공구)투찰_경찰서-터미널간도로(투찰)②_왜관-태평건설 2" xfId="1735" xr:uid="{00000000-0005-0000-0000-0000C7060000}"/>
    <cellStyle name="_대곡이설(투찰)_창원상수도(토목)투찰_합덕-신례원(2공구)투찰_합덕-신례원(2공구)투찰_마현생창(동양고속)" xfId="328" xr:uid="{00000000-0005-0000-0000-000048010000}"/>
    <cellStyle name="_대곡이설(투찰)_창원상수도(토목)투찰_합덕-신례원(2공구)투찰_합덕-신례원(2공구)투찰_마현생창(동양고속) 2" xfId="1736" xr:uid="{00000000-0005-0000-0000-0000C8060000}"/>
    <cellStyle name="_대곡이설(투찰)_창원상수도(토목)투찰_합덕-신례원(2공구)투찰_합덕-신례원(2공구)투찰_마현생창(동양고속)_왜관-태평건설" xfId="329" xr:uid="{00000000-0005-0000-0000-000049010000}"/>
    <cellStyle name="_대곡이설(투찰)_창원상수도(토목)투찰_합덕-신례원(2공구)투찰_합덕-신례원(2공구)투찰_마현생창(동양고속)_왜관-태평건설 2" xfId="1737" xr:uid="{00000000-0005-0000-0000-0000C9060000}"/>
    <cellStyle name="_대곡이설(투찰)_창원상수도(토목)투찰_합덕-신례원(2공구)투찰_합덕-신례원(2공구)투찰_봉무지방산업단지도로(투찰)②" xfId="330" xr:uid="{00000000-0005-0000-0000-00004A010000}"/>
    <cellStyle name="_대곡이설(투찰)_창원상수도(토목)투찰_합덕-신례원(2공구)투찰_합덕-신례원(2공구)투찰_봉무지방산업단지도로(투찰)② 2" xfId="1738" xr:uid="{00000000-0005-0000-0000-0000CA060000}"/>
    <cellStyle name="_대곡이설(투찰)_창원상수도(토목)투찰_합덕-신례원(2공구)투찰_합덕-신례원(2공구)투찰_봉무지방산업단지도로(투찰)②_마현생창(동양고속)" xfId="331" xr:uid="{00000000-0005-0000-0000-00004B010000}"/>
    <cellStyle name="_대곡이설(투찰)_창원상수도(토목)투찰_합덕-신례원(2공구)투찰_합덕-신례원(2공구)투찰_봉무지방산업단지도로(투찰)②_마현생창(동양고속) 2" xfId="1739" xr:uid="{00000000-0005-0000-0000-0000CB060000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C010000}"/>
    <cellStyle name="_대곡이설(투찰)_창원상수도(토목)투찰_합덕-신례원(2공구)투찰_합덕-신례원(2공구)투찰_봉무지방산업단지도로(투찰)②_마현생창(동양고속)_왜관-태평건설 2" xfId="1740" xr:uid="{00000000-0005-0000-0000-0000CC060000}"/>
    <cellStyle name="_대곡이설(투찰)_창원상수도(토목)투찰_합덕-신례원(2공구)투찰_합덕-신례원(2공구)투찰_봉무지방산업단지도로(투찰)②_왜관-태평건설" xfId="333" xr:uid="{00000000-0005-0000-0000-00004D010000}"/>
    <cellStyle name="_대곡이설(투찰)_창원상수도(토목)투찰_합덕-신례원(2공구)투찰_합덕-신례원(2공구)투찰_봉무지방산업단지도로(투찰)②_왜관-태평건설 2" xfId="1741" xr:uid="{00000000-0005-0000-0000-0000CD060000}"/>
    <cellStyle name="_대곡이설(투찰)_창원상수도(토목)투찰_합덕-신례원(2공구)투찰_합덕-신례원(2공구)투찰_봉무지방산업단지도로(투찰)②+0.250%" xfId="334" xr:uid="{00000000-0005-0000-0000-00004E010000}"/>
    <cellStyle name="_대곡이설(투찰)_창원상수도(토목)투찰_합덕-신례원(2공구)투찰_합덕-신례원(2공구)투찰_봉무지방산업단지도로(투찰)②+0.250% 2" xfId="1742" xr:uid="{00000000-0005-0000-0000-0000CE060000}"/>
    <cellStyle name="_대곡이설(투찰)_창원상수도(토목)투찰_합덕-신례원(2공구)투찰_합덕-신례원(2공구)투찰_봉무지방산업단지도로(투찰)②+0.250%_마현생창(동양고속)" xfId="335" xr:uid="{00000000-0005-0000-0000-00004F010000}"/>
    <cellStyle name="_대곡이설(투찰)_창원상수도(토목)투찰_합덕-신례원(2공구)투찰_합덕-신례원(2공구)투찰_봉무지방산업단지도로(투찰)②+0.250%_마현생창(동양고속) 2" xfId="1743" xr:uid="{00000000-0005-0000-0000-0000CF060000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50010000}"/>
    <cellStyle name="_대곡이설(투찰)_창원상수도(토목)투찰_합덕-신례원(2공구)투찰_합덕-신례원(2공구)투찰_봉무지방산업단지도로(투찰)②+0.250%_마현생창(동양고속)_왜관-태평건설 2" xfId="1744" xr:uid="{00000000-0005-0000-0000-0000D0060000}"/>
    <cellStyle name="_대곡이설(투찰)_창원상수도(토목)투찰_합덕-신례원(2공구)투찰_합덕-신례원(2공구)투찰_봉무지방산업단지도로(투찰)②+0.250%_왜관-태평건설" xfId="337" xr:uid="{00000000-0005-0000-0000-000051010000}"/>
    <cellStyle name="_대곡이설(투찰)_창원상수도(토목)투찰_합덕-신례원(2공구)투찰_합덕-신례원(2공구)투찰_봉무지방산업단지도로(투찰)②+0.250%_왜관-태평건설 2" xfId="1745" xr:uid="{00000000-0005-0000-0000-0000D1060000}"/>
    <cellStyle name="_대곡이설(투찰)_창원상수도(토목)투찰_합덕-신례원(2공구)투찰_합덕-신례원(2공구)투찰_왜관-태평건설" xfId="338" xr:uid="{00000000-0005-0000-0000-000052010000}"/>
    <cellStyle name="_대곡이설(투찰)_창원상수도(토목)투찰_합덕-신례원(2공구)투찰_합덕-신례원(2공구)투찰_왜관-태평건설 2" xfId="1746" xr:uid="{00000000-0005-0000-0000-0000D2060000}"/>
    <cellStyle name="_대곡이설(투찰)_합덕-신례원(2공구)투찰" xfId="339" xr:uid="{00000000-0005-0000-0000-000053010000}"/>
    <cellStyle name="_대곡이설(투찰)_합덕-신례원(2공구)투찰 2" xfId="1747" xr:uid="{00000000-0005-0000-0000-0000D3060000}"/>
    <cellStyle name="_대곡이설(투찰)_합덕-신례원(2공구)투찰_경찰서-터미널간도로(투찰)②" xfId="340" xr:uid="{00000000-0005-0000-0000-000054010000}"/>
    <cellStyle name="_대곡이설(투찰)_합덕-신례원(2공구)투찰_경찰서-터미널간도로(투찰)② 2" xfId="1748" xr:uid="{00000000-0005-0000-0000-0000D4060000}"/>
    <cellStyle name="_대곡이설(투찰)_합덕-신례원(2공구)투찰_경찰서-터미널간도로(투찰)②_마현생창(동양고속)" xfId="341" xr:uid="{00000000-0005-0000-0000-000055010000}"/>
    <cellStyle name="_대곡이설(투찰)_합덕-신례원(2공구)투찰_경찰서-터미널간도로(투찰)②_마현생창(동양고속) 2" xfId="1749" xr:uid="{00000000-0005-0000-0000-0000D5060000}"/>
    <cellStyle name="_대곡이설(투찰)_합덕-신례원(2공구)투찰_경찰서-터미널간도로(투찰)②_마현생창(동양고속)_왜관-태평건설" xfId="342" xr:uid="{00000000-0005-0000-0000-000056010000}"/>
    <cellStyle name="_대곡이설(투찰)_합덕-신례원(2공구)투찰_경찰서-터미널간도로(투찰)②_마현생창(동양고속)_왜관-태평건설 2" xfId="1750" xr:uid="{00000000-0005-0000-0000-0000D6060000}"/>
    <cellStyle name="_대곡이설(투찰)_합덕-신례원(2공구)투찰_경찰서-터미널간도로(투찰)②_왜관-태평건설" xfId="343" xr:uid="{00000000-0005-0000-0000-000057010000}"/>
    <cellStyle name="_대곡이설(투찰)_합덕-신례원(2공구)투찰_경찰서-터미널간도로(투찰)②_왜관-태평건설 2" xfId="1751" xr:uid="{00000000-0005-0000-0000-0000D7060000}"/>
    <cellStyle name="_대곡이설(투찰)_합덕-신례원(2공구)투찰_마현생창(동양고속)" xfId="344" xr:uid="{00000000-0005-0000-0000-000058010000}"/>
    <cellStyle name="_대곡이설(투찰)_합덕-신례원(2공구)투찰_마현생창(동양고속) 2" xfId="1752" xr:uid="{00000000-0005-0000-0000-0000D8060000}"/>
    <cellStyle name="_대곡이설(투찰)_합덕-신례원(2공구)투찰_마현생창(동양고속)_왜관-태평건설" xfId="345" xr:uid="{00000000-0005-0000-0000-000059010000}"/>
    <cellStyle name="_대곡이설(투찰)_합덕-신례원(2공구)투찰_마현생창(동양고속)_왜관-태평건설 2" xfId="1753" xr:uid="{00000000-0005-0000-0000-0000D9060000}"/>
    <cellStyle name="_대곡이설(투찰)_합덕-신례원(2공구)투찰_봉무지방산업단지도로(투찰)②" xfId="346" xr:uid="{00000000-0005-0000-0000-00005A010000}"/>
    <cellStyle name="_대곡이설(투찰)_합덕-신례원(2공구)투찰_봉무지방산업단지도로(투찰)② 2" xfId="1754" xr:uid="{00000000-0005-0000-0000-0000DA060000}"/>
    <cellStyle name="_대곡이설(투찰)_합덕-신례원(2공구)투찰_봉무지방산업단지도로(투찰)②_마현생창(동양고속)" xfId="347" xr:uid="{00000000-0005-0000-0000-00005B010000}"/>
    <cellStyle name="_대곡이설(투찰)_합덕-신례원(2공구)투찰_봉무지방산업단지도로(투찰)②_마현생창(동양고속) 2" xfId="1755" xr:uid="{00000000-0005-0000-0000-0000DB060000}"/>
    <cellStyle name="_대곡이설(투찰)_합덕-신례원(2공구)투찰_봉무지방산업단지도로(투찰)②_마현생창(동양고속)_왜관-태평건설" xfId="348" xr:uid="{00000000-0005-0000-0000-00005C010000}"/>
    <cellStyle name="_대곡이설(투찰)_합덕-신례원(2공구)투찰_봉무지방산업단지도로(투찰)②_마현생창(동양고속)_왜관-태평건설 2" xfId="1756" xr:uid="{00000000-0005-0000-0000-0000DC060000}"/>
    <cellStyle name="_대곡이설(투찰)_합덕-신례원(2공구)투찰_봉무지방산업단지도로(투찰)②_왜관-태평건설" xfId="349" xr:uid="{00000000-0005-0000-0000-00005D010000}"/>
    <cellStyle name="_대곡이설(투찰)_합덕-신례원(2공구)투찰_봉무지방산업단지도로(투찰)②_왜관-태평건설 2" xfId="1757" xr:uid="{00000000-0005-0000-0000-0000DD060000}"/>
    <cellStyle name="_대곡이설(투찰)_합덕-신례원(2공구)투찰_봉무지방산업단지도로(투찰)②+0.250%" xfId="350" xr:uid="{00000000-0005-0000-0000-00005E010000}"/>
    <cellStyle name="_대곡이설(투찰)_합덕-신례원(2공구)투찰_봉무지방산업단지도로(투찰)②+0.250% 2" xfId="1758" xr:uid="{00000000-0005-0000-0000-0000DE060000}"/>
    <cellStyle name="_대곡이설(투찰)_합덕-신례원(2공구)투찰_봉무지방산업단지도로(투찰)②+0.250%_마현생창(동양고속)" xfId="351" xr:uid="{00000000-0005-0000-0000-00005F010000}"/>
    <cellStyle name="_대곡이설(투찰)_합덕-신례원(2공구)투찰_봉무지방산업단지도로(투찰)②+0.250%_마현생창(동양고속) 2" xfId="1759" xr:uid="{00000000-0005-0000-0000-0000DF060000}"/>
    <cellStyle name="_대곡이설(투찰)_합덕-신례원(2공구)투찰_봉무지방산업단지도로(투찰)②+0.250%_마현생창(동양고속)_왜관-태평건설" xfId="352" xr:uid="{00000000-0005-0000-0000-000060010000}"/>
    <cellStyle name="_대곡이설(투찰)_합덕-신례원(2공구)투찰_봉무지방산업단지도로(투찰)②+0.250%_마현생창(동양고속)_왜관-태평건설 2" xfId="1760" xr:uid="{00000000-0005-0000-0000-0000E0060000}"/>
    <cellStyle name="_대곡이설(투찰)_합덕-신례원(2공구)투찰_봉무지방산업단지도로(투찰)②+0.250%_왜관-태평건설" xfId="353" xr:uid="{00000000-0005-0000-0000-000061010000}"/>
    <cellStyle name="_대곡이설(투찰)_합덕-신례원(2공구)투찰_봉무지방산업단지도로(투찰)②+0.250%_왜관-태평건설 2" xfId="1761" xr:uid="{00000000-0005-0000-0000-0000E1060000}"/>
    <cellStyle name="_대곡이설(투찰)_합덕-신례원(2공구)투찰_왜관-태평건설" xfId="354" xr:uid="{00000000-0005-0000-0000-000062010000}"/>
    <cellStyle name="_대곡이설(투찰)_합덕-신례원(2공구)투찰_왜관-태평건설 2" xfId="1762" xr:uid="{00000000-0005-0000-0000-0000E2060000}"/>
    <cellStyle name="_대곡이설(투찰)_합덕-신례원(2공구)투찰_합덕-신례원(2공구)투찰" xfId="355" xr:uid="{00000000-0005-0000-0000-000063010000}"/>
    <cellStyle name="_대곡이설(투찰)_합덕-신례원(2공구)투찰_합덕-신례원(2공구)투찰 2" xfId="1763" xr:uid="{00000000-0005-0000-0000-0000E3060000}"/>
    <cellStyle name="_대곡이설(투찰)_합덕-신례원(2공구)투찰_합덕-신례원(2공구)투찰_경찰서-터미널간도로(투찰)②" xfId="356" xr:uid="{00000000-0005-0000-0000-000064010000}"/>
    <cellStyle name="_대곡이설(투찰)_합덕-신례원(2공구)투찰_합덕-신례원(2공구)투찰_경찰서-터미널간도로(투찰)② 2" xfId="1764" xr:uid="{00000000-0005-0000-0000-0000E4060000}"/>
    <cellStyle name="_대곡이설(투찰)_합덕-신례원(2공구)투찰_합덕-신례원(2공구)투찰_경찰서-터미널간도로(투찰)②_마현생창(동양고속)" xfId="357" xr:uid="{00000000-0005-0000-0000-000065010000}"/>
    <cellStyle name="_대곡이설(투찰)_합덕-신례원(2공구)투찰_합덕-신례원(2공구)투찰_경찰서-터미널간도로(투찰)②_마현생창(동양고속) 2" xfId="1765" xr:uid="{00000000-0005-0000-0000-0000E5060000}"/>
    <cellStyle name="_대곡이설(투찰)_합덕-신례원(2공구)투찰_합덕-신례원(2공구)투찰_경찰서-터미널간도로(투찰)②_마현생창(동양고속)_왜관-태평건설" xfId="358" xr:uid="{00000000-0005-0000-0000-000066010000}"/>
    <cellStyle name="_대곡이설(투찰)_합덕-신례원(2공구)투찰_합덕-신례원(2공구)투찰_경찰서-터미널간도로(투찰)②_마현생창(동양고속)_왜관-태평건설 2" xfId="1766" xr:uid="{00000000-0005-0000-0000-0000E6060000}"/>
    <cellStyle name="_대곡이설(투찰)_합덕-신례원(2공구)투찰_합덕-신례원(2공구)투찰_경찰서-터미널간도로(투찰)②_왜관-태평건설" xfId="359" xr:uid="{00000000-0005-0000-0000-000067010000}"/>
    <cellStyle name="_대곡이설(투찰)_합덕-신례원(2공구)투찰_합덕-신례원(2공구)투찰_경찰서-터미널간도로(투찰)②_왜관-태평건설 2" xfId="1767" xr:uid="{00000000-0005-0000-0000-0000E7060000}"/>
    <cellStyle name="_대곡이설(투찰)_합덕-신례원(2공구)투찰_합덕-신례원(2공구)투찰_마현생창(동양고속)" xfId="360" xr:uid="{00000000-0005-0000-0000-000068010000}"/>
    <cellStyle name="_대곡이설(투찰)_합덕-신례원(2공구)투찰_합덕-신례원(2공구)투찰_마현생창(동양고속) 2" xfId="1768" xr:uid="{00000000-0005-0000-0000-0000E8060000}"/>
    <cellStyle name="_대곡이설(투찰)_합덕-신례원(2공구)투찰_합덕-신례원(2공구)투찰_마현생창(동양고속)_왜관-태평건설" xfId="361" xr:uid="{00000000-0005-0000-0000-000069010000}"/>
    <cellStyle name="_대곡이설(투찰)_합덕-신례원(2공구)투찰_합덕-신례원(2공구)투찰_마현생창(동양고속)_왜관-태평건설 2" xfId="1769" xr:uid="{00000000-0005-0000-0000-0000E9060000}"/>
    <cellStyle name="_대곡이설(투찰)_합덕-신례원(2공구)투찰_합덕-신례원(2공구)투찰_봉무지방산업단지도로(투찰)②" xfId="362" xr:uid="{00000000-0005-0000-0000-00006A010000}"/>
    <cellStyle name="_대곡이설(투찰)_합덕-신례원(2공구)투찰_합덕-신례원(2공구)투찰_봉무지방산업단지도로(투찰)② 2" xfId="1770" xr:uid="{00000000-0005-0000-0000-0000EA060000}"/>
    <cellStyle name="_대곡이설(투찰)_합덕-신례원(2공구)투찰_합덕-신례원(2공구)투찰_봉무지방산업단지도로(투찰)②_마현생창(동양고속)" xfId="363" xr:uid="{00000000-0005-0000-0000-00006B010000}"/>
    <cellStyle name="_대곡이설(투찰)_합덕-신례원(2공구)투찰_합덕-신례원(2공구)투찰_봉무지방산업단지도로(투찰)②_마현생창(동양고속) 2" xfId="1771" xr:uid="{00000000-0005-0000-0000-0000EB060000}"/>
    <cellStyle name="_대곡이설(투찰)_합덕-신례원(2공구)투찰_합덕-신례원(2공구)투찰_봉무지방산업단지도로(투찰)②_마현생창(동양고속)_왜관-태평건설" xfId="364" xr:uid="{00000000-0005-0000-0000-00006C010000}"/>
    <cellStyle name="_대곡이설(투찰)_합덕-신례원(2공구)투찰_합덕-신례원(2공구)투찰_봉무지방산업단지도로(투찰)②_마현생창(동양고속)_왜관-태평건설 2" xfId="1772" xr:uid="{00000000-0005-0000-0000-0000EC060000}"/>
    <cellStyle name="_대곡이설(투찰)_합덕-신례원(2공구)투찰_합덕-신례원(2공구)투찰_봉무지방산업단지도로(투찰)②_왜관-태평건설" xfId="365" xr:uid="{00000000-0005-0000-0000-00006D010000}"/>
    <cellStyle name="_대곡이설(투찰)_합덕-신례원(2공구)투찰_합덕-신례원(2공구)투찰_봉무지방산업단지도로(투찰)②_왜관-태평건설 2" xfId="1773" xr:uid="{00000000-0005-0000-0000-0000ED060000}"/>
    <cellStyle name="_대곡이설(투찰)_합덕-신례원(2공구)투찰_합덕-신례원(2공구)투찰_봉무지방산업단지도로(투찰)②+0.250%" xfId="366" xr:uid="{00000000-0005-0000-0000-00006E010000}"/>
    <cellStyle name="_대곡이설(투찰)_합덕-신례원(2공구)투찰_합덕-신례원(2공구)투찰_봉무지방산업단지도로(투찰)②+0.250% 2" xfId="1774" xr:uid="{00000000-0005-0000-0000-0000EE060000}"/>
    <cellStyle name="_대곡이설(투찰)_합덕-신례원(2공구)투찰_합덕-신례원(2공구)투찰_봉무지방산업단지도로(투찰)②+0.250%_마현생창(동양고속)" xfId="367" xr:uid="{00000000-0005-0000-0000-00006F010000}"/>
    <cellStyle name="_대곡이설(투찰)_합덕-신례원(2공구)투찰_합덕-신례원(2공구)투찰_봉무지방산업단지도로(투찰)②+0.250%_마현생창(동양고속) 2" xfId="1775" xr:uid="{00000000-0005-0000-0000-0000EF060000}"/>
    <cellStyle name="_대곡이설(투찰)_합덕-신례원(2공구)투찰_합덕-신례원(2공구)투찰_봉무지방산업단지도로(투찰)②+0.250%_마현생창(동양고속)_왜관-태평건설" xfId="368" xr:uid="{00000000-0005-0000-0000-000070010000}"/>
    <cellStyle name="_대곡이설(투찰)_합덕-신례원(2공구)투찰_합덕-신례원(2공구)투찰_봉무지방산업단지도로(투찰)②+0.250%_마현생창(동양고속)_왜관-태평건설 2" xfId="1776" xr:uid="{00000000-0005-0000-0000-0000F0060000}"/>
    <cellStyle name="_대곡이설(투찰)_합덕-신례원(2공구)투찰_합덕-신례원(2공구)투찰_봉무지방산업단지도로(투찰)②+0.250%_왜관-태평건설" xfId="369" xr:uid="{00000000-0005-0000-0000-000071010000}"/>
    <cellStyle name="_대곡이설(투찰)_합덕-신례원(2공구)투찰_합덕-신례원(2공구)투찰_봉무지방산업단지도로(투찰)②+0.250%_왜관-태평건설 2" xfId="1777" xr:uid="{00000000-0005-0000-0000-0000F1060000}"/>
    <cellStyle name="_대곡이설(투찰)_합덕-신례원(2공구)투찰_합덕-신례원(2공구)투찰_왜관-태평건설" xfId="370" xr:uid="{00000000-0005-0000-0000-000072010000}"/>
    <cellStyle name="_대곡이설(투찰)_합덕-신례원(2공구)투찰_합덕-신례원(2공구)투찰_왜관-태평건설 2" xfId="1778" xr:uid="{00000000-0005-0000-0000-0000F2060000}"/>
    <cellStyle name="_도고천품의안11" xfId="371" xr:uid="{00000000-0005-0000-0000-000073010000}"/>
    <cellStyle name="_도고천품의안11 2" xfId="1779" xr:uid="{00000000-0005-0000-0000-0000F3060000}"/>
    <cellStyle name="_도고천품의안11_1" xfId="372" xr:uid="{00000000-0005-0000-0000-000074010000}"/>
    <cellStyle name="_도고천품의안11_1 2" xfId="1780" xr:uid="{00000000-0005-0000-0000-0000F4060000}"/>
    <cellStyle name="_도고천품의안11_광주평동투찰" xfId="373" xr:uid="{00000000-0005-0000-0000-000075010000}"/>
    <cellStyle name="_도고천품의안11_광주평동투찰 2" xfId="1781" xr:uid="{00000000-0005-0000-0000-0000F5060000}"/>
    <cellStyle name="_도고천품의안11_광주평동품의1" xfId="374" xr:uid="{00000000-0005-0000-0000-000076010000}"/>
    <cellStyle name="_도고천품의안11_광주평동품의1 2" xfId="1782" xr:uid="{00000000-0005-0000-0000-0000F6060000}"/>
    <cellStyle name="_도고천품의안11_송학하수품의(설계넣고)" xfId="375" xr:uid="{00000000-0005-0000-0000-000077010000}"/>
    <cellStyle name="_도고천품의안11_송학하수품의(설계넣고) 2" xfId="1783" xr:uid="{00000000-0005-0000-0000-0000F7060000}"/>
    <cellStyle name="_도덕-고흥도로(투찰)" xfId="376" xr:uid="{00000000-0005-0000-0000-000078010000}"/>
    <cellStyle name="_두계변전소하도급" xfId="377" xr:uid="{00000000-0005-0000-0000-000079010000}"/>
    <cellStyle name="_매정견적보고" xfId="378" xr:uid="{00000000-0005-0000-0000-00007A010000}"/>
    <cellStyle name="_명암지도로투찰2" xfId="379" xr:uid="{00000000-0005-0000-0000-00007B010000}"/>
    <cellStyle name="_명암지도로투찰2 2" xfId="1784" xr:uid="{00000000-0005-0000-0000-0000F8060000}"/>
    <cellStyle name="_무창(전자입찰용)" xfId="380" xr:uid="{00000000-0005-0000-0000-00007C010000}"/>
    <cellStyle name="_무창(전자입찰용) 2" xfId="1785" xr:uid="{00000000-0005-0000-0000-0000F9060000}"/>
    <cellStyle name="_무창(전자입찰용)_왜관-태평건설" xfId="381" xr:uid="{00000000-0005-0000-0000-00007D010000}"/>
    <cellStyle name="_무창(전자입찰용)_왜관-태평건설 2" xfId="1786" xr:uid="{00000000-0005-0000-0000-0000FA060000}"/>
    <cellStyle name="_부대입찰양식②" xfId="382" xr:uid="{00000000-0005-0000-0000-00007E010000}"/>
    <cellStyle name="_부대입찰양식② 2" xfId="1787" xr:uid="{00000000-0005-0000-0000-0000FB060000}"/>
    <cellStyle name="_부대입찰양식②_경찰서-터미널간도로(투찰)②" xfId="383" xr:uid="{00000000-0005-0000-0000-00007F010000}"/>
    <cellStyle name="_부대입찰양식②_경찰서-터미널간도로(투찰)② 2" xfId="1788" xr:uid="{00000000-0005-0000-0000-0000FC060000}"/>
    <cellStyle name="_부대입찰양식②_경찰서-터미널간도로(투찰)②_마현생창(동양고속)" xfId="384" xr:uid="{00000000-0005-0000-0000-000080010000}"/>
    <cellStyle name="_부대입찰양식②_경찰서-터미널간도로(투찰)②_마현생창(동양고속) 2" xfId="1789" xr:uid="{00000000-0005-0000-0000-0000FD060000}"/>
    <cellStyle name="_부대입찰양식②_경찰서-터미널간도로(투찰)②_마현생창(동양고속)_왜관-태평건설" xfId="385" xr:uid="{00000000-0005-0000-0000-000081010000}"/>
    <cellStyle name="_부대입찰양식②_경찰서-터미널간도로(투찰)②_마현생창(동양고속)_왜관-태평건설 2" xfId="1790" xr:uid="{00000000-0005-0000-0000-0000FE060000}"/>
    <cellStyle name="_부대입찰양식②_경찰서-터미널간도로(투찰)②_왜관-태평건설" xfId="386" xr:uid="{00000000-0005-0000-0000-000082010000}"/>
    <cellStyle name="_부대입찰양식②_경찰서-터미널간도로(투찰)②_왜관-태평건설 2" xfId="1791" xr:uid="{00000000-0005-0000-0000-0000FF060000}"/>
    <cellStyle name="_부대입찰양식②_마현생창(동양고속)" xfId="387" xr:uid="{00000000-0005-0000-0000-000083010000}"/>
    <cellStyle name="_부대입찰양식②_마현생창(동양고속) 2" xfId="1792" xr:uid="{00000000-0005-0000-0000-000000070000}"/>
    <cellStyle name="_부대입찰양식②_마현생창(동양고속)_왜관-태평건설" xfId="388" xr:uid="{00000000-0005-0000-0000-000084010000}"/>
    <cellStyle name="_부대입찰양식②_마현생창(동양고속)_왜관-태평건설 2" xfId="1793" xr:uid="{00000000-0005-0000-0000-000001070000}"/>
    <cellStyle name="_부대입찰양식②_봉무지방산업단지도로(투찰)②" xfId="389" xr:uid="{00000000-0005-0000-0000-000085010000}"/>
    <cellStyle name="_부대입찰양식②_봉무지방산업단지도로(투찰)② 2" xfId="1794" xr:uid="{00000000-0005-0000-0000-000002070000}"/>
    <cellStyle name="_부대입찰양식②_봉무지방산업단지도로(투찰)②_마현생창(동양고속)" xfId="390" xr:uid="{00000000-0005-0000-0000-000086010000}"/>
    <cellStyle name="_부대입찰양식②_봉무지방산업단지도로(투찰)②_마현생창(동양고속) 2" xfId="1795" xr:uid="{00000000-0005-0000-0000-000003070000}"/>
    <cellStyle name="_부대입찰양식②_봉무지방산업단지도로(투찰)②_마현생창(동양고속)_왜관-태평건설" xfId="391" xr:uid="{00000000-0005-0000-0000-000087010000}"/>
    <cellStyle name="_부대입찰양식②_봉무지방산업단지도로(투찰)②_마현생창(동양고속)_왜관-태평건설 2" xfId="1796" xr:uid="{00000000-0005-0000-0000-000004070000}"/>
    <cellStyle name="_부대입찰양식②_봉무지방산업단지도로(투찰)②_왜관-태평건설" xfId="392" xr:uid="{00000000-0005-0000-0000-000088010000}"/>
    <cellStyle name="_부대입찰양식②_봉무지방산업단지도로(투찰)②_왜관-태평건설 2" xfId="1797" xr:uid="{00000000-0005-0000-0000-000005070000}"/>
    <cellStyle name="_부대입찰양식②_봉무지방산업단지도로(투찰)②+0.250%" xfId="393" xr:uid="{00000000-0005-0000-0000-000089010000}"/>
    <cellStyle name="_부대입찰양식②_봉무지방산업단지도로(투찰)②+0.250% 2" xfId="1798" xr:uid="{00000000-0005-0000-0000-000006070000}"/>
    <cellStyle name="_부대입찰양식②_봉무지방산업단지도로(투찰)②+0.250%_마현생창(동양고속)" xfId="394" xr:uid="{00000000-0005-0000-0000-00008A010000}"/>
    <cellStyle name="_부대입찰양식②_봉무지방산업단지도로(투찰)②+0.250%_마현생창(동양고속) 2" xfId="1799" xr:uid="{00000000-0005-0000-0000-000007070000}"/>
    <cellStyle name="_부대입찰양식②_봉무지방산업단지도로(투찰)②+0.250%_마현생창(동양고속)_왜관-태평건설" xfId="395" xr:uid="{00000000-0005-0000-0000-00008B010000}"/>
    <cellStyle name="_부대입찰양식②_봉무지방산업단지도로(투찰)②+0.250%_마현생창(동양고속)_왜관-태평건설 2" xfId="1800" xr:uid="{00000000-0005-0000-0000-000008070000}"/>
    <cellStyle name="_부대입찰양식②_봉무지방산업단지도로(투찰)②+0.250%_왜관-태평건설" xfId="396" xr:uid="{00000000-0005-0000-0000-00008C010000}"/>
    <cellStyle name="_부대입찰양식②_봉무지방산업단지도로(투찰)②+0.250%_왜관-태평건설 2" xfId="1801" xr:uid="{00000000-0005-0000-0000-000009070000}"/>
    <cellStyle name="_부대입찰양식②_왜관-태평건설" xfId="397" xr:uid="{00000000-0005-0000-0000-00008D010000}"/>
    <cellStyle name="_부대입찰양식②_왜관-태평건설 2" xfId="1802" xr:uid="{00000000-0005-0000-0000-00000A070000}"/>
    <cellStyle name="_부대입찰양식②_합덕-신례원(2공구)투찰" xfId="398" xr:uid="{00000000-0005-0000-0000-00008E010000}"/>
    <cellStyle name="_부대입찰양식②_합덕-신례원(2공구)투찰 2" xfId="1803" xr:uid="{00000000-0005-0000-0000-00000B070000}"/>
    <cellStyle name="_부대입찰양식②_합덕-신례원(2공구)투찰_경찰서-터미널간도로(투찰)②" xfId="399" xr:uid="{00000000-0005-0000-0000-00008F010000}"/>
    <cellStyle name="_부대입찰양식②_합덕-신례원(2공구)투찰_경찰서-터미널간도로(투찰)② 2" xfId="1804" xr:uid="{00000000-0005-0000-0000-00000C070000}"/>
    <cellStyle name="_부대입찰양식②_합덕-신례원(2공구)투찰_경찰서-터미널간도로(투찰)②_마현생창(동양고속)" xfId="400" xr:uid="{00000000-0005-0000-0000-000090010000}"/>
    <cellStyle name="_부대입찰양식②_합덕-신례원(2공구)투찰_경찰서-터미널간도로(투찰)②_마현생창(동양고속) 2" xfId="1805" xr:uid="{00000000-0005-0000-0000-00000D070000}"/>
    <cellStyle name="_부대입찰양식②_합덕-신례원(2공구)투찰_경찰서-터미널간도로(투찰)②_마현생창(동양고속)_왜관-태평건설" xfId="401" xr:uid="{00000000-0005-0000-0000-000091010000}"/>
    <cellStyle name="_부대입찰양식②_합덕-신례원(2공구)투찰_경찰서-터미널간도로(투찰)②_마현생창(동양고속)_왜관-태평건설 2" xfId="1806" xr:uid="{00000000-0005-0000-0000-00000E070000}"/>
    <cellStyle name="_부대입찰양식②_합덕-신례원(2공구)투찰_경찰서-터미널간도로(투찰)②_왜관-태평건설" xfId="402" xr:uid="{00000000-0005-0000-0000-000092010000}"/>
    <cellStyle name="_부대입찰양식②_합덕-신례원(2공구)투찰_경찰서-터미널간도로(투찰)②_왜관-태평건설 2" xfId="1807" xr:uid="{00000000-0005-0000-0000-00000F070000}"/>
    <cellStyle name="_부대입찰양식②_합덕-신례원(2공구)투찰_마현생창(동양고속)" xfId="403" xr:uid="{00000000-0005-0000-0000-000093010000}"/>
    <cellStyle name="_부대입찰양식②_합덕-신례원(2공구)투찰_마현생창(동양고속) 2" xfId="1808" xr:uid="{00000000-0005-0000-0000-000010070000}"/>
    <cellStyle name="_부대입찰양식②_합덕-신례원(2공구)투찰_마현생창(동양고속)_왜관-태평건설" xfId="404" xr:uid="{00000000-0005-0000-0000-000094010000}"/>
    <cellStyle name="_부대입찰양식②_합덕-신례원(2공구)투찰_마현생창(동양고속)_왜관-태평건설 2" xfId="1809" xr:uid="{00000000-0005-0000-0000-000011070000}"/>
    <cellStyle name="_부대입찰양식②_합덕-신례원(2공구)투찰_봉무지방산업단지도로(투찰)②" xfId="405" xr:uid="{00000000-0005-0000-0000-000095010000}"/>
    <cellStyle name="_부대입찰양식②_합덕-신례원(2공구)투찰_봉무지방산업단지도로(투찰)② 2" xfId="1810" xr:uid="{00000000-0005-0000-0000-000012070000}"/>
    <cellStyle name="_부대입찰양식②_합덕-신례원(2공구)투찰_봉무지방산업단지도로(투찰)②_마현생창(동양고속)" xfId="406" xr:uid="{00000000-0005-0000-0000-000096010000}"/>
    <cellStyle name="_부대입찰양식②_합덕-신례원(2공구)투찰_봉무지방산업단지도로(투찰)②_마현생창(동양고속) 2" xfId="1811" xr:uid="{00000000-0005-0000-0000-000013070000}"/>
    <cellStyle name="_부대입찰양식②_합덕-신례원(2공구)투찰_봉무지방산업단지도로(투찰)②_마현생창(동양고속)_왜관-태평건설" xfId="407" xr:uid="{00000000-0005-0000-0000-000097010000}"/>
    <cellStyle name="_부대입찰양식②_합덕-신례원(2공구)투찰_봉무지방산업단지도로(투찰)②_마현생창(동양고속)_왜관-태평건설 2" xfId="1812" xr:uid="{00000000-0005-0000-0000-000014070000}"/>
    <cellStyle name="_부대입찰양식②_합덕-신례원(2공구)투찰_봉무지방산업단지도로(투찰)②_왜관-태평건설" xfId="408" xr:uid="{00000000-0005-0000-0000-000098010000}"/>
    <cellStyle name="_부대입찰양식②_합덕-신례원(2공구)투찰_봉무지방산업단지도로(투찰)②_왜관-태평건설 2" xfId="1813" xr:uid="{00000000-0005-0000-0000-000015070000}"/>
    <cellStyle name="_부대입찰양식②_합덕-신례원(2공구)투찰_봉무지방산업단지도로(투찰)②+0.250%" xfId="409" xr:uid="{00000000-0005-0000-0000-000099010000}"/>
    <cellStyle name="_부대입찰양식②_합덕-신례원(2공구)투찰_봉무지방산업단지도로(투찰)②+0.250% 2" xfId="1814" xr:uid="{00000000-0005-0000-0000-000016070000}"/>
    <cellStyle name="_부대입찰양식②_합덕-신례원(2공구)투찰_봉무지방산업단지도로(투찰)②+0.250%_마현생창(동양고속)" xfId="410" xr:uid="{00000000-0005-0000-0000-00009A010000}"/>
    <cellStyle name="_부대입찰양식②_합덕-신례원(2공구)투찰_봉무지방산업단지도로(투찰)②+0.250%_마현생창(동양고속) 2" xfId="1815" xr:uid="{00000000-0005-0000-0000-000017070000}"/>
    <cellStyle name="_부대입찰양식②_합덕-신례원(2공구)투찰_봉무지방산업단지도로(투찰)②+0.250%_마현생창(동양고속)_왜관-태평건설" xfId="411" xr:uid="{00000000-0005-0000-0000-00009B010000}"/>
    <cellStyle name="_부대입찰양식②_합덕-신례원(2공구)투찰_봉무지방산업단지도로(투찰)②+0.250%_마현생창(동양고속)_왜관-태평건설 2" xfId="1816" xr:uid="{00000000-0005-0000-0000-000018070000}"/>
    <cellStyle name="_부대입찰양식②_합덕-신례원(2공구)투찰_봉무지방산업단지도로(투찰)②+0.250%_왜관-태평건설" xfId="412" xr:uid="{00000000-0005-0000-0000-00009C010000}"/>
    <cellStyle name="_부대입찰양식②_합덕-신례원(2공구)투찰_봉무지방산업단지도로(투찰)②+0.250%_왜관-태평건설 2" xfId="1817" xr:uid="{00000000-0005-0000-0000-000019070000}"/>
    <cellStyle name="_부대입찰양식②_합덕-신례원(2공구)투찰_왜관-태평건설" xfId="413" xr:uid="{00000000-0005-0000-0000-00009D010000}"/>
    <cellStyle name="_부대입찰양식②_합덕-신례원(2공구)투찰_왜관-태평건설 2" xfId="1818" xr:uid="{00000000-0005-0000-0000-00001A070000}"/>
    <cellStyle name="_부대입찰양식②_합덕-신례원(2공구)투찰_합덕-신례원(2공구)투찰" xfId="414" xr:uid="{00000000-0005-0000-0000-00009E010000}"/>
    <cellStyle name="_부대입찰양식②_합덕-신례원(2공구)투찰_합덕-신례원(2공구)투찰 2" xfId="1819" xr:uid="{00000000-0005-0000-0000-00001B070000}"/>
    <cellStyle name="_부대입찰양식②_합덕-신례원(2공구)투찰_합덕-신례원(2공구)투찰_경찰서-터미널간도로(투찰)②" xfId="415" xr:uid="{00000000-0005-0000-0000-00009F010000}"/>
    <cellStyle name="_부대입찰양식②_합덕-신례원(2공구)투찰_합덕-신례원(2공구)투찰_경찰서-터미널간도로(투찰)② 2" xfId="1820" xr:uid="{00000000-0005-0000-0000-00001C070000}"/>
    <cellStyle name="_부대입찰양식②_합덕-신례원(2공구)투찰_합덕-신례원(2공구)투찰_경찰서-터미널간도로(투찰)②_마현생창(동양고속)" xfId="416" xr:uid="{00000000-0005-0000-0000-0000A0010000}"/>
    <cellStyle name="_부대입찰양식②_합덕-신례원(2공구)투찰_합덕-신례원(2공구)투찰_경찰서-터미널간도로(투찰)②_마현생창(동양고속) 2" xfId="1821" xr:uid="{00000000-0005-0000-0000-00001D070000}"/>
    <cellStyle name="_부대입찰양식②_합덕-신례원(2공구)투찰_합덕-신례원(2공구)투찰_경찰서-터미널간도로(투찰)②_마현생창(동양고속)_왜관-태평건설" xfId="417" xr:uid="{00000000-0005-0000-0000-0000A1010000}"/>
    <cellStyle name="_부대입찰양식②_합덕-신례원(2공구)투찰_합덕-신례원(2공구)투찰_경찰서-터미널간도로(투찰)②_마현생창(동양고속)_왜관-태평건설 2" xfId="1822" xr:uid="{00000000-0005-0000-0000-00001E070000}"/>
    <cellStyle name="_부대입찰양식②_합덕-신례원(2공구)투찰_합덕-신례원(2공구)투찰_경찰서-터미널간도로(투찰)②_왜관-태평건설" xfId="418" xr:uid="{00000000-0005-0000-0000-0000A2010000}"/>
    <cellStyle name="_부대입찰양식②_합덕-신례원(2공구)투찰_합덕-신례원(2공구)투찰_경찰서-터미널간도로(투찰)②_왜관-태평건설 2" xfId="1823" xr:uid="{00000000-0005-0000-0000-00001F070000}"/>
    <cellStyle name="_부대입찰양식②_합덕-신례원(2공구)투찰_합덕-신례원(2공구)투찰_마현생창(동양고속)" xfId="419" xr:uid="{00000000-0005-0000-0000-0000A3010000}"/>
    <cellStyle name="_부대입찰양식②_합덕-신례원(2공구)투찰_합덕-신례원(2공구)투찰_마현생창(동양고속) 2" xfId="1824" xr:uid="{00000000-0005-0000-0000-000020070000}"/>
    <cellStyle name="_부대입찰양식②_합덕-신례원(2공구)투찰_합덕-신례원(2공구)투찰_마현생창(동양고속)_왜관-태평건설" xfId="420" xr:uid="{00000000-0005-0000-0000-0000A4010000}"/>
    <cellStyle name="_부대입찰양식②_합덕-신례원(2공구)투찰_합덕-신례원(2공구)투찰_마현생창(동양고속)_왜관-태평건설 2" xfId="1825" xr:uid="{00000000-0005-0000-0000-000021070000}"/>
    <cellStyle name="_부대입찰양식②_합덕-신례원(2공구)투찰_합덕-신례원(2공구)투찰_봉무지방산업단지도로(투찰)②" xfId="421" xr:uid="{00000000-0005-0000-0000-0000A5010000}"/>
    <cellStyle name="_부대입찰양식②_합덕-신례원(2공구)투찰_합덕-신례원(2공구)투찰_봉무지방산업단지도로(투찰)② 2" xfId="1826" xr:uid="{00000000-0005-0000-0000-000022070000}"/>
    <cellStyle name="_부대입찰양식②_합덕-신례원(2공구)투찰_합덕-신례원(2공구)투찰_봉무지방산업단지도로(투찰)②_마현생창(동양고속)" xfId="422" xr:uid="{00000000-0005-0000-0000-0000A6010000}"/>
    <cellStyle name="_부대입찰양식②_합덕-신례원(2공구)투찰_합덕-신례원(2공구)투찰_봉무지방산업단지도로(투찰)②_마현생창(동양고속) 2" xfId="1827" xr:uid="{00000000-0005-0000-0000-000023070000}"/>
    <cellStyle name="_부대입찰양식②_합덕-신례원(2공구)투찰_합덕-신례원(2공구)투찰_봉무지방산업단지도로(투찰)②_마현생창(동양고속)_왜관-태평건설" xfId="423" xr:uid="{00000000-0005-0000-0000-0000A7010000}"/>
    <cellStyle name="_부대입찰양식②_합덕-신례원(2공구)투찰_합덕-신례원(2공구)투찰_봉무지방산업단지도로(투찰)②_마현생창(동양고속)_왜관-태평건설 2" xfId="1828" xr:uid="{00000000-0005-0000-0000-000024070000}"/>
    <cellStyle name="_부대입찰양식②_합덕-신례원(2공구)투찰_합덕-신례원(2공구)투찰_봉무지방산업단지도로(투찰)②_왜관-태평건설" xfId="424" xr:uid="{00000000-0005-0000-0000-0000A8010000}"/>
    <cellStyle name="_부대입찰양식②_합덕-신례원(2공구)투찰_합덕-신례원(2공구)투찰_봉무지방산업단지도로(투찰)②_왜관-태평건설 2" xfId="1829" xr:uid="{00000000-0005-0000-0000-000025070000}"/>
    <cellStyle name="_부대입찰양식②_합덕-신례원(2공구)투찰_합덕-신례원(2공구)투찰_봉무지방산업단지도로(투찰)②+0.250%" xfId="425" xr:uid="{00000000-0005-0000-0000-0000A9010000}"/>
    <cellStyle name="_부대입찰양식②_합덕-신례원(2공구)투찰_합덕-신례원(2공구)투찰_봉무지방산업단지도로(투찰)②+0.250% 2" xfId="1830" xr:uid="{00000000-0005-0000-0000-000026070000}"/>
    <cellStyle name="_부대입찰양식②_합덕-신례원(2공구)투찰_합덕-신례원(2공구)투찰_봉무지방산업단지도로(투찰)②+0.250%_마현생창(동양고속)" xfId="426" xr:uid="{00000000-0005-0000-0000-0000AA010000}"/>
    <cellStyle name="_부대입찰양식②_합덕-신례원(2공구)투찰_합덕-신례원(2공구)투찰_봉무지방산업단지도로(투찰)②+0.250%_마현생창(동양고속) 2" xfId="1831" xr:uid="{00000000-0005-0000-0000-000027070000}"/>
    <cellStyle name="_부대입찰양식②_합덕-신례원(2공구)투찰_합덕-신례원(2공구)투찰_봉무지방산업단지도로(투찰)②+0.250%_마현생창(동양고속)_왜관-태평건설" xfId="427" xr:uid="{00000000-0005-0000-0000-0000AB010000}"/>
    <cellStyle name="_부대입찰양식②_합덕-신례원(2공구)투찰_합덕-신례원(2공구)투찰_봉무지방산업단지도로(투찰)②+0.250%_마현생창(동양고속)_왜관-태평건설 2" xfId="1832" xr:uid="{00000000-0005-0000-0000-000028070000}"/>
    <cellStyle name="_부대입찰양식②_합덕-신례원(2공구)투찰_합덕-신례원(2공구)투찰_봉무지방산업단지도로(투찰)②+0.250%_왜관-태평건설" xfId="428" xr:uid="{00000000-0005-0000-0000-0000AC010000}"/>
    <cellStyle name="_부대입찰양식②_합덕-신례원(2공구)투찰_합덕-신례원(2공구)투찰_봉무지방산업단지도로(투찰)②+0.250%_왜관-태평건설 2" xfId="1833" xr:uid="{00000000-0005-0000-0000-000029070000}"/>
    <cellStyle name="_부대입찰양식②_합덕-신례원(2공구)투찰_합덕-신례원(2공구)투찰_왜관-태평건설" xfId="429" xr:uid="{00000000-0005-0000-0000-0000AD010000}"/>
    <cellStyle name="_부대입찰양식②_합덕-신례원(2공구)투찰_합덕-신례원(2공구)투찰_왜관-태평건설 2" xfId="1834" xr:uid="{00000000-0005-0000-0000-00002A070000}"/>
    <cellStyle name="_부대입찰확약서" xfId="430" xr:uid="{00000000-0005-0000-0000-0000AE010000}"/>
    <cellStyle name="_부평배수지(투찰)" xfId="431" xr:uid="{00000000-0005-0000-0000-0000AF010000}"/>
    <cellStyle name="_부평배수지(투찰) 2" xfId="1835" xr:uid="{00000000-0005-0000-0000-00002B070000}"/>
    <cellStyle name="_부평배수지(투찰)_경찰서-터미널간도로(투찰)②" xfId="432" xr:uid="{00000000-0005-0000-0000-0000B0010000}"/>
    <cellStyle name="_부평배수지(투찰)_경찰서-터미널간도로(투찰)② 2" xfId="1836" xr:uid="{00000000-0005-0000-0000-00002C070000}"/>
    <cellStyle name="_부평배수지(투찰)_경찰서-터미널간도로(투찰)②_마현생창(동양고속)" xfId="433" xr:uid="{00000000-0005-0000-0000-0000B1010000}"/>
    <cellStyle name="_부평배수지(투찰)_경찰서-터미널간도로(투찰)②_마현생창(동양고속) 2" xfId="1837" xr:uid="{00000000-0005-0000-0000-00002D070000}"/>
    <cellStyle name="_부평배수지(투찰)_경찰서-터미널간도로(투찰)②_마현생창(동양고속)_왜관-태평건설" xfId="434" xr:uid="{00000000-0005-0000-0000-0000B2010000}"/>
    <cellStyle name="_부평배수지(투찰)_경찰서-터미널간도로(투찰)②_마현생창(동양고속)_왜관-태평건설 2" xfId="1838" xr:uid="{00000000-0005-0000-0000-00002E070000}"/>
    <cellStyle name="_부평배수지(투찰)_경찰서-터미널간도로(투찰)②_왜관-태평건설" xfId="435" xr:uid="{00000000-0005-0000-0000-0000B3010000}"/>
    <cellStyle name="_부평배수지(투찰)_경찰서-터미널간도로(투찰)②_왜관-태평건설 2" xfId="1839" xr:uid="{00000000-0005-0000-0000-00002F070000}"/>
    <cellStyle name="_부평배수지(투찰)_마현생창(동양고속)" xfId="436" xr:uid="{00000000-0005-0000-0000-0000B4010000}"/>
    <cellStyle name="_부평배수지(투찰)_마현생창(동양고속) 2" xfId="1840" xr:uid="{00000000-0005-0000-0000-000030070000}"/>
    <cellStyle name="_부평배수지(투찰)_마현생창(동양고속)_왜관-태평건설" xfId="437" xr:uid="{00000000-0005-0000-0000-0000B5010000}"/>
    <cellStyle name="_부평배수지(투찰)_마현생창(동양고속)_왜관-태평건설 2" xfId="1841" xr:uid="{00000000-0005-0000-0000-000031070000}"/>
    <cellStyle name="_부평배수지(투찰)_봉무지방산업단지도로(투찰)②" xfId="438" xr:uid="{00000000-0005-0000-0000-0000B6010000}"/>
    <cellStyle name="_부평배수지(투찰)_봉무지방산업단지도로(투찰)② 2" xfId="1842" xr:uid="{00000000-0005-0000-0000-000032070000}"/>
    <cellStyle name="_부평배수지(투찰)_봉무지방산업단지도로(투찰)②_마현생창(동양고속)" xfId="439" xr:uid="{00000000-0005-0000-0000-0000B7010000}"/>
    <cellStyle name="_부평배수지(투찰)_봉무지방산업단지도로(투찰)②_마현생창(동양고속) 2" xfId="1843" xr:uid="{00000000-0005-0000-0000-000033070000}"/>
    <cellStyle name="_부평배수지(투찰)_봉무지방산업단지도로(투찰)②_마현생창(동양고속)_왜관-태평건설" xfId="440" xr:uid="{00000000-0005-0000-0000-0000B8010000}"/>
    <cellStyle name="_부평배수지(투찰)_봉무지방산업단지도로(투찰)②_마현생창(동양고속)_왜관-태평건설 2" xfId="1844" xr:uid="{00000000-0005-0000-0000-000034070000}"/>
    <cellStyle name="_부평배수지(투찰)_봉무지방산업단지도로(투찰)②_왜관-태평건설" xfId="441" xr:uid="{00000000-0005-0000-0000-0000B9010000}"/>
    <cellStyle name="_부평배수지(투찰)_봉무지방산업단지도로(투찰)②_왜관-태평건설 2" xfId="1845" xr:uid="{00000000-0005-0000-0000-000035070000}"/>
    <cellStyle name="_부평배수지(투찰)_봉무지방산업단지도로(투찰)②+0.250%" xfId="442" xr:uid="{00000000-0005-0000-0000-0000BA010000}"/>
    <cellStyle name="_부평배수지(투찰)_봉무지방산업단지도로(투찰)②+0.250% 2" xfId="1846" xr:uid="{00000000-0005-0000-0000-000036070000}"/>
    <cellStyle name="_부평배수지(투찰)_봉무지방산업단지도로(투찰)②+0.250%_마현생창(동양고속)" xfId="443" xr:uid="{00000000-0005-0000-0000-0000BB010000}"/>
    <cellStyle name="_부평배수지(투찰)_봉무지방산업단지도로(투찰)②+0.250%_마현생창(동양고속) 2" xfId="1847" xr:uid="{00000000-0005-0000-0000-000037070000}"/>
    <cellStyle name="_부평배수지(투찰)_봉무지방산업단지도로(투찰)②+0.250%_마현생창(동양고속)_왜관-태평건설" xfId="444" xr:uid="{00000000-0005-0000-0000-0000BC010000}"/>
    <cellStyle name="_부평배수지(투찰)_봉무지방산업단지도로(투찰)②+0.250%_마현생창(동양고속)_왜관-태평건설 2" xfId="1848" xr:uid="{00000000-0005-0000-0000-000038070000}"/>
    <cellStyle name="_부평배수지(투찰)_봉무지방산업단지도로(투찰)②+0.250%_왜관-태평건설" xfId="445" xr:uid="{00000000-0005-0000-0000-0000BD010000}"/>
    <cellStyle name="_부평배수지(투찰)_봉무지방산업단지도로(투찰)②+0.250%_왜관-태평건설 2" xfId="1849" xr:uid="{00000000-0005-0000-0000-000039070000}"/>
    <cellStyle name="_부평배수지(투찰)_왜관-태평건설" xfId="446" xr:uid="{00000000-0005-0000-0000-0000BE010000}"/>
    <cellStyle name="_부평배수지(투찰)_왜관-태평건설 2" xfId="1850" xr:uid="{00000000-0005-0000-0000-00003A070000}"/>
    <cellStyle name="_부평배수지(투찰)_합덕-신례원(2공구)투찰" xfId="447" xr:uid="{00000000-0005-0000-0000-0000BF010000}"/>
    <cellStyle name="_부평배수지(투찰)_합덕-신례원(2공구)투찰 2" xfId="1851" xr:uid="{00000000-0005-0000-0000-00003B070000}"/>
    <cellStyle name="_부평배수지(투찰)_합덕-신례원(2공구)투찰_경찰서-터미널간도로(투찰)②" xfId="448" xr:uid="{00000000-0005-0000-0000-0000C0010000}"/>
    <cellStyle name="_부평배수지(투찰)_합덕-신례원(2공구)투찰_경찰서-터미널간도로(투찰)② 2" xfId="1852" xr:uid="{00000000-0005-0000-0000-00003C070000}"/>
    <cellStyle name="_부평배수지(투찰)_합덕-신례원(2공구)투찰_경찰서-터미널간도로(투찰)②_마현생창(동양고속)" xfId="449" xr:uid="{00000000-0005-0000-0000-0000C1010000}"/>
    <cellStyle name="_부평배수지(투찰)_합덕-신례원(2공구)투찰_경찰서-터미널간도로(투찰)②_마현생창(동양고속) 2" xfId="1853" xr:uid="{00000000-0005-0000-0000-00003D070000}"/>
    <cellStyle name="_부평배수지(투찰)_합덕-신례원(2공구)투찰_경찰서-터미널간도로(투찰)②_마현생창(동양고속)_왜관-태평건설" xfId="450" xr:uid="{00000000-0005-0000-0000-0000C2010000}"/>
    <cellStyle name="_부평배수지(투찰)_합덕-신례원(2공구)투찰_경찰서-터미널간도로(투찰)②_마현생창(동양고속)_왜관-태평건설 2" xfId="1854" xr:uid="{00000000-0005-0000-0000-00003E070000}"/>
    <cellStyle name="_부평배수지(투찰)_합덕-신례원(2공구)투찰_경찰서-터미널간도로(투찰)②_왜관-태평건설" xfId="451" xr:uid="{00000000-0005-0000-0000-0000C3010000}"/>
    <cellStyle name="_부평배수지(투찰)_합덕-신례원(2공구)투찰_경찰서-터미널간도로(투찰)②_왜관-태평건설 2" xfId="1855" xr:uid="{00000000-0005-0000-0000-00003F070000}"/>
    <cellStyle name="_부평배수지(투찰)_합덕-신례원(2공구)투찰_마현생창(동양고속)" xfId="452" xr:uid="{00000000-0005-0000-0000-0000C4010000}"/>
    <cellStyle name="_부평배수지(투찰)_합덕-신례원(2공구)투찰_마현생창(동양고속) 2" xfId="1856" xr:uid="{00000000-0005-0000-0000-000040070000}"/>
    <cellStyle name="_부평배수지(투찰)_합덕-신례원(2공구)투찰_마현생창(동양고속)_왜관-태평건설" xfId="453" xr:uid="{00000000-0005-0000-0000-0000C5010000}"/>
    <cellStyle name="_부평배수지(투찰)_합덕-신례원(2공구)투찰_마현생창(동양고속)_왜관-태평건설 2" xfId="1857" xr:uid="{00000000-0005-0000-0000-000041070000}"/>
    <cellStyle name="_부평배수지(투찰)_합덕-신례원(2공구)투찰_봉무지방산업단지도로(투찰)②" xfId="454" xr:uid="{00000000-0005-0000-0000-0000C6010000}"/>
    <cellStyle name="_부평배수지(투찰)_합덕-신례원(2공구)투찰_봉무지방산업단지도로(투찰)② 2" xfId="1858" xr:uid="{00000000-0005-0000-0000-000042070000}"/>
    <cellStyle name="_부평배수지(투찰)_합덕-신례원(2공구)투찰_봉무지방산업단지도로(투찰)②_마현생창(동양고속)" xfId="455" xr:uid="{00000000-0005-0000-0000-0000C7010000}"/>
    <cellStyle name="_부평배수지(투찰)_합덕-신례원(2공구)투찰_봉무지방산업단지도로(투찰)②_마현생창(동양고속) 2" xfId="1859" xr:uid="{00000000-0005-0000-0000-000043070000}"/>
    <cellStyle name="_부평배수지(투찰)_합덕-신례원(2공구)투찰_봉무지방산업단지도로(투찰)②_마현생창(동양고속)_왜관-태평건설" xfId="456" xr:uid="{00000000-0005-0000-0000-0000C8010000}"/>
    <cellStyle name="_부평배수지(투찰)_합덕-신례원(2공구)투찰_봉무지방산업단지도로(투찰)②_마현생창(동양고속)_왜관-태평건설 2" xfId="1860" xr:uid="{00000000-0005-0000-0000-000044070000}"/>
    <cellStyle name="_부평배수지(투찰)_합덕-신례원(2공구)투찰_봉무지방산업단지도로(투찰)②_왜관-태평건설" xfId="457" xr:uid="{00000000-0005-0000-0000-0000C9010000}"/>
    <cellStyle name="_부평배수지(투찰)_합덕-신례원(2공구)투찰_봉무지방산업단지도로(투찰)②_왜관-태평건설 2" xfId="1861" xr:uid="{00000000-0005-0000-0000-000045070000}"/>
    <cellStyle name="_부평배수지(투찰)_합덕-신례원(2공구)투찰_봉무지방산업단지도로(투찰)②+0.250%" xfId="458" xr:uid="{00000000-0005-0000-0000-0000CA010000}"/>
    <cellStyle name="_부평배수지(투찰)_합덕-신례원(2공구)투찰_봉무지방산업단지도로(투찰)②+0.250% 2" xfId="1862" xr:uid="{00000000-0005-0000-0000-000046070000}"/>
    <cellStyle name="_부평배수지(투찰)_합덕-신례원(2공구)투찰_봉무지방산업단지도로(투찰)②+0.250%_마현생창(동양고속)" xfId="459" xr:uid="{00000000-0005-0000-0000-0000CB010000}"/>
    <cellStyle name="_부평배수지(투찰)_합덕-신례원(2공구)투찰_봉무지방산업단지도로(투찰)②+0.250%_마현생창(동양고속) 2" xfId="1863" xr:uid="{00000000-0005-0000-0000-000047070000}"/>
    <cellStyle name="_부평배수지(투찰)_합덕-신례원(2공구)투찰_봉무지방산업단지도로(투찰)②+0.250%_마현생창(동양고속)_왜관-태평건설" xfId="460" xr:uid="{00000000-0005-0000-0000-0000CC010000}"/>
    <cellStyle name="_부평배수지(투찰)_합덕-신례원(2공구)투찰_봉무지방산업단지도로(투찰)②+0.250%_마현생창(동양고속)_왜관-태평건설 2" xfId="1864" xr:uid="{00000000-0005-0000-0000-000048070000}"/>
    <cellStyle name="_부평배수지(투찰)_합덕-신례원(2공구)투찰_봉무지방산업단지도로(투찰)②+0.250%_왜관-태평건설" xfId="461" xr:uid="{00000000-0005-0000-0000-0000CD010000}"/>
    <cellStyle name="_부평배수지(투찰)_합덕-신례원(2공구)투찰_봉무지방산업단지도로(투찰)②+0.250%_왜관-태평건설 2" xfId="1865" xr:uid="{00000000-0005-0000-0000-000049070000}"/>
    <cellStyle name="_부평배수지(투찰)_합덕-신례원(2공구)투찰_왜관-태평건설" xfId="462" xr:uid="{00000000-0005-0000-0000-0000CE010000}"/>
    <cellStyle name="_부평배수지(투찰)_합덕-신례원(2공구)투찰_왜관-태평건설 2" xfId="1866" xr:uid="{00000000-0005-0000-0000-00004A070000}"/>
    <cellStyle name="_부평배수지(투찰)_합덕-신례원(2공구)투찰_합덕-신례원(2공구)투찰" xfId="463" xr:uid="{00000000-0005-0000-0000-0000CF010000}"/>
    <cellStyle name="_부평배수지(투찰)_합덕-신례원(2공구)투찰_합덕-신례원(2공구)투찰 2" xfId="1867" xr:uid="{00000000-0005-0000-0000-00004B070000}"/>
    <cellStyle name="_부평배수지(투찰)_합덕-신례원(2공구)투찰_합덕-신례원(2공구)투찰_경찰서-터미널간도로(투찰)②" xfId="464" xr:uid="{00000000-0005-0000-0000-0000D0010000}"/>
    <cellStyle name="_부평배수지(투찰)_합덕-신례원(2공구)투찰_합덕-신례원(2공구)투찰_경찰서-터미널간도로(투찰)② 2" xfId="1868" xr:uid="{00000000-0005-0000-0000-00004C070000}"/>
    <cellStyle name="_부평배수지(투찰)_합덕-신례원(2공구)투찰_합덕-신례원(2공구)투찰_경찰서-터미널간도로(투찰)②_마현생창(동양고속)" xfId="465" xr:uid="{00000000-0005-0000-0000-0000D1010000}"/>
    <cellStyle name="_부평배수지(투찰)_합덕-신례원(2공구)투찰_합덕-신례원(2공구)투찰_경찰서-터미널간도로(투찰)②_마현생창(동양고속) 2" xfId="1869" xr:uid="{00000000-0005-0000-0000-00004D070000}"/>
    <cellStyle name="_부평배수지(투찰)_합덕-신례원(2공구)투찰_합덕-신례원(2공구)투찰_경찰서-터미널간도로(투찰)②_마현생창(동양고속)_왜관-태평건설" xfId="466" xr:uid="{00000000-0005-0000-0000-0000D2010000}"/>
    <cellStyle name="_부평배수지(투찰)_합덕-신례원(2공구)투찰_합덕-신례원(2공구)투찰_경찰서-터미널간도로(투찰)②_마현생창(동양고속)_왜관-태평건설 2" xfId="1870" xr:uid="{00000000-0005-0000-0000-00004E070000}"/>
    <cellStyle name="_부평배수지(투찰)_합덕-신례원(2공구)투찰_합덕-신례원(2공구)투찰_경찰서-터미널간도로(투찰)②_왜관-태평건설" xfId="467" xr:uid="{00000000-0005-0000-0000-0000D3010000}"/>
    <cellStyle name="_부평배수지(투찰)_합덕-신례원(2공구)투찰_합덕-신례원(2공구)투찰_경찰서-터미널간도로(투찰)②_왜관-태평건설 2" xfId="1871" xr:uid="{00000000-0005-0000-0000-00004F070000}"/>
    <cellStyle name="_부평배수지(투찰)_합덕-신례원(2공구)투찰_합덕-신례원(2공구)투찰_마현생창(동양고속)" xfId="468" xr:uid="{00000000-0005-0000-0000-0000D4010000}"/>
    <cellStyle name="_부평배수지(투찰)_합덕-신례원(2공구)투찰_합덕-신례원(2공구)투찰_마현생창(동양고속) 2" xfId="1872" xr:uid="{00000000-0005-0000-0000-000050070000}"/>
    <cellStyle name="_부평배수지(투찰)_합덕-신례원(2공구)투찰_합덕-신례원(2공구)투찰_마현생창(동양고속)_왜관-태평건설" xfId="469" xr:uid="{00000000-0005-0000-0000-0000D5010000}"/>
    <cellStyle name="_부평배수지(투찰)_합덕-신례원(2공구)투찰_합덕-신례원(2공구)투찰_마현생창(동양고속)_왜관-태평건설 2" xfId="1873" xr:uid="{00000000-0005-0000-0000-000051070000}"/>
    <cellStyle name="_부평배수지(투찰)_합덕-신례원(2공구)투찰_합덕-신례원(2공구)투찰_봉무지방산업단지도로(투찰)②" xfId="470" xr:uid="{00000000-0005-0000-0000-0000D6010000}"/>
    <cellStyle name="_부평배수지(투찰)_합덕-신례원(2공구)투찰_합덕-신례원(2공구)투찰_봉무지방산업단지도로(투찰)② 2" xfId="1874" xr:uid="{00000000-0005-0000-0000-000052070000}"/>
    <cellStyle name="_부평배수지(투찰)_합덕-신례원(2공구)투찰_합덕-신례원(2공구)투찰_봉무지방산업단지도로(투찰)②_마현생창(동양고속)" xfId="471" xr:uid="{00000000-0005-0000-0000-0000D7010000}"/>
    <cellStyle name="_부평배수지(투찰)_합덕-신례원(2공구)투찰_합덕-신례원(2공구)투찰_봉무지방산업단지도로(투찰)②_마현생창(동양고속) 2" xfId="1875" xr:uid="{00000000-0005-0000-0000-000053070000}"/>
    <cellStyle name="_부평배수지(투찰)_합덕-신례원(2공구)투찰_합덕-신례원(2공구)투찰_봉무지방산업단지도로(투찰)②_마현생창(동양고속)_왜관-태평건설" xfId="472" xr:uid="{00000000-0005-0000-0000-0000D8010000}"/>
    <cellStyle name="_부평배수지(투찰)_합덕-신례원(2공구)투찰_합덕-신례원(2공구)투찰_봉무지방산업단지도로(투찰)②_마현생창(동양고속)_왜관-태평건설 2" xfId="1876" xr:uid="{00000000-0005-0000-0000-000054070000}"/>
    <cellStyle name="_부평배수지(투찰)_합덕-신례원(2공구)투찰_합덕-신례원(2공구)투찰_봉무지방산업단지도로(투찰)②_왜관-태평건설" xfId="473" xr:uid="{00000000-0005-0000-0000-0000D9010000}"/>
    <cellStyle name="_부평배수지(투찰)_합덕-신례원(2공구)투찰_합덕-신례원(2공구)투찰_봉무지방산업단지도로(투찰)②_왜관-태평건설 2" xfId="1877" xr:uid="{00000000-0005-0000-0000-000055070000}"/>
    <cellStyle name="_부평배수지(투찰)_합덕-신례원(2공구)투찰_합덕-신례원(2공구)투찰_봉무지방산업단지도로(투찰)②+0.250%" xfId="474" xr:uid="{00000000-0005-0000-0000-0000DA010000}"/>
    <cellStyle name="_부평배수지(투찰)_합덕-신례원(2공구)투찰_합덕-신례원(2공구)투찰_봉무지방산업단지도로(투찰)②+0.250% 2" xfId="1878" xr:uid="{00000000-0005-0000-0000-000056070000}"/>
    <cellStyle name="_부평배수지(투찰)_합덕-신례원(2공구)투찰_합덕-신례원(2공구)투찰_봉무지방산업단지도로(투찰)②+0.250%_마현생창(동양고속)" xfId="475" xr:uid="{00000000-0005-0000-0000-0000DB010000}"/>
    <cellStyle name="_부평배수지(투찰)_합덕-신례원(2공구)투찰_합덕-신례원(2공구)투찰_봉무지방산업단지도로(투찰)②+0.250%_마현생창(동양고속) 2" xfId="1879" xr:uid="{00000000-0005-0000-0000-000057070000}"/>
    <cellStyle name="_부평배수지(투찰)_합덕-신례원(2공구)투찰_합덕-신례원(2공구)투찰_봉무지방산업단지도로(투찰)②+0.250%_마현생창(동양고속)_왜관-태평건설" xfId="476" xr:uid="{00000000-0005-0000-0000-0000DC010000}"/>
    <cellStyle name="_부평배수지(투찰)_합덕-신례원(2공구)투찰_합덕-신례원(2공구)투찰_봉무지방산업단지도로(투찰)②+0.250%_마현생창(동양고속)_왜관-태평건설 2" xfId="1880" xr:uid="{00000000-0005-0000-0000-000058070000}"/>
    <cellStyle name="_부평배수지(투찰)_합덕-신례원(2공구)투찰_합덕-신례원(2공구)투찰_봉무지방산업단지도로(투찰)②+0.250%_왜관-태평건설" xfId="477" xr:uid="{00000000-0005-0000-0000-0000DD010000}"/>
    <cellStyle name="_부평배수지(투찰)_합덕-신례원(2공구)투찰_합덕-신례원(2공구)투찰_봉무지방산업단지도로(투찰)②+0.250%_왜관-태평건설 2" xfId="1881" xr:uid="{00000000-0005-0000-0000-000059070000}"/>
    <cellStyle name="_부평배수지(투찰)_합덕-신례원(2공구)투찰_합덕-신례원(2공구)투찰_왜관-태평건설" xfId="478" xr:uid="{00000000-0005-0000-0000-0000DE010000}"/>
    <cellStyle name="_부평배수지(투찰)_합덕-신례원(2공구)투찰_합덕-신례원(2공구)투찰_왜관-태평건설 2" xfId="1882" xr:uid="{00000000-0005-0000-0000-00005A070000}"/>
    <cellStyle name="_사동초중" xfId="479" xr:uid="{00000000-0005-0000-0000-0000DF010000}"/>
    <cellStyle name="_서라벌고 내역서" xfId="480" xr:uid="{00000000-0005-0000-0000-0000E0010000}"/>
    <cellStyle name="_설계추정2(토목)대림" xfId="481" xr:uid="{00000000-0005-0000-0000-0000E1010000}"/>
    <cellStyle name="_소화펌프" xfId="482" xr:uid="{00000000-0005-0000-0000-0000E2010000}"/>
    <cellStyle name="_송학하수품의(설계넣고)" xfId="483" xr:uid="{00000000-0005-0000-0000-0000E3010000}"/>
    <cellStyle name="_송학하수품의(설계넣고) 2" xfId="1883" xr:uid="{00000000-0005-0000-0000-00005B070000}"/>
    <cellStyle name="_신태백(가실행)" xfId="484" xr:uid="{00000000-0005-0000-0000-0000E4010000}"/>
    <cellStyle name="_신태백(가실행) 2" xfId="1884" xr:uid="{00000000-0005-0000-0000-00005C070000}"/>
    <cellStyle name="_신태백(가실행)_1" xfId="485" xr:uid="{00000000-0005-0000-0000-0000E5010000}"/>
    <cellStyle name="_신태백(가실행)_1 2" xfId="1885" xr:uid="{00000000-0005-0000-0000-00005D070000}"/>
    <cellStyle name="_신태백(가실행)_1_경찰서-터미널간도로(투찰)②" xfId="486" xr:uid="{00000000-0005-0000-0000-0000E6010000}"/>
    <cellStyle name="_신태백(가실행)_1_경찰서-터미널간도로(투찰)② 2" xfId="1886" xr:uid="{00000000-0005-0000-0000-00005E070000}"/>
    <cellStyle name="_신태백(가실행)_1_경찰서-터미널간도로(투찰)②_마현생창(동양고속)" xfId="487" xr:uid="{00000000-0005-0000-0000-0000E7010000}"/>
    <cellStyle name="_신태백(가실행)_1_경찰서-터미널간도로(투찰)②_마현생창(동양고속) 2" xfId="1887" xr:uid="{00000000-0005-0000-0000-00005F070000}"/>
    <cellStyle name="_신태백(가실행)_1_경찰서-터미널간도로(투찰)②_마현생창(동양고속)_왜관-태평건설" xfId="488" xr:uid="{00000000-0005-0000-0000-0000E8010000}"/>
    <cellStyle name="_신태백(가실행)_1_경찰서-터미널간도로(투찰)②_마현생창(동양고속)_왜관-태평건설 2" xfId="1888" xr:uid="{00000000-0005-0000-0000-000060070000}"/>
    <cellStyle name="_신태백(가실행)_1_경찰서-터미널간도로(투찰)②_왜관-태평건설" xfId="489" xr:uid="{00000000-0005-0000-0000-0000E9010000}"/>
    <cellStyle name="_신태백(가실행)_1_경찰서-터미널간도로(투찰)②_왜관-태평건설 2" xfId="1889" xr:uid="{00000000-0005-0000-0000-000061070000}"/>
    <cellStyle name="_신태백(가실행)_1_마현생창(동양고속)" xfId="490" xr:uid="{00000000-0005-0000-0000-0000EA010000}"/>
    <cellStyle name="_신태백(가실행)_1_마현생창(동양고속) 2" xfId="1890" xr:uid="{00000000-0005-0000-0000-000062070000}"/>
    <cellStyle name="_신태백(가실행)_1_마현생창(동양고속)_왜관-태평건설" xfId="491" xr:uid="{00000000-0005-0000-0000-0000EB010000}"/>
    <cellStyle name="_신태백(가실행)_1_마현생창(동양고속)_왜관-태평건설 2" xfId="1891" xr:uid="{00000000-0005-0000-0000-000063070000}"/>
    <cellStyle name="_신태백(가실행)_1_봉무지방산업단지도로(투찰)②" xfId="492" xr:uid="{00000000-0005-0000-0000-0000EC010000}"/>
    <cellStyle name="_신태백(가실행)_1_봉무지방산업단지도로(투찰)② 2" xfId="1892" xr:uid="{00000000-0005-0000-0000-000064070000}"/>
    <cellStyle name="_신태백(가실행)_1_봉무지방산업단지도로(투찰)②_마현생창(동양고속)" xfId="493" xr:uid="{00000000-0005-0000-0000-0000ED010000}"/>
    <cellStyle name="_신태백(가실행)_1_봉무지방산업단지도로(투찰)②_마현생창(동양고속) 2" xfId="1893" xr:uid="{00000000-0005-0000-0000-000065070000}"/>
    <cellStyle name="_신태백(가실행)_1_봉무지방산업단지도로(투찰)②_마현생창(동양고속)_왜관-태평건설" xfId="494" xr:uid="{00000000-0005-0000-0000-0000EE010000}"/>
    <cellStyle name="_신태백(가실행)_1_봉무지방산업단지도로(투찰)②_마현생창(동양고속)_왜관-태평건설 2" xfId="1894" xr:uid="{00000000-0005-0000-0000-000066070000}"/>
    <cellStyle name="_신태백(가실행)_1_봉무지방산업단지도로(투찰)②_왜관-태평건설" xfId="495" xr:uid="{00000000-0005-0000-0000-0000EF010000}"/>
    <cellStyle name="_신태백(가실행)_1_봉무지방산업단지도로(투찰)②_왜관-태평건설 2" xfId="1895" xr:uid="{00000000-0005-0000-0000-000067070000}"/>
    <cellStyle name="_신태백(가실행)_1_봉무지방산업단지도로(투찰)②+0.250%" xfId="496" xr:uid="{00000000-0005-0000-0000-0000F0010000}"/>
    <cellStyle name="_신태백(가실행)_1_봉무지방산업단지도로(투찰)②+0.250% 2" xfId="1896" xr:uid="{00000000-0005-0000-0000-000068070000}"/>
    <cellStyle name="_신태백(가실행)_1_봉무지방산업단지도로(투찰)②+0.250%_마현생창(동양고속)" xfId="497" xr:uid="{00000000-0005-0000-0000-0000F1010000}"/>
    <cellStyle name="_신태백(가실행)_1_봉무지방산업단지도로(투찰)②+0.250%_마현생창(동양고속) 2" xfId="1897" xr:uid="{00000000-0005-0000-0000-000069070000}"/>
    <cellStyle name="_신태백(가실행)_1_봉무지방산업단지도로(투찰)②+0.250%_마현생창(동양고속)_왜관-태평건설" xfId="498" xr:uid="{00000000-0005-0000-0000-0000F2010000}"/>
    <cellStyle name="_신태백(가실행)_1_봉무지방산업단지도로(투찰)②+0.250%_마현생창(동양고속)_왜관-태평건설 2" xfId="1898" xr:uid="{00000000-0005-0000-0000-00006A070000}"/>
    <cellStyle name="_신태백(가실행)_1_봉무지방산업단지도로(투찰)②+0.250%_왜관-태평건설" xfId="499" xr:uid="{00000000-0005-0000-0000-0000F3010000}"/>
    <cellStyle name="_신태백(가실행)_1_봉무지방산업단지도로(투찰)②+0.250%_왜관-태평건설 2" xfId="1899" xr:uid="{00000000-0005-0000-0000-00006B070000}"/>
    <cellStyle name="_신태백(가실행)_1_왜관-태평건설" xfId="500" xr:uid="{00000000-0005-0000-0000-0000F4010000}"/>
    <cellStyle name="_신태백(가실행)_1_왜관-태평건설 2" xfId="1900" xr:uid="{00000000-0005-0000-0000-00006C070000}"/>
    <cellStyle name="_신태백(가실행)_1_합덕-신례원(2공구)투찰" xfId="501" xr:uid="{00000000-0005-0000-0000-0000F5010000}"/>
    <cellStyle name="_신태백(가실행)_1_합덕-신례원(2공구)투찰 2" xfId="1901" xr:uid="{00000000-0005-0000-0000-00006D070000}"/>
    <cellStyle name="_신태백(가실행)_1_합덕-신례원(2공구)투찰_경찰서-터미널간도로(투찰)②" xfId="502" xr:uid="{00000000-0005-0000-0000-0000F6010000}"/>
    <cellStyle name="_신태백(가실행)_1_합덕-신례원(2공구)투찰_경찰서-터미널간도로(투찰)② 2" xfId="1902" xr:uid="{00000000-0005-0000-0000-00006E070000}"/>
    <cellStyle name="_신태백(가실행)_1_합덕-신례원(2공구)투찰_경찰서-터미널간도로(투찰)②_마현생창(동양고속)" xfId="503" xr:uid="{00000000-0005-0000-0000-0000F7010000}"/>
    <cellStyle name="_신태백(가실행)_1_합덕-신례원(2공구)투찰_경찰서-터미널간도로(투찰)②_마현생창(동양고속) 2" xfId="1903" xr:uid="{00000000-0005-0000-0000-00006F070000}"/>
    <cellStyle name="_신태백(가실행)_1_합덕-신례원(2공구)투찰_경찰서-터미널간도로(투찰)②_마현생창(동양고속)_왜관-태평건설" xfId="504" xr:uid="{00000000-0005-0000-0000-0000F8010000}"/>
    <cellStyle name="_신태백(가실행)_1_합덕-신례원(2공구)투찰_경찰서-터미널간도로(투찰)②_마현생창(동양고속)_왜관-태평건설 2" xfId="1904" xr:uid="{00000000-0005-0000-0000-000070070000}"/>
    <cellStyle name="_신태백(가실행)_1_합덕-신례원(2공구)투찰_경찰서-터미널간도로(투찰)②_왜관-태평건설" xfId="505" xr:uid="{00000000-0005-0000-0000-0000F9010000}"/>
    <cellStyle name="_신태백(가실행)_1_합덕-신례원(2공구)투찰_경찰서-터미널간도로(투찰)②_왜관-태평건설 2" xfId="1905" xr:uid="{00000000-0005-0000-0000-000071070000}"/>
    <cellStyle name="_신태백(가실행)_1_합덕-신례원(2공구)투찰_마현생창(동양고속)" xfId="506" xr:uid="{00000000-0005-0000-0000-0000FA010000}"/>
    <cellStyle name="_신태백(가실행)_1_합덕-신례원(2공구)투찰_마현생창(동양고속) 2" xfId="1906" xr:uid="{00000000-0005-0000-0000-000072070000}"/>
    <cellStyle name="_신태백(가실행)_1_합덕-신례원(2공구)투찰_마현생창(동양고속)_왜관-태평건설" xfId="507" xr:uid="{00000000-0005-0000-0000-0000FB010000}"/>
    <cellStyle name="_신태백(가실행)_1_합덕-신례원(2공구)투찰_마현생창(동양고속)_왜관-태평건설 2" xfId="1907" xr:uid="{00000000-0005-0000-0000-000073070000}"/>
    <cellStyle name="_신태백(가실행)_1_합덕-신례원(2공구)투찰_봉무지방산업단지도로(투찰)②" xfId="508" xr:uid="{00000000-0005-0000-0000-0000FC010000}"/>
    <cellStyle name="_신태백(가실행)_1_합덕-신례원(2공구)투찰_봉무지방산업단지도로(투찰)② 2" xfId="1908" xr:uid="{00000000-0005-0000-0000-000074070000}"/>
    <cellStyle name="_신태백(가실행)_1_합덕-신례원(2공구)투찰_봉무지방산업단지도로(투찰)②_마현생창(동양고속)" xfId="509" xr:uid="{00000000-0005-0000-0000-0000FD010000}"/>
    <cellStyle name="_신태백(가실행)_1_합덕-신례원(2공구)투찰_봉무지방산업단지도로(투찰)②_마현생창(동양고속) 2" xfId="1909" xr:uid="{00000000-0005-0000-0000-000075070000}"/>
    <cellStyle name="_신태백(가실행)_1_합덕-신례원(2공구)투찰_봉무지방산업단지도로(투찰)②_마현생창(동양고속)_왜관-태평건설" xfId="510" xr:uid="{00000000-0005-0000-0000-0000FE010000}"/>
    <cellStyle name="_신태백(가실행)_1_합덕-신례원(2공구)투찰_봉무지방산업단지도로(투찰)②_마현생창(동양고속)_왜관-태평건설 2" xfId="1910" xr:uid="{00000000-0005-0000-0000-000076070000}"/>
    <cellStyle name="_신태백(가실행)_1_합덕-신례원(2공구)투찰_봉무지방산업단지도로(투찰)②_왜관-태평건설" xfId="511" xr:uid="{00000000-0005-0000-0000-0000FF010000}"/>
    <cellStyle name="_신태백(가실행)_1_합덕-신례원(2공구)투찰_봉무지방산업단지도로(투찰)②_왜관-태평건설 2" xfId="1911" xr:uid="{00000000-0005-0000-0000-000077070000}"/>
    <cellStyle name="_신태백(가실행)_1_합덕-신례원(2공구)투찰_봉무지방산업단지도로(투찰)②+0.250%" xfId="512" xr:uid="{00000000-0005-0000-0000-000000020000}"/>
    <cellStyle name="_신태백(가실행)_1_합덕-신례원(2공구)투찰_봉무지방산업단지도로(투찰)②+0.250% 2" xfId="1912" xr:uid="{00000000-0005-0000-0000-000078070000}"/>
    <cellStyle name="_신태백(가실행)_1_합덕-신례원(2공구)투찰_봉무지방산업단지도로(투찰)②+0.250%_마현생창(동양고속)" xfId="513" xr:uid="{00000000-0005-0000-0000-000001020000}"/>
    <cellStyle name="_신태백(가실행)_1_합덕-신례원(2공구)투찰_봉무지방산업단지도로(투찰)②+0.250%_마현생창(동양고속) 2" xfId="1913" xr:uid="{00000000-0005-0000-0000-000079070000}"/>
    <cellStyle name="_신태백(가실행)_1_합덕-신례원(2공구)투찰_봉무지방산업단지도로(투찰)②+0.250%_마현생창(동양고속)_왜관-태평건설" xfId="514" xr:uid="{00000000-0005-0000-0000-000002020000}"/>
    <cellStyle name="_신태백(가실행)_1_합덕-신례원(2공구)투찰_봉무지방산업단지도로(투찰)②+0.250%_마현생창(동양고속)_왜관-태평건설 2" xfId="1914" xr:uid="{00000000-0005-0000-0000-00007A070000}"/>
    <cellStyle name="_신태백(가실행)_1_합덕-신례원(2공구)투찰_봉무지방산업단지도로(투찰)②+0.250%_왜관-태평건설" xfId="515" xr:uid="{00000000-0005-0000-0000-000003020000}"/>
    <cellStyle name="_신태백(가실행)_1_합덕-신례원(2공구)투찰_봉무지방산업단지도로(투찰)②+0.250%_왜관-태평건설 2" xfId="1915" xr:uid="{00000000-0005-0000-0000-00007B070000}"/>
    <cellStyle name="_신태백(가실행)_1_합덕-신례원(2공구)투찰_왜관-태평건설" xfId="516" xr:uid="{00000000-0005-0000-0000-000004020000}"/>
    <cellStyle name="_신태백(가실행)_1_합덕-신례원(2공구)투찰_왜관-태평건설 2" xfId="1916" xr:uid="{00000000-0005-0000-0000-00007C070000}"/>
    <cellStyle name="_신태백(가실행)_1_합덕-신례원(2공구)투찰_합덕-신례원(2공구)투찰" xfId="517" xr:uid="{00000000-0005-0000-0000-000005020000}"/>
    <cellStyle name="_신태백(가실행)_1_합덕-신례원(2공구)투찰_합덕-신례원(2공구)투찰 2" xfId="1917" xr:uid="{00000000-0005-0000-0000-00007D070000}"/>
    <cellStyle name="_신태백(가실행)_1_합덕-신례원(2공구)투찰_합덕-신례원(2공구)투찰_경찰서-터미널간도로(투찰)②" xfId="518" xr:uid="{00000000-0005-0000-0000-000006020000}"/>
    <cellStyle name="_신태백(가실행)_1_합덕-신례원(2공구)투찰_합덕-신례원(2공구)투찰_경찰서-터미널간도로(투찰)② 2" xfId="1918" xr:uid="{00000000-0005-0000-0000-00007E070000}"/>
    <cellStyle name="_신태백(가실행)_1_합덕-신례원(2공구)투찰_합덕-신례원(2공구)투찰_경찰서-터미널간도로(투찰)②_마현생창(동양고속)" xfId="519" xr:uid="{00000000-0005-0000-0000-000007020000}"/>
    <cellStyle name="_신태백(가실행)_1_합덕-신례원(2공구)투찰_합덕-신례원(2공구)투찰_경찰서-터미널간도로(투찰)②_마현생창(동양고속) 2" xfId="1919" xr:uid="{00000000-0005-0000-0000-00007F070000}"/>
    <cellStyle name="_신태백(가실행)_1_합덕-신례원(2공구)투찰_합덕-신례원(2공구)투찰_경찰서-터미널간도로(투찰)②_마현생창(동양고속)_왜관-태평건설" xfId="520" xr:uid="{00000000-0005-0000-0000-000008020000}"/>
    <cellStyle name="_신태백(가실행)_1_합덕-신례원(2공구)투찰_합덕-신례원(2공구)투찰_경찰서-터미널간도로(투찰)②_마현생창(동양고속)_왜관-태평건설 2" xfId="1920" xr:uid="{00000000-0005-0000-0000-000080070000}"/>
    <cellStyle name="_신태백(가실행)_1_합덕-신례원(2공구)투찰_합덕-신례원(2공구)투찰_경찰서-터미널간도로(투찰)②_왜관-태평건설" xfId="521" xr:uid="{00000000-0005-0000-0000-000009020000}"/>
    <cellStyle name="_신태백(가실행)_1_합덕-신례원(2공구)투찰_합덕-신례원(2공구)투찰_경찰서-터미널간도로(투찰)②_왜관-태평건설 2" xfId="1921" xr:uid="{00000000-0005-0000-0000-000081070000}"/>
    <cellStyle name="_신태백(가실행)_1_합덕-신례원(2공구)투찰_합덕-신례원(2공구)투찰_마현생창(동양고속)" xfId="522" xr:uid="{00000000-0005-0000-0000-00000A020000}"/>
    <cellStyle name="_신태백(가실행)_1_합덕-신례원(2공구)투찰_합덕-신례원(2공구)투찰_마현생창(동양고속) 2" xfId="1922" xr:uid="{00000000-0005-0000-0000-000082070000}"/>
    <cellStyle name="_신태백(가실행)_1_합덕-신례원(2공구)투찰_합덕-신례원(2공구)투찰_마현생창(동양고속)_왜관-태평건설" xfId="523" xr:uid="{00000000-0005-0000-0000-00000B020000}"/>
    <cellStyle name="_신태백(가실행)_1_합덕-신례원(2공구)투찰_합덕-신례원(2공구)투찰_마현생창(동양고속)_왜관-태평건설 2" xfId="1923" xr:uid="{00000000-0005-0000-0000-000083070000}"/>
    <cellStyle name="_신태백(가실행)_1_합덕-신례원(2공구)투찰_합덕-신례원(2공구)투찰_봉무지방산업단지도로(투찰)②" xfId="524" xr:uid="{00000000-0005-0000-0000-00000C020000}"/>
    <cellStyle name="_신태백(가실행)_1_합덕-신례원(2공구)투찰_합덕-신례원(2공구)투찰_봉무지방산업단지도로(투찰)② 2" xfId="1924" xr:uid="{00000000-0005-0000-0000-000084070000}"/>
    <cellStyle name="_신태백(가실행)_1_합덕-신례원(2공구)투찰_합덕-신례원(2공구)투찰_봉무지방산업단지도로(투찰)②_마현생창(동양고속)" xfId="525" xr:uid="{00000000-0005-0000-0000-00000D020000}"/>
    <cellStyle name="_신태백(가실행)_1_합덕-신례원(2공구)투찰_합덕-신례원(2공구)투찰_봉무지방산업단지도로(투찰)②_마현생창(동양고속) 2" xfId="1925" xr:uid="{00000000-0005-0000-0000-000085070000}"/>
    <cellStyle name="_신태백(가실행)_1_합덕-신례원(2공구)투찰_합덕-신례원(2공구)투찰_봉무지방산업단지도로(투찰)②_마현생창(동양고속)_왜관-태평건설" xfId="526" xr:uid="{00000000-0005-0000-0000-00000E020000}"/>
    <cellStyle name="_신태백(가실행)_1_합덕-신례원(2공구)투찰_합덕-신례원(2공구)투찰_봉무지방산업단지도로(투찰)②_마현생창(동양고속)_왜관-태평건설 2" xfId="1926" xr:uid="{00000000-0005-0000-0000-000086070000}"/>
    <cellStyle name="_신태백(가실행)_1_합덕-신례원(2공구)투찰_합덕-신례원(2공구)투찰_봉무지방산업단지도로(투찰)②_왜관-태평건설" xfId="527" xr:uid="{00000000-0005-0000-0000-00000F020000}"/>
    <cellStyle name="_신태백(가실행)_1_합덕-신례원(2공구)투찰_합덕-신례원(2공구)투찰_봉무지방산업단지도로(투찰)②_왜관-태평건설 2" xfId="1927" xr:uid="{00000000-0005-0000-0000-000087070000}"/>
    <cellStyle name="_신태백(가실행)_1_합덕-신례원(2공구)투찰_합덕-신례원(2공구)투찰_봉무지방산업단지도로(투찰)②+0.250%" xfId="528" xr:uid="{00000000-0005-0000-0000-000010020000}"/>
    <cellStyle name="_신태백(가실행)_1_합덕-신례원(2공구)투찰_합덕-신례원(2공구)투찰_봉무지방산업단지도로(투찰)②+0.250% 2" xfId="1928" xr:uid="{00000000-0005-0000-0000-000088070000}"/>
    <cellStyle name="_신태백(가실행)_1_합덕-신례원(2공구)투찰_합덕-신례원(2공구)투찰_봉무지방산업단지도로(투찰)②+0.250%_마현생창(동양고속)" xfId="529" xr:uid="{00000000-0005-0000-0000-000011020000}"/>
    <cellStyle name="_신태백(가실행)_1_합덕-신례원(2공구)투찰_합덕-신례원(2공구)투찰_봉무지방산업단지도로(투찰)②+0.250%_마현생창(동양고속) 2" xfId="1929" xr:uid="{00000000-0005-0000-0000-000089070000}"/>
    <cellStyle name="_신태백(가실행)_1_합덕-신례원(2공구)투찰_합덕-신례원(2공구)투찰_봉무지방산업단지도로(투찰)②+0.250%_마현생창(동양고속)_왜관-태평건설" xfId="530" xr:uid="{00000000-0005-0000-0000-000012020000}"/>
    <cellStyle name="_신태백(가실행)_1_합덕-신례원(2공구)투찰_합덕-신례원(2공구)투찰_봉무지방산업단지도로(투찰)②+0.250%_마현생창(동양고속)_왜관-태평건설 2" xfId="1930" xr:uid="{00000000-0005-0000-0000-00008A070000}"/>
    <cellStyle name="_신태백(가실행)_1_합덕-신례원(2공구)투찰_합덕-신례원(2공구)투찰_봉무지방산업단지도로(투찰)②+0.250%_왜관-태평건설" xfId="531" xr:uid="{00000000-0005-0000-0000-000013020000}"/>
    <cellStyle name="_신태백(가실행)_1_합덕-신례원(2공구)투찰_합덕-신례원(2공구)투찰_봉무지방산업단지도로(투찰)②+0.250%_왜관-태평건설 2" xfId="1931" xr:uid="{00000000-0005-0000-0000-00008B070000}"/>
    <cellStyle name="_신태백(가실행)_1_합덕-신례원(2공구)투찰_합덕-신례원(2공구)투찰_왜관-태평건설" xfId="532" xr:uid="{00000000-0005-0000-0000-000014020000}"/>
    <cellStyle name="_신태백(가실행)_1_합덕-신례원(2공구)투찰_합덕-신례원(2공구)투찰_왜관-태평건설 2" xfId="1932" xr:uid="{00000000-0005-0000-0000-00008C070000}"/>
    <cellStyle name="_신태백(가실행)_경찰서-터미널간도로(투찰)②" xfId="533" xr:uid="{00000000-0005-0000-0000-000015020000}"/>
    <cellStyle name="_신태백(가실행)_경찰서-터미널간도로(투찰)② 2" xfId="1933" xr:uid="{00000000-0005-0000-0000-00008D070000}"/>
    <cellStyle name="_신태백(가실행)_경찰서-터미널간도로(투찰)②_마현생창(동양고속)" xfId="534" xr:uid="{00000000-0005-0000-0000-000016020000}"/>
    <cellStyle name="_신태백(가실행)_경찰서-터미널간도로(투찰)②_마현생창(동양고속) 2" xfId="1934" xr:uid="{00000000-0005-0000-0000-00008E070000}"/>
    <cellStyle name="_신태백(가실행)_경찰서-터미널간도로(투찰)②_마현생창(동양고속)_왜관-태평건설" xfId="535" xr:uid="{00000000-0005-0000-0000-000017020000}"/>
    <cellStyle name="_신태백(가실행)_경찰서-터미널간도로(투찰)②_마현생창(동양고속)_왜관-태평건설 2" xfId="1935" xr:uid="{00000000-0005-0000-0000-00008F070000}"/>
    <cellStyle name="_신태백(가실행)_경찰서-터미널간도로(투찰)②_왜관-태평건설" xfId="536" xr:uid="{00000000-0005-0000-0000-000018020000}"/>
    <cellStyle name="_신태백(가실행)_경찰서-터미널간도로(투찰)②_왜관-태평건설 2" xfId="1936" xr:uid="{00000000-0005-0000-0000-000090070000}"/>
    <cellStyle name="_신태백(가실행)_도덕-고흥도로(투찰)" xfId="537" xr:uid="{00000000-0005-0000-0000-000019020000}"/>
    <cellStyle name="_신태백(가실행)_도덕-고흥도로(투찰) 2" xfId="1937" xr:uid="{00000000-0005-0000-0000-000091070000}"/>
    <cellStyle name="_신태백(가실행)_도덕-고흥도로(투찰)_경찰서-터미널간도로(투찰)②" xfId="538" xr:uid="{00000000-0005-0000-0000-00001A020000}"/>
    <cellStyle name="_신태백(가실행)_도덕-고흥도로(투찰)_경찰서-터미널간도로(투찰)② 2" xfId="1938" xr:uid="{00000000-0005-0000-0000-000092070000}"/>
    <cellStyle name="_신태백(가실행)_도덕-고흥도로(투찰)_경찰서-터미널간도로(투찰)②_마현생창(동양고속)" xfId="539" xr:uid="{00000000-0005-0000-0000-00001B020000}"/>
    <cellStyle name="_신태백(가실행)_도덕-고흥도로(투찰)_경찰서-터미널간도로(투찰)②_마현생창(동양고속) 2" xfId="1939" xr:uid="{00000000-0005-0000-0000-000093070000}"/>
    <cellStyle name="_신태백(가실행)_도덕-고흥도로(투찰)_경찰서-터미널간도로(투찰)②_마현생창(동양고속)_왜관-태평건설" xfId="540" xr:uid="{00000000-0005-0000-0000-00001C020000}"/>
    <cellStyle name="_신태백(가실행)_도덕-고흥도로(투찰)_경찰서-터미널간도로(투찰)②_마현생창(동양고속)_왜관-태평건설 2" xfId="1940" xr:uid="{00000000-0005-0000-0000-000094070000}"/>
    <cellStyle name="_신태백(가실행)_도덕-고흥도로(투찰)_경찰서-터미널간도로(투찰)②_왜관-태평건설" xfId="541" xr:uid="{00000000-0005-0000-0000-00001D020000}"/>
    <cellStyle name="_신태백(가실행)_도덕-고흥도로(투찰)_경찰서-터미널간도로(투찰)②_왜관-태평건설 2" xfId="1941" xr:uid="{00000000-0005-0000-0000-000095070000}"/>
    <cellStyle name="_신태백(가실행)_도덕-고흥도로(투찰)_마현생창(동양고속)" xfId="542" xr:uid="{00000000-0005-0000-0000-00001E020000}"/>
    <cellStyle name="_신태백(가실행)_도덕-고흥도로(투찰)_마현생창(동양고속) 2" xfId="1942" xr:uid="{00000000-0005-0000-0000-000096070000}"/>
    <cellStyle name="_신태백(가실행)_도덕-고흥도로(투찰)_마현생창(동양고속)_왜관-태평건설" xfId="543" xr:uid="{00000000-0005-0000-0000-00001F020000}"/>
    <cellStyle name="_신태백(가실행)_도덕-고흥도로(투찰)_마현생창(동양고속)_왜관-태평건설 2" xfId="1943" xr:uid="{00000000-0005-0000-0000-000097070000}"/>
    <cellStyle name="_신태백(가실행)_도덕-고흥도로(투찰)_봉무지방산업단지도로(투찰)②" xfId="544" xr:uid="{00000000-0005-0000-0000-000020020000}"/>
    <cellStyle name="_신태백(가실행)_도덕-고흥도로(투찰)_봉무지방산업단지도로(투찰)② 2" xfId="1944" xr:uid="{00000000-0005-0000-0000-000098070000}"/>
    <cellStyle name="_신태백(가실행)_도덕-고흥도로(투찰)_봉무지방산업단지도로(투찰)②_마현생창(동양고속)" xfId="545" xr:uid="{00000000-0005-0000-0000-000021020000}"/>
    <cellStyle name="_신태백(가실행)_도덕-고흥도로(투찰)_봉무지방산업단지도로(투찰)②_마현생창(동양고속) 2" xfId="1945" xr:uid="{00000000-0005-0000-0000-000099070000}"/>
    <cellStyle name="_신태백(가실행)_도덕-고흥도로(투찰)_봉무지방산업단지도로(투찰)②_마현생창(동양고속)_왜관-태평건설" xfId="546" xr:uid="{00000000-0005-0000-0000-000022020000}"/>
    <cellStyle name="_신태백(가실행)_도덕-고흥도로(투찰)_봉무지방산업단지도로(투찰)②_마현생창(동양고속)_왜관-태평건설 2" xfId="1946" xr:uid="{00000000-0005-0000-0000-00009A070000}"/>
    <cellStyle name="_신태백(가실행)_도덕-고흥도로(투찰)_봉무지방산업단지도로(투찰)②_왜관-태평건설" xfId="547" xr:uid="{00000000-0005-0000-0000-000023020000}"/>
    <cellStyle name="_신태백(가실행)_도덕-고흥도로(투찰)_봉무지방산업단지도로(투찰)②_왜관-태평건설 2" xfId="1947" xr:uid="{00000000-0005-0000-0000-00009B070000}"/>
    <cellStyle name="_신태백(가실행)_도덕-고흥도로(투찰)_봉무지방산업단지도로(투찰)②+0.250%" xfId="548" xr:uid="{00000000-0005-0000-0000-000024020000}"/>
    <cellStyle name="_신태백(가실행)_도덕-고흥도로(투찰)_봉무지방산업단지도로(투찰)②+0.250% 2" xfId="1948" xr:uid="{00000000-0005-0000-0000-00009C070000}"/>
    <cellStyle name="_신태백(가실행)_도덕-고흥도로(투찰)_봉무지방산업단지도로(투찰)②+0.250%_마현생창(동양고속)" xfId="549" xr:uid="{00000000-0005-0000-0000-000025020000}"/>
    <cellStyle name="_신태백(가실행)_도덕-고흥도로(투찰)_봉무지방산업단지도로(투찰)②+0.250%_마현생창(동양고속) 2" xfId="1949" xr:uid="{00000000-0005-0000-0000-00009D070000}"/>
    <cellStyle name="_신태백(가실행)_도덕-고흥도로(투찰)_봉무지방산업단지도로(투찰)②+0.250%_마현생창(동양고속)_왜관-태평건설" xfId="550" xr:uid="{00000000-0005-0000-0000-000026020000}"/>
    <cellStyle name="_신태백(가실행)_도덕-고흥도로(투찰)_봉무지방산업단지도로(투찰)②+0.250%_마현생창(동양고속)_왜관-태평건설 2" xfId="1950" xr:uid="{00000000-0005-0000-0000-00009E070000}"/>
    <cellStyle name="_신태백(가실행)_도덕-고흥도로(투찰)_봉무지방산업단지도로(투찰)②+0.250%_왜관-태평건설" xfId="551" xr:uid="{00000000-0005-0000-0000-000027020000}"/>
    <cellStyle name="_신태백(가실행)_도덕-고흥도로(투찰)_봉무지방산업단지도로(투찰)②+0.250%_왜관-태평건설 2" xfId="1951" xr:uid="{00000000-0005-0000-0000-00009F070000}"/>
    <cellStyle name="_신태백(가실행)_도덕-고흥도로(투찰)_왜관-태평건설" xfId="552" xr:uid="{00000000-0005-0000-0000-000028020000}"/>
    <cellStyle name="_신태백(가실행)_도덕-고흥도로(투찰)_왜관-태평건설 2" xfId="1952" xr:uid="{00000000-0005-0000-0000-0000A0070000}"/>
    <cellStyle name="_신태백(가실행)_도덕-고흥도로(투찰)_합덕-신례원(2공구)투찰" xfId="553" xr:uid="{00000000-0005-0000-0000-000029020000}"/>
    <cellStyle name="_신태백(가실행)_도덕-고흥도로(투찰)_합덕-신례원(2공구)투찰 2" xfId="1953" xr:uid="{00000000-0005-0000-0000-0000A1070000}"/>
    <cellStyle name="_신태백(가실행)_도덕-고흥도로(투찰)_합덕-신례원(2공구)투찰_경찰서-터미널간도로(투찰)②" xfId="554" xr:uid="{00000000-0005-0000-0000-00002A020000}"/>
    <cellStyle name="_신태백(가실행)_도덕-고흥도로(투찰)_합덕-신례원(2공구)투찰_경찰서-터미널간도로(투찰)② 2" xfId="1954" xr:uid="{00000000-0005-0000-0000-0000A2070000}"/>
    <cellStyle name="_신태백(가실행)_도덕-고흥도로(투찰)_합덕-신례원(2공구)투찰_경찰서-터미널간도로(투찰)②_마현생창(동양고속)" xfId="555" xr:uid="{00000000-0005-0000-0000-00002B020000}"/>
    <cellStyle name="_신태백(가실행)_도덕-고흥도로(투찰)_합덕-신례원(2공구)투찰_경찰서-터미널간도로(투찰)②_마현생창(동양고속) 2" xfId="1955" xr:uid="{00000000-0005-0000-0000-0000A3070000}"/>
    <cellStyle name="_신태백(가실행)_도덕-고흥도로(투찰)_합덕-신례원(2공구)투찰_경찰서-터미널간도로(투찰)②_마현생창(동양고속)_왜관-태평건설" xfId="556" xr:uid="{00000000-0005-0000-0000-00002C020000}"/>
    <cellStyle name="_신태백(가실행)_도덕-고흥도로(투찰)_합덕-신례원(2공구)투찰_경찰서-터미널간도로(투찰)②_마현생창(동양고속)_왜관-태평건설 2" xfId="1956" xr:uid="{00000000-0005-0000-0000-0000A4070000}"/>
    <cellStyle name="_신태백(가실행)_도덕-고흥도로(투찰)_합덕-신례원(2공구)투찰_경찰서-터미널간도로(투찰)②_왜관-태평건설" xfId="557" xr:uid="{00000000-0005-0000-0000-00002D020000}"/>
    <cellStyle name="_신태백(가실행)_도덕-고흥도로(투찰)_합덕-신례원(2공구)투찰_경찰서-터미널간도로(투찰)②_왜관-태평건설 2" xfId="1957" xr:uid="{00000000-0005-0000-0000-0000A5070000}"/>
    <cellStyle name="_신태백(가실행)_도덕-고흥도로(투찰)_합덕-신례원(2공구)투찰_마현생창(동양고속)" xfId="558" xr:uid="{00000000-0005-0000-0000-00002E020000}"/>
    <cellStyle name="_신태백(가실행)_도덕-고흥도로(투찰)_합덕-신례원(2공구)투찰_마현생창(동양고속) 2" xfId="1958" xr:uid="{00000000-0005-0000-0000-0000A6070000}"/>
    <cellStyle name="_신태백(가실행)_도덕-고흥도로(투찰)_합덕-신례원(2공구)투찰_마현생창(동양고속)_왜관-태평건설" xfId="559" xr:uid="{00000000-0005-0000-0000-00002F020000}"/>
    <cellStyle name="_신태백(가실행)_도덕-고흥도로(투찰)_합덕-신례원(2공구)투찰_마현생창(동양고속)_왜관-태평건설 2" xfId="1959" xr:uid="{00000000-0005-0000-0000-0000A7070000}"/>
    <cellStyle name="_신태백(가실행)_도덕-고흥도로(투찰)_합덕-신례원(2공구)투찰_봉무지방산업단지도로(투찰)②" xfId="560" xr:uid="{00000000-0005-0000-0000-000030020000}"/>
    <cellStyle name="_신태백(가실행)_도덕-고흥도로(투찰)_합덕-신례원(2공구)투찰_봉무지방산업단지도로(투찰)② 2" xfId="1960" xr:uid="{00000000-0005-0000-0000-0000A8070000}"/>
    <cellStyle name="_신태백(가실행)_도덕-고흥도로(투찰)_합덕-신례원(2공구)투찰_봉무지방산업단지도로(투찰)②_마현생창(동양고속)" xfId="561" xr:uid="{00000000-0005-0000-0000-000031020000}"/>
    <cellStyle name="_신태백(가실행)_도덕-고흥도로(투찰)_합덕-신례원(2공구)투찰_봉무지방산업단지도로(투찰)②_마현생창(동양고속) 2" xfId="1961" xr:uid="{00000000-0005-0000-0000-0000A9070000}"/>
    <cellStyle name="_신태백(가실행)_도덕-고흥도로(투찰)_합덕-신례원(2공구)투찰_봉무지방산업단지도로(투찰)②_마현생창(동양고속)_왜관-태평건설" xfId="562" xr:uid="{00000000-0005-0000-0000-000032020000}"/>
    <cellStyle name="_신태백(가실행)_도덕-고흥도로(투찰)_합덕-신례원(2공구)투찰_봉무지방산업단지도로(투찰)②_마현생창(동양고속)_왜관-태평건설 2" xfId="1962" xr:uid="{00000000-0005-0000-0000-0000AA070000}"/>
    <cellStyle name="_신태백(가실행)_도덕-고흥도로(투찰)_합덕-신례원(2공구)투찰_봉무지방산업단지도로(투찰)②_왜관-태평건설" xfId="563" xr:uid="{00000000-0005-0000-0000-000033020000}"/>
    <cellStyle name="_신태백(가실행)_도덕-고흥도로(투찰)_합덕-신례원(2공구)투찰_봉무지방산업단지도로(투찰)②_왜관-태평건설 2" xfId="1963" xr:uid="{00000000-0005-0000-0000-0000AB070000}"/>
    <cellStyle name="_신태백(가실행)_도덕-고흥도로(투찰)_합덕-신례원(2공구)투찰_봉무지방산업단지도로(투찰)②+0.250%" xfId="564" xr:uid="{00000000-0005-0000-0000-000034020000}"/>
    <cellStyle name="_신태백(가실행)_도덕-고흥도로(투찰)_합덕-신례원(2공구)투찰_봉무지방산업단지도로(투찰)②+0.250% 2" xfId="1964" xr:uid="{00000000-0005-0000-0000-0000AC070000}"/>
    <cellStyle name="_신태백(가실행)_도덕-고흥도로(투찰)_합덕-신례원(2공구)투찰_봉무지방산업단지도로(투찰)②+0.250%_마현생창(동양고속)" xfId="565" xr:uid="{00000000-0005-0000-0000-000035020000}"/>
    <cellStyle name="_신태백(가실행)_도덕-고흥도로(투찰)_합덕-신례원(2공구)투찰_봉무지방산업단지도로(투찰)②+0.250%_마현생창(동양고속) 2" xfId="1965" xr:uid="{00000000-0005-0000-0000-0000AD070000}"/>
    <cellStyle name="_신태백(가실행)_도덕-고흥도로(투찰)_합덕-신례원(2공구)투찰_봉무지방산업단지도로(투찰)②+0.250%_마현생창(동양고속)_왜관-태평건설" xfId="566" xr:uid="{00000000-0005-0000-0000-000036020000}"/>
    <cellStyle name="_신태백(가실행)_도덕-고흥도로(투찰)_합덕-신례원(2공구)투찰_봉무지방산업단지도로(투찰)②+0.250%_마현생창(동양고속)_왜관-태평건설 2" xfId="1966" xr:uid="{00000000-0005-0000-0000-0000AE070000}"/>
    <cellStyle name="_신태백(가실행)_도덕-고흥도로(투찰)_합덕-신례원(2공구)투찰_봉무지방산업단지도로(투찰)②+0.250%_왜관-태평건설" xfId="567" xr:uid="{00000000-0005-0000-0000-000037020000}"/>
    <cellStyle name="_신태백(가실행)_도덕-고흥도로(투찰)_합덕-신례원(2공구)투찰_봉무지방산업단지도로(투찰)②+0.250%_왜관-태평건설 2" xfId="1967" xr:uid="{00000000-0005-0000-0000-0000AF070000}"/>
    <cellStyle name="_신태백(가실행)_도덕-고흥도로(투찰)_합덕-신례원(2공구)투찰_왜관-태평건설" xfId="568" xr:uid="{00000000-0005-0000-0000-000038020000}"/>
    <cellStyle name="_신태백(가실행)_도덕-고흥도로(투찰)_합덕-신례원(2공구)투찰_왜관-태평건설 2" xfId="1968" xr:uid="{00000000-0005-0000-0000-0000B0070000}"/>
    <cellStyle name="_신태백(가실행)_도덕-고흥도로(투찰)_합덕-신례원(2공구)투찰_합덕-신례원(2공구)투찰" xfId="569" xr:uid="{00000000-0005-0000-0000-000039020000}"/>
    <cellStyle name="_신태백(가실행)_도덕-고흥도로(투찰)_합덕-신례원(2공구)투찰_합덕-신례원(2공구)투찰 2" xfId="1969" xr:uid="{00000000-0005-0000-0000-0000B1070000}"/>
    <cellStyle name="_신태백(가실행)_도덕-고흥도로(투찰)_합덕-신례원(2공구)투찰_합덕-신례원(2공구)투찰_경찰서-터미널간도로(투찰)②" xfId="570" xr:uid="{00000000-0005-0000-0000-00003A020000}"/>
    <cellStyle name="_신태백(가실행)_도덕-고흥도로(투찰)_합덕-신례원(2공구)투찰_합덕-신례원(2공구)투찰_경찰서-터미널간도로(투찰)② 2" xfId="1970" xr:uid="{00000000-0005-0000-0000-0000B2070000}"/>
    <cellStyle name="_신태백(가실행)_도덕-고흥도로(투찰)_합덕-신례원(2공구)투찰_합덕-신례원(2공구)투찰_경찰서-터미널간도로(투찰)②_마현생창(동양고속)" xfId="571" xr:uid="{00000000-0005-0000-0000-00003B020000}"/>
    <cellStyle name="_신태백(가실행)_도덕-고흥도로(투찰)_합덕-신례원(2공구)투찰_합덕-신례원(2공구)투찰_경찰서-터미널간도로(투찰)②_마현생창(동양고속) 2" xfId="1971" xr:uid="{00000000-0005-0000-0000-0000B3070000}"/>
    <cellStyle name="_신태백(가실행)_도덕-고흥도로(투찰)_합덕-신례원(2공구)투찰_합덕-신례원(2공구)투찰_경찰서-터미널간도로(투찰)②_마현생창(동양고속)_왜관-태평건설" xfId="572" xr:uid="{00000000-0005-0000-0000-00003C020000}"/>
    <cellStyle name="_신태백(가실행)_도덕-고흥도로(투찰)_합덕-신례원(2공구)투찰_합덕-신례원(2공구)투찰_경찰서-터미널간도로(투찰)②_마현생창(동양고속)_왜관-태평건설 2" xfId="1972" xr:uid="{00000000-0005-0000-0000-0000B4070000}"/>
    <cellStyle name="_신태백(가실행)_도덕-고흥도로(투찰)_합덕-신례원(2공구)투찰_합덕-신례원(2공구)투찰_경찰서-터미널간도로(투찰)②_왜관-태평건설" xfId="573" xr:uid="{00000000-0005-0000-0000-00003D020000}"/>
    <cellStyle name="_신태백(가실행)_도덕-고흥도로(투찰)_합덕-신례원(2공구)투찰_합덕-신례원(2공구)투찰_경찰서-터미널간도로(투찰)②_왜관-태평건설 2" xfId="1973" xr:uid="{00000000-0005-0000-0000-0000B5070000}"/>
    <cellStyle name="_신태백(가실행)_도덕-고흥도로(투찰)_합덕-신례원(2공구)투찰_합덕-신례원(2공구)투찰_마현생창(동양고속)" xfId="574" xr:uid="{00000000-0005-0000-0000-00003E020000}"/>
    <cellStyle name="_신태백(가실행)_도덕-고흥도로(투찰)_합덕-신례원(2공구)투찰_합덕-신례원(2공구)투찰_마현생창(동양고속) 2" xfId="1974" xr:uid="{00000000-0005-0000-0000-0000B6070000}"/>
    <cellStyle name="_신태백(가실행)_도덕-고흥도로(투찰)_합덕-신례원(2공구)투찰_합덕-신례원(2공구)투찰_마현생창(동양고속)_왜관-태평건설" xfId="575" xr:uid="{00000000-0005-0000-0000-00003F020000}"/>
    <cellStyle name="_신태백(가실행)_도덕-고흥도로(투찰)_합덕-신례원(2공구)투찰_합덕-신례원(2공구)투찰_마현생창(동양고속)_왜관-태평건설 2" xfId="1975" xr:uid="{00000000-0005-0000-0000-0000B7070000}"/>
    <cellStyle name="_신태백(가실행)_도덕-고흥도로(투찰)_합덕-신례원(2공구)투찰_합덕-신례원(2공구)투찰_봉무지방산업단지도로(투찰)②" xfId="576" xr:uid="{00000000-0005-0000-0000-000040020000}"/>
    <cellStyle name="_신태백(가실행)_도덕-고흥도로(투찰)_합덕-신례원(2공구)투찰_합덕-신례원(2공구)투찰_봉무지방산업단지도로(투찰)② 2" xfId="1976" xr:uid="{00000000-0005-0000-0000-0000B8070000}"/>
    <cellStyle name="_신태백(가실행)_도덕-고흥도로(투찰)_합덕-신례원(2공구)투찰_합덕-신례원(2공구)투찰_봉무지방산업단지도로(투찰)②_마현생창(동양고속)" xfId="577" xr:uid="{00000000-0005-0000-0000-000041020000}"/>
    <cellStyle name="_신태백(가실행)_도덕-고흥도로(투찰)_합덕-신례원(2공구)투찰_합덕-신례원(2공구)투찰_봉무지방산업단지도로(투찰)②_마현생창(동양고속) 2" xfId="1977" xr:uid="{00000000-0005-0000-0000-0000B9070000}"/>
    <cellStyle name="_신태백(가실행)_도덕-고흥도로(투찰)_합덕-신례원(2공구)투찰_합덕-신례원(2공구)투찰_봉무지방산업단지도로(투찰)②_마현생창(동양고속)_왜관-태평건설" xfId="578" xr:uid="{00000000-0005-0000-0000-000042020000}"/>
    <cellStyle name="_신태백(가실행)_도덕-고흥도로(투찰)_합덕-신례원(2공구)투찰_합덕-신례원(2공구)투찰_봉무지방산업단지도로(투찰)②_마현생창(동양고속)_왜관-태평건설 2" xfId="1978" xr:uid="{00000000-0005-0000-0000-0000BA070000}"/>
    <cellStyle name="_신태백(가실행)_도덕-고흥도로(투찰)_합덕-신례원(2공구)투찰_합덕-신례원(2공구)투찰_봉무지방산업단지도로(투찰)②_왜관-태평건설" xfId="579" xr:uid="{00000000-0005-0000-0000-000043020000}"/>
    <cellStyle name="_신태백(가실행)_도덕-고흥도로(투찰)_합덕-신례원(2공구)투찰_합덕-신례원(2공구)투찰_봉무지방산업단지도로(투찰)②_왜관-태평건설 2" xfId="1979" xr:uid="{00000000-0005-0000-0000-0000BB070000}"/>
    <cellStyle name="_신태백(가실행)_도덕-고흥도로(투찰)_합덕-신례원(2공구)투찰_합덕-신례원(2공구)투찰_봉무지방산업단지도로(투찰)②+0.250%" xfId="580" xr:uid="{00000000-0005-0000-0000-000044020000}"/>
    <cellStyle name="_신태백(가실행)_도덕-고흥도로(투찰)_합덕-신례원(2공구)투찰_합덕-신례원(2공구)투찰_봉무지방산업단지도로(투찰)②+0.250% 2" xfId="1980" xr:uid="{00000000-0005-0000-0000-0000BC070000}"/>
    <cellStyle name="_신태백(가실행)_도덕-고흥도로(투찰)_합덕-신례원(2공구)투찰_합덕-신례원(2공구)투찰_봉무지방산업단지도로(투찰)②+0.250%_마현생창(동양고속)" xfId="581" xr:uid="{00000000-0005-0000-0000-000045020000}"/>
    <cellStyle name="_신태백(가실행)_도덕-고흥도로(투찰)_합덕-신례원(2공구)투찰_합덕-신례원(2공구)투찰_봉무지방산업단지도로(투찰)②+0.250%_마현생창(동양고속) 2" xfId="1981" xr:uid="{00000000-0005-0000-0000-0000BD070000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6020000}"/>
    <cellStyle name="_신태백(가실행)_도덕-고흥도로(투찰)_합덕-신례원(2공구)투찰_합덕-신례원(2공구)투찰_봉무지방산업단지도로(투찰)②+0.250%_마현생창(동양고속)_왜관-태평건설 2" xfId="1982" xr:uid="{00000000-0005-0000-0000-0000BE070000}"/>
    <cellStyle name="_신태백(가실행)_도덕-고흥도로(투찰)_합덕-신례원(2공구)투찰_합덕-신례원(2공구)투찰_봉무지방산업단지도로(투찰)②+0.250%_왜관-태평건설" xfId="583" xr:uid="{00000000-0005-0000-0000-000047020000}"/>
    <cellStyle name="_신태백(가실행)_도덕-고흥도로(투찰)_합덕-신례원(2공구)투찰_합덕-신례원(2공구)투찰_봉무지방산업단지도로(투찰)②+0.250%_왜관-태평건설 2" xfId="1983" xr:uid="{00000000-0005-0000-0000-0000BF070000}"/>
    <cellStyle name="_신태백(가실행)_도덕-고흥도로(투찰)_합덕-신례원(2공구)투찰_합덕-신례원(2공구)투찰_왜관-태평건설" xfId="584" xr:uid="{00000000-0005-0000-0000-000048020000}"/>
    <cellStyle name="_신태백(가실행)_도덕-고흥도로(투찰)_합덕-신례원(2공구)투찰_합덕-신례원(2공구)투찰_왜관-태평건설 2" xfId="1984" xr:uid="{00000000-0005-0000-0000-0000C0070000}"/>
    <cellStyle name="_신태백(가실행)_마현생창(동양고속)" xfId="585" xr:uid="{00000000-0005-0000-0000-000049020000}"/>
    <cellStyle name="_신태백(가실행)_마현생창(동양고속) 2" xfId="1985" xr:uid="{00000000-0005-0000-0000-0000C1070000}"/>
    <cellStyle name="_신태백(가실행)_마현생창(동양고속)_왜관-태평건설" xfId="586" xr:uid="{00000000-0005-0000-0000-00004A020000}"/>
    <cellStyle name="_신태백(가실행)_마현생창(동양고속)_왜관-태평건설 2" xfId="1986" xr:uid="{00000000-0005-0000-0000-0000C2070000}"/>
    <cellStyle name="_신태백(가실행)_봉무지방산업단지도로(투찰)②" xfId="587" xr:uid="{00000000-0005-0000-0000-00004B020000}"/>
    <cellStyle name="_신태백(가실행)_봉무지방산업단지도로(투찰)② 2" xfId="1987" xr:uid="{00000000-0005-0000-0000-0000C3070000}"/>
    <cellStyle name="_신태백(가실행)_봉무지방산업단지도로(투찰)②_마현생창(동양고속)" xfId="588" xr:uid="{00000000-0005-0000-0000-00004C020000}"/>
    <cellStyle name="_신태백(가실행)_봉무지방산업단지도로(투찰)②_마현생창(동양고속) 2" xfId="1988" xr:uid="{00000000-0005-0000-0000-0000C4070000}"/>
    <cellStyle name="_신태백(가실행)_봉무지방산업단지도로(투찰)②_마현생창(동양고속)_왜관-태평건설" xfId="589" xr:uid="{00000000-0005-0000-0000-00004D020000}"/>
    <cellStyle name="_신태백(가실행)_봉무지방산업단지도로(투찰)②_마현생창(동양고속)_왜관-태평건설 2" xfId="1989" xr:uid="{00000000-0005-0000-0000-0000C5070000}"/>
    <cellStyle name="_신태백(가실행)_봉무지방산업단지도로(투찰)②_왜관-태평건설" xfId="590" xr:uid="{00000000-0005-0000-0000-00004E020000}"/>
    <cellStyle name="_신태백(가실행)_봉무지방산업단지도로(투찰)②_왜관-태평건설 2" xfId="1990" xr:uid="{00000000-0005-0000-0000-0000C6070000}"/>
    <cellStyle name="_신태백(가실행)_봉무지방산업단지도로(투찰)②+0.250%" xfId="591" xr:uid="{00000000-0005-0000-0000-00004F020000}"/>
    <cellStyle name="_신태백(가실행)_봉무지방산업단지도로(투찰)②+0.250% 2" xfId="1991" xr:uid="{00000000-0005-0000-0000-0000C7070000}"/>
    <cellStyle name="_신태백(가실행)_봉무지방산업단지도로(투찰)②+0.250%_마현생창(동양고속)" xfId="592" xr:uid="{00000000-0005-0000-0000-000050020000}"/>
    <cellStyle name="_신태백(가실행)_봉무지방산업단지도로(투찰)②+0.250%_마현생창(동양고속) 2" xfId="1992" xr:uid="{00000000-0005-0000-0000-0000C8070000}"/>
    <cellStyle name="_신태백(가실행)_봉무지방산업단지도로(투찰)②+0.250%_마현생창(동양고속)_왜관-태평건설" xfId="593" xr:uid="{00000000-0005-0000-0000-000051020000}"/>
    <cellStyle name="_신태백(가실행)_봉무지방산업단지도로(투찰)②+0.250%_마현생창(동양고속)_왜관-태평건설 2" xfId="1993" xr:uid="{00000000-0005-0000-0000-0000C9070000}"/>
    <cellStyle name="_신태백(가실행)_봉무지방산업단지도로(투찰)②+0.250%_왜관-태평건설" xfId="594" xr:uid="{00000000-0005-0000-0000-000052020000}"/>
    <cellStyle name="_신태백(가실행)_봉무지방산업단지도로(투찰)②+0.250%_왜관-태평건설 2" xfId="1994" xr:uid="{00000000-0005-0000-0000-0000CA070000}"/>
    <cellStyle name="_신태백(가실행)_안산부대(투찰)⑤" xfId="595" xr:uid="{00000000-0005-0000-0000-000053020000}"/>
    <cellStyle name="_신태백(가실행)_안산부대(투찰)⑤ 2" xfId="1995" xr:uid="{00000000-0005-0000-0000-0000CB070000}"/>
    <cellStyle name="_신태백(가실행)_안산부대(투찰)⑤_경찰서-터미널간도로(투찰)②" xfId="596" xr:uid="{00000000-0005-0000-0000-000054020000}"/>
    <cellStyle name="_신태백(가실행)_안산부대(투찰)⑤_경찰서-터미널간도로(투찰)② 2" xfId="1996" xr:uid="{00000000-0005-0000-0000-0000CC070000}"/>
    <cellStyle name="_신태백(가실행)_안산부대(투찰)⑤_경찰서-터미널간도로(투찰)②_마현생창(동양고속)" xfId="597" xr:uid="{00000000-0005-0000-0000-000055020000}"/>
    <cellStyle name="_신태백(가실행)_안산부대(투찰)⑤_경찰서-터미널간도로(투찰)②_마현생창(동양고속) 2" xfId="1997" xr:uid="{00000000-0005-0000-0000-0000CD070000}"/>
    <cellStyle name="_신태백(가실행)_안산부대(투찰)⑤_경찰서-터미널간도로(투찰)②_마현생창(동양고속)_왜관-태평건설" xfId="598" xr:uid="{00000000-0005-0000-0000-000056020000}"/>
    <cellStyle name="_신태백(가실행)_안산부대(투찰)⑤_경찰서-터미널간도로(투찰)②_마현생창(동양고속)_왜관-태평건설 2" xfId="1998" xr:uid="{00000000-0005-0000-0000-0000CE070000}"/>
    <cellStyle name="_신태백(가실행)_안산부대(투찰)⑤_경찰서-터미널간도로(투찰)②_왜관-태평건설" xfId="599" xr:uid="{00000000-0005-0000-0000-000057020000}"/>
    <cellStyle name="_신태백(가실행)_안산부대(투찰)⑤_경찰서-터미널간도로(투찰)②_왜관-태평건설 2" xfId="1999" xr:uid="{00000000-0005-0000-0000-0000CF070000}"/>
    <cellStyle name="_신태백(가실행)_안산부대(투찰)⑤_마현생창(동양고속)" xfId="600" xr:uid="{00000000-0005-0000-0000-000058020000}"/>
    <cellStyle name="_신태백(가실행)_안산부대(투찰)⑤_마현생창(동양고속) 2" xfId="2000" xr:uid="{00000000-0005-0000-0000-0000D0070000}"/>
    <cellStyle name="_신태백(가실행)_안산부대(투찰)⑤_마현생창(동양고속)_왜관-태평건설" xfId="601" xr:uid="{00000000-0005-0000-0000-000059020000}"/>
    <cellStyle name="_신태백(가실행)_안산부대(투찰)⑤_마현생창(동양고속)_왜관-태평건설 2" xfId="2001" xr:uid="{00000000-0005-0000-0000-0000D1070000}"/>
    <cellStyle name="_신태백(가실행)_안산부대(투찰)⑤_봉무지방산업단지도로(투찰)②" xfId="602" xr:uid="{00000000-0005-0000-0000-00005A020000}"/>
    <cellStyle name="_신태백(가실행)_안산부대(투찰)⑤_봉무지방산업단지도로(투찰)② 2" xfId="2002" xr:uid="{00000000-0005-0000-0000-0000D2070000}"/>
    <cellStyle name="_신태백(가실행)_안산부대(투찰)⑤_봉무지방산업단지도로(투찰)②_마현생창(동양고속)" xfId="603" xr:uid="{00000000-0005-0000-0000-00005B020000}"/>
    <cellStyle name="_신태백(가실행)_안산부대(투찰)⑤_봉무지방산업단지도로(투찰)②_마현생창(동양고속) 2" xfId="2003" xr:uid="{00000000-0005-0000-0000-0000D3070000}"/>
    <cellStyle name="_신태백(가실행)_안산부대(투찰)⑤_봉무지방산업단지도로(투찰)②_마현생창(동양고속)_왜관-태평건설" xfId="604" xr:uid="{00000000-0005-0000-0000-00005C020000}"/>
    <cellStyle name="_신태백(가실행)_안산부대(투찰)⑤_봉무지방산업단지도로(투찰)②_마현생창(동양고속)_왜관-태평건설 2" xfId="2004" xr:uid="{00000000-0005-0000-0000-0000D4070000}"/>
    <cellStyle name="_신태백(가실행)_안산부대(투찰)⑤_봉무지방산업단지도로(투찰)②_왜관-태평건설" xfId="605" xr:uid="{00000000-0005-0000-0000-00005D020000}"/>
    <cellStyle name="_신태백(가실행)_안산부대(투찰)⑤_봉무지방산업단지도로(투찰)②_왜관-태평건설 2" xfId="2005" xr:uid="{00000000-0005-0000-0000-0000D5070000}"/>
    <cellStyle name="_신태백(가실행)_안산부대(투찰)⑤_봉무지방산업단지도로(투찰)②+0.250%" xfId="606" xr:uid="{00000000-0005-0000-0000-00005E020000}"/>
    <cellStyle name="_신태백(가실행)_안산부대(투찰)⑤_봉무지방산업단지도로(투찰)②+0.250% 2" xfId="2006" xr:uid="{00000000-0005-0000-0000-0000D6070000}"/>
    <cellStyle name="_신태백(가실행)_안산부대(투찰)⑤_봉무지방산업단지도로(투찰)②+0.250%_마현생창(동양고속)" xfId="607" xr:uid="{00000000-0005-0000-0000-00005F020000}"/>
    <cellStyle name="_신태백(가실행)_안산부대(투찰)⑤_봉무지방산업단지도로(투찰)②+0.250%_마현생창(동양고속) 2" xfId="2007" xr:uid="{00000000-0005-0000-0000-0000D7070000}"/>
    <cellStyle name="_신태백(가실행)_안산부대(투찰)⑤_봉무지방산업단지도로(투찰)②+0.250%_마현생창(동양고속)_왜관-태평건설" xfId="608" xr:uid="{00000000-0005-0000-0000-000060020000}"/>
    <cellStyle name="_신태백(가실행)_안산부대(투찰)⑤_봉무지방산업단지도로(투찰)②+0.250%_마현생창(동양고속)_왜관-태평건설 2" xfId="2008" xr:uid="{00000000-0005-0000-0000-0000D8070000}"/>
    <cellStyle name="_신태백(가실행)_안산부대(투찰)⑤_봉무지방산업단지도로(투찰)②+0.250%_왜관-태평건설" xfId="609" xr:uid="{00000000-0005-0000-0000-000061020000}"/>
    <cellStyle name="_신태백(가실행)_안산부대(투찰)⑤_봉무지방산업단지도로(투찰)②+0.250%_왜관-태평건설 2" xfId="2009" xr:uid="{00000000-0005-0000-0000-0000D9070000}"/>
    <cellStyle name="_신태백(가실행)_안산부대(투찰)⑤_왜관-태평건설" xfId="610" xr:uid="{00000000-0005-0000-0000-000062020000}"/>
    <cellStyle name="_신태백(가실행)_안산부대(투찰)⑤_왜관-태평건설 2" xfId="2010" xr:uid="{00000000-0005-0000-0000-0000DA070000}"/>
    <cellStyle name="_신태백(가실행)_안산부대(투찰)⑤_합덕-신례원(2공구)투찰" xfId="611" xr:uid="{00000000-0005-0000-0000-000063020000}"/>
    <cellStyle name="_신태백(가실행)_안산부대(투찰)⑤_합덕-신례원(2공구)투찰 2" xfId="2011" xr:uid="{00000000-0005-0000-0000-0000DB070000}"/>
    <cellStyle name="_신태백(가실행)_안산부대(투찰)⑤_합덕-신례원(2공구)투찰_경찰서-터미널간도로(투찰)②" xfId="612" xr:uid="{00000000-0005-0000-0000-000064020000}"/>
    <cellStyle name="_신태백(가실행)_안산부대(투찰)⑤_합덕-신례원(2공구)투찰_경찰서-터미널간도로(투찰)② 2" xfId="2012" xr:uid="{00000000-0005-0000-0000-0000DC070000}"/>
    <cellStyle name="_신태백(가실행)_안산부대(투찰)⑤_합덕-신례원(2공구)투찰_경찰서-터미널간도로(투찰)②_마현생창(동양고속)" xfId="613" xr:uid="{00000000-0005-0000-0000-000065020000}"/>
    <cellStyle name="_신태백(가실행)_안산부대(투찰)⑤_합덕-신례원(2공구)투찰_경찰서-터미널간도로(투찰)②_마현생창(동양고속) 2" xfId="2013" xr:uid="{00000000-0005-0000-0000-0000DD070000}"/>
    <cellStyle name="_신태백(가실행)_안산부대(투찰)⑤_합덕-신례원(2공구)투찰_경찰서-터미널간도로(투찰)②_마현생창(동양고속)_왜관-태평건설" xfId="614" xr:uid="{00000000-0005-0000-0000-000066020000}"/>
    <cellStyle name="_신태백(가실행)_안산부대(투찰)⑤_합덕-신례원(2공구)투찰_경찰서-터미널간도로(투찰)②_마현생창(동양고속)_왜관-태평건설 2" xfId="2014" xr:uid="{00000000-0005-0000-0000-0000DE070000}"/>
    <cellStyle name="_신태백(가실행)_안산부대(투찰)⑤_합덕-신례원(2공구)투찰_경찰서-터미널간도로(투찰)②_왜관-태평건설" xfId="615" xr:uid="{00000000-0005-0000-0000-000067020000}"/>
    <cellStyle name="_신태백(가실행)_안산부대(투찰)⑤_합덕-신례원(2공구)투찰_경찰서-터미널간도로(투찰)②_왜관-태평건설 2" xfId="2015" xr:uid="{00000000-0005-0000-0000-0000DF070000}"/>
    <cellStyle name="_신태백(가실행)_안산부대(투찰)⑤_합덕-신례원(2공구)투찰_마현생창(동양고속)" xfId="616" xr:uid="{00000000-0005-0000-0000-000068020000}"/>
    <cellStyle name="_신태백(가실행)_안산부대(투찰)⑤_합덕-신례원(2공구)투찰_마현생창(동양고속) 2" xfId="2016" xr:uid="{00000000-0005-0000-0000-0000E0070000}"/>
    <cellStyle name="_신태백(가실행)_안산부대(투찰)⑤_합덕-신례원(2공구)투찰_마현생창(동양고속)_왜관-태평건설" xfId="617" xr:uid="{00000000-0005-0000-0000-000069020000}"/>
    <cellStyle name="_신태백(가실행)_안산부대(투찰)⑤_합덕-신례원(2공구)투찰_마현생창(동양고속)_왜관-태평건설 2" xfId="2017" xr:uid="{00000000-0005-0000-0000-0000E1070000}"/>
    <cellStyle name="_신태백(가실행)_안산부대(투찰)⑤_합덕-신례원(2공구)투찰_봉무지방산업단지도로(투찰)②" xfId="618" xr:uid="{00000000-0005-0000-0000-00006A020000}"/>
    <cellStyle name="_신태백(가실행)_안산부대(투찰)⑤_합덕-신례원(2공구)투찰_봉무지방산업단지도로(투찰)② 2" xfId="2018" xr:uid="{00000000-0005-0000-0000-0000E2070000}"/>
    <cellStyle name="_신태백(가실행)_안산부대(투찰)⑤_합덕-신례원(2공구)투찰_봉무지방산업단지도로(투찰)②_마현생창(동양고속)" xfId="619" xr:uid="{00000000-0005-0000-0000-00006B020000}"/>
    <cellStyle name="_신태백(가실행)_안산부대(투찰)⑤_합덕-신례원(2공구)투찰_봉무지방산업단지도로(투찰)②_마현생창(동양고속) 2" xfId="2019" xr:uid="{00000000-0005-0000-0000-0000E3070000}"/>
    <cellStyle name="_신태백(가실행)_안산부대(투찰)⑤_합덕-신례원(2공구)투찰_봉무지방산업단지도로(투찰)②_마현생창(동양고속)_왜관-태평건설" xfId="620" xr:uid="{00000000-0005-0000-0000-00006C020000}"/>
    <cellStyle name="_신태백(가실행)_안산부대(투찰)⑤_합덕-신례원(2공구)투찰_봉무지방산업단지도로(투찰)②_마현생창(동양고속)_왜관-태평건설 2" xfId="2020" xr:uid="{00000000-0005-0000-0000-0000E4070000}"/>
    <cellStyle name="_신태백(가실행)_안산부대(투찰)⑤_합덕-신례원(2공구)투찰_봉무지방산업단지도로(투찰)②_왜관-태평건설" xfId="621" xr:uid="{00000000-0005-0000-0000-00006D020000}"/>
    <cellStyle name="_신태백(가실행)_안산부대(투찰)⑤_합덕-신례원(2공구)투찰_봉무지방산업단지도로(투찰)②_왜관-태평건설 2" xfId="2021" xr:uid="{00000000-0005-0000-0000-0000E5070000}"/>
    <cellStyle name="_신태백(가실행)_안산부대(투찰)⑤_합덕-신례원(2공구)투찰_봉무지방산업단지도로(투찰)②+0.250%" xfId="622" xr:uid="{00000000-0005-0000-0000-00006E020000}"/>
    <cellStyle name="_신태백(가실행)_안산부대(투찰)⑤_합덕-신례원(2공구)투찰_봉무지방산업단지도로(투찰)②+0.250% 2" xfId="2022" xr:uid="{00000000-0005-0000-0000-0000E6070000}"/>
    <cellStyle name="_신태백(가실행)_안산부대(투찰)⑤_합덕-신례원(2공구)투찰_봉무지방산업단지도로(투찰)②+0.250%_마현생창(동양고속)" xfId="623" xr:uid="{00000000-0005-0000-0000-00006F020000}"/>
    <cellStyle name="_신태백(가실행)_안산부대(투찰)⑤_합덕-신례원(2공구)투찰_봉무지방산업단지도로(투찰)②+0.250%_마현생창(동양고속) 2" xfId="2023" xr:uid="{00000000-0005-0000-0000-0000E7070000}"/>
    <cellStyle name="_신태백(가실행)_안산부대(투찰)⑤_합덕-신례원(2공구)투찰_봉무지방산업단지도로(투찰)②+0.250%_마현생창(동양고속)_왜관-태평건설" xfId="624" xr:uid="{00000000-0005-0000-0000-000070020000}"/>
    <cellStyle name="_신태백(가실행)_안산부대(투찰)⑤_합덕-신례원(2공구)투찰_봉무지방산업단지도로(투찰)②+0.250%_마현생창(동양고속)_왜관-태평건설 2" xfId="2024" xr:uid="{00000000-0005-0000-0000-0000E8070000}"/>
    <cellStyle name="_신태백(가실행)_안산부대(투찰)⑤_합덕-신례원(2공구)투찰_봉무지방산업단지도로(투찰)②+0.250%_왜관-태평건설" xfId="625" xr:uid="{00000000-0005-0000-0000-000071020000}"/>
    <cellStyle name="_신태백(가실행)_안산부대(투찰)⑤_합덕-신례원(2공구)투찰_봉무지방산업단지도로(투찰)②+0.250%_왜관-태평건설 2" xfId="2025" xr:uid="{00000000-0005-0000-0000-0000E9070000}"/>
    <cellStyle name="_신태백(가실행)_안산부대(투찰)⑤_합덕-신례원(2공구)투찰_왜관-태평건설" xfId="626" xr:uid="{00000000-0005-0000-0000-000072020000}"/>
    <cellStyle name="_신태백(가실행)_안산부대(투찰)⑤_합덕-신례원(2공구)투찰_왜관-태평건설 2" xfId="2026" xr:uid="{00000000-0005-0000-0000-0000EA070000}"/>
    <cellStyle name="_신태백(가실행)_안산부대(투찰)⑤_합덕-신례원(2공구)투찰_합덕-신례원(2공구)투찰" xfId="627" xr:uid="{00000000-0005-0000-0000-000073020000}"/>
    <cellStyle name="_신태백(가실행)_안산부대(투찰)⑤_합덕-신례원(2공구)투찰_합덕-신례원(2공구)투찰 2" xfId="2027" xr:uid="{00000000-0005-0000-0000-0000EB070000}"/>
    <cellStyle name="_신태백(가실행)_안산부대(투찰)⑤_합덕-신례원(2공구)투찰_합덕-신례원(2공구)투찰_경찰서-터미널간도로(투찰)②" xfId="628" xr:uid="{00000000-0005-0000-0000-000074020000}"/>
    <cellStyle name="_신태백(가실행)_안산부대(투찰)⑤_합덕-신례원(2공구)투찰_합덕-신례원(2공구)투찰_경찰서-터미널간도로(투찰)② 2" xfId="2028" xr:uid="{00000000-0005-0000-0000-0000EC070000}"/>
    <cellStyle name="_신태백(가실행)_안산부대(투찰)⑤_합덕-신례원(2공구)투찰_합덕-신례원(2공구)투찰_경찰서-터미널간도로(투찰)②_마현생창(동양고속)" xfId="629" xr:uid="{00000000-0005-0000-0000-000075020000}"/>
    <cellStyle name="_신태백(가실행)_안산부대(투찰)⑤_합덕-신례원(2공구)투찰_합덕-신례원(2공구)투찰_경찰서-터미널간도로(투찰)②_마현생창(동양고속) 2" xfId="2029" xr:uid="{00000000-0005-0000-0000-0000ED070000}"/>
    <cellStyle name="_신태백(가실행)_안산부대(투찰)⑤_합덕-신례원(2공구)투찰_합덕-신례원(2공구)투찰_경찰서-터미널간도로(투찰)②_마현생창(동양고속)_왜관-태평건설" xfId="630" xr:uid="{00000000-0005-0000-0000-000076020000}"/>
    <cellStyle name="_신태백(가실행)_안산부대(투찰)⑤_합덕-신례원(2공구)투찰_합덕-신례원(2공구)투찰_경찰서-터미널간도로(투찰)②_마현생창(동양고속)_왜관-태평건설 2" xfId="2030" xr:uid="{00000000-0005-0000-0000-0000EE070000}"/>
    <cellStyle name="_신태백(가실행)_안산부대(투찰)⑤_합덕-신례원(2공구)투찰_합덕-신례원(2공구)투찰_경찰서-터미널간도로(투찰)②_왜관-태평건설" xfId="631" xr:uid="{00000000-0005-0000-0000-000077020000}"/>
    <cellStyle name="_신태백(가실행)_안산부대(투찰)⑤_합덕-신례원(2공구)투찰_합덕-신례원(2공구)투찰_경찰서-터미널간도로(투찰)②_왜관-태평건설 2" xfId="2031" xr:uid="{00000000-0005-0000-0000-0000EF070000}"/>
    <cellStyle name="_신태백(가실행)_안산부대(투찰)⑤_합덕-신례원(2공구)투찰_합덕-신례원(2공구)투찰_마현생창(동양고속)" xfId="632" xr:uid="{00000000-0005-0000-0000-000078020000}"/>
    <cellStyle name="_신태백(가실행)_안산부대(투찰)⑤_합덕-신례원(2공구)투찰_합덕-신례원(2공구)투찰_마현생창(동양고속) 2" xfId="2032" xr:uid="{00000000-0005-0000-0000-0000F0070000}"/>
    <cellStyle name="_신태백(가실행)_안산부대(투찰)⑤_합덕-신례원(2공구)투찰_합덕-신례원(2공구)투찰_마현생창(동양고속)_왜관-태평건설" xfId="633" xr:uid="{00000000-0005-0000-0000-000079020000}"/>
    <cellStyle name="_신태백(가실행)_안산부대(투찰)⑤_합덕-신례원(2공구)투찰_합덕-신례원(2공구)투찰_마현생창(동양고속)_왜관-태평건설 2" xfId="2033" xr:uid="{00000000-0005-0000-0000-0000F1070000}"/>
    <cellStyle name="_신태백(가실행)_안산부대(투찰)⑤_합덕-신례원(2공구)투찰_합덕-신례원(2공구)투찰_봉무지방산업단지도로(투찰)②" xfId="634" xr:uid="{00000000-0005-0000-0000-00007A020000}"/>
    <cellStyle name="_신태백(가실행)_안산부대(투찰)⑤_합덕-신례원(2공구)투찰_합덕-신례원(2공구)투찰_봉무지방산업단지도로(투찰)② 2" xfId="2034" xr:uid="{00000000-0005-0000-0000-0000F2070000}"/>
    <cellStyle name="_신태백(가실행)_안산부대(투찰)⑤_합덕-신례원(2공구)투찰_합덕-신례원(2공구)투찰_봉무지방산업단지도로(투찰)②_마현생창(동양고속)" xfId="635" xr:uid="{00000000-0005-0000-0000-00007B020000}"/>
    <cellStyle name="_신태백(가실행)_안산부대(투찰)⑤_합덕-신례원(2공구)투찰_합덕-신례원(2공구)투찰_봉무지방산업단지도로(투찰)②_마현생창(동양고속) 2" xfId="2035" xr:uid="{00000000-0005-0000-0000-0000F3070000}"/>
    <cellStyle name="_신태백(가실행)_안산부대(투찰)⑤_합덕-신례원(2공구)투찰_합덕-신례원(2공구)투찰_봉무지방산업단지도로(투찰)②_마현생창(동양고속)_왜관-태평건설" xfId="636" xr:uid="{00000000-0005-0000-0000-00007C020000}"/>
    <cellStyle name="_신태백(가실행)_안산부대(투찰)⑤_합덕-신례원(2공구)투찰_합덕-신례원(2공구)투찰_봉무지방산업단지도로(투찰)②_마현생창(동양고속)_왜관-태평건설 2" xfId="2036" xr:uid="{00000000-0005-0000-0000-0000F4070000}"/>
    <cellStyle name="_신태백(가실행)_안산부대(투찰)⑤_합덕-신례원(2공구)투찰_합덕-신례원(2공구)투찰_봉무지방산업단지도로(투찰)②_왜관-태평건설" xfId="637" xr:uid="{00000000-0005-0000-0000-00007D020000}"/>
    <cellStyle name="_신태백(가실행)_안산부대(투찰)⑤_합덕-신례원(2공구)투찰_합덕-신례원(2공구)투찰_봉무지방산업단지도로(투찰)②_왜관-태평건설 2" xfId="2037" xr:uid="{00000000-0005-0000-0000-0000F5070000}"/>
    <cellStyle name="_신태백(가실행)_안산부대(투찰)⑤_합덕-신례원(2공구)투찰_합덕-신례원(2공구)투찰_봉무지방산업단지도로(투찰)②+0.250%" xfId="638" xr:uid="{00000000-0005-0000-0000-00007E020000}"/>
    <cellStyle name="_신태백(가실행)_안산부대(투찰)⑤_합덕-신례원(2공구)투찰_합덕-신례원(2공구)투찰_봉무지방산업단지도로(투찰)②+0.250% 2" xfId="2038" xr:uid="{00000000-0005-0000-0000-0000F6070000}"/>
    <cellStyle name="_신태백(가실행)_안산부대(투찰)⑤_합덕-신례원(2공구)투찰_합덕-신례원(2공구)투찰_봉무지방산업단지도로(투찰)②+0.250%_마현생창(동양고속)" xfId="639" xr:uid="{00000000-0005-0000-0000-00007F020000}"/>
    <cellStyle name="_신태백(가실행)_안산부대(투찰)⑤_합덕-신례원(2공구)투찰_합덕-신례원(2공구)투찰_봉무지방산업단지도로(투찰)②+0.250%_마현생창(동양고속) 2" xfId="2039" xr:uid="{00000000-0005-0000-0000-0000F7070000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80020000}"/>
    <cellStyle name="_신태백(가실행)_안산부대(투찰)⑤_합덕-신례원(2공구)투찰_합덕-신례원(2공구)투찰_봉무지방산업단지도로(투찰)②+0.250%_마현생창(동양고속)_왜관-태평건설 2" xfId="2040" xr:uid="{00000000-0005-0000-0000-0000F8070000}"/>
    <cellStyle name="_신태백(가실행)_안산부대(투찰)⑤_합덕-신례원(2공구)투찰_합덕-신례원(2공구)투찰_봉무지방산업단지도로(투찰)②+0.250%_왜관-태평건설" xfId="641" xr:uid="{00000000-0005-0000-0000-000081020000}"/>
    <cellStyle name="_신태백(가실행)_안산부대(투찰)⑤_합덕-신례원(2공구)투찰_합덕-신례원(2공구)투찰_봉무지방산업단지도로(투찰)②+0.250%_왜관-태평건설 2" xfId="2041" xr:uid="{00000000-0005-0000-0000-0000F9070000}"/>
    <cellStyle name="_신태백(가실행)_안산부대(투찰)⑤_합덕-신례원(2공구)투찰_합덕-신례원(2공구)투찰_왜관-태평건설" xfId="642" xr:uid="{00000000-0005-0000-0000-000082020000}"/>
    <cellStyle name="_신태백(가실행)_안산부대(투찰)⑤_합덕-신례원(2공구)투찰_합덕-신례원(2공구)투찰_왜관-태평건설 2" xfId="2042" xr:uid="{00000000-0005-0000-0000-0000FA070000}"/>
    <cellStyle name="_신태백(가실행)_양곡부두(투찰)-0.31%" xfId="643" xr:uid="{00000000-0005-0000-0000-000083020000}"/>
    <cellStyle name="_신태백(가실행)_양곡부두(투찰)-0.31% 2" xfId="2043" xr:uid="{00000000-0005-0000-0000-0000FB070000}"/>
    <cellStyle name="_신태백(가실행)_양곡부두(투찰)-0.31%_경찰서-터미널간도로(투찰)②" xfId="644" xr:uid="{00000000-0005-0000-0000-000084020000}"/>
    <cellStyle name="_신태백(가실행)_양곡부두(투찰)-0.31%_경찰서-터미널간도로(투찰)② 2" xfId="2044" xr:uid="{00000000-0005-0000-0000-0000FC070000}"/>
    <cellStyle name="_신태백(가실행)_양곡부두(투찰)-0.31%_경찰서-터미널간도로(투찰)②_마현생창(동양고속)" xfId="645" xr:uid="{00000000-0005-0000-0000-000085020000}"/>
    <cellStyle name="_신태백(가실행)_양곡부두(투찰)-0.31%_경찰서-터미널간도로(투찰)②_마현생창(동양고속) 2" xfId="2045" xr:uid="{00000000-0005-0000-0000-0000FD070000}"/>
    <cellStyle name="_신태백(가실행)_양곡부두(투찰)-0.31%_경찰서-터미널간도로(투찰)②_마현생창(동양고속)_왜관-태평건설" xfId="646" xr:uid="{00000000-0005-0000-0000-000086020000}"/>
    <cellStyle name="_신태백(가실행)_양곡부두(투찰)-0.31%_경찰서-터미널간도로(투찰)②_마현생창(동양고속)_왜관-태평건설 2" xfId="2046" xr:uid="{00000000-0005-0000-0000-0000FE070000}"/>
    <cellStyle name="_신태백(가실행)_양곡부두(투찰)-0.31%_경찰서-터미널간도로(투찰)②_왜관-태평건설" xfId="647" xr:uid="{00000000-0005-0000-0000-000087020000}"/>
    <cellStyle name="_신태백(가실행)_양곡부두(투찰)-0.31%_경찰서-터미널간도로(투찰)②_왜관-태평건설 2" xfId="2047" xr:uid="{00000000-0005-0000-0000-0000FF070000}"/>
    <cellStyle name="_신태백(가실행)_양곡부두(투찰)-0.31%_마현생창(동양고속)" xfId="648" xr:uid="{00000000-0005-0000-0000-000088020000}"/>
    <cellStyle name="_신태백(가실행)_양곡부두(투찰)-0.31%_마현생창(동양고속) 2" xfId="2048" xr:uid="{00000000-0005-0000-0000-000000080000}"/>
    <cellStyle name="_신태백(가실행)_양곡부두(투찰)-0.31%_마현생창(동양고속)_왜관-태평건설" xfId="649" xr:uid="{00000000-0005-0000-0000-000089020000}"/>
    <cellStyle name="_신태백(가실행)_양곡부두(투찰)-0.31%_마현생창(동양고속)_왜관-태평건설 2" xfId="2049" xr:uid="{00000000-0005-0000-0000-000001080000}"/>
    <cellStyle name="_신태백(가실행)_양곡부두(투찰)-0.31%_봉무지방산업단지도로(투찰)②" xfId="650" xr:uid="{00000000-0005-0000-0000-00008A020000}"/>
    <cellStyle name="_신태백(가실행)_양곡부두(투찰)-0.31%_봉무지방산업단지도로(투찰)② 2" xfId="2050" xr:uid="{00000000-0005-0000-0000-000002080000}"/>
    <cellStyle name="_신태백(가실행)_양곡부두(투찰)-0.31%_봉무지방산업단지도로(투찰)②_마현생창(동양고속)" xfId="651" xr:uid="{00000000-0005-0000-0000-00008B020000}"/>
    <cellStyle name="_신태백(가실행)_양곡부두(투찰)-0.31%_봉무지방산업단지도로(투찰)②_마현생창(동양고속) 2" xfId="2051" xr:uid="{00000000-0005-0000-0000-000003080000}"/>
    <cellStyle name="_신태백(가실행)_양곡부두(투찰)-0.31%_봉무지방산업단지도로(투찰)②_마현생창(동양고속)_왜관-태평건설" xfId="652" xr:uid="{00000000-0005-0000-0000-00008C020000}"/>
    <cellStyle name="_신태백(가실행)_양곡부두(투찰)-0.31%_봉무지방산업단지도로(투찰)②_마현생창(동양고속)_왜관-태평건설 2" xfId="2052" xr:uid="{00000000-0005-0000-0000-000004080000}"/>
    <cellStyle name="_신태백(가실행)_양곡부두(투찰)-0.31%_봉무지방산업단지도로(투찰)②_왜관-태평건설" xfId="653" xr:uid="{00000000-0005-0000-0000-00008D020000}"/>
    <cellStyle name="_신태백(가실행)_양곡부두(투찰)-0.31%_봉무지방산업단지도로(투찰)②_왜관-태평건설 2" xfId="2053" xr:uid="{00000000-0005-0000-0000-000005080000}"/>
    <cellStyle name="_신태백(가실행)_양곡부두(투찰)-0.31%_봉무지방산업단지도로(투찰)②+0.250%" xfId="654" xr:uid="{00000000-0005-0000-0000-00008E020000}"/>
    <cellStyle name="_신태백(가실행)_양곡부두(투찰)-0.31%_봉무지방산업단지도로(투찰)②+0.250% 2" xfId="2054" xr:uid="{00000000-0005-0000-0000-000006080000}"/>
    <cellStyle name="_신태백(가실행)_양곡부두(투찰)-0.31%_봉무지방산업단지도로(투찰)②+0.250%_마현생창(동양고속)" xfId="655" xr:uid="{00000000-0005-0000-0000-00008F020000}"/>
    <cellStyle name="_신태백(가실행)_양곡부두(투찰)-0.31%_봉무지방산업단지도로(투찰)②+0.250%_마현생창(동양고속) 2" xfId="2055" xr:uid="{00000000-0005-0000-0000-000007080000}"/>
    <cellStyle name="_신태백(가실행)_양곡부두(투찰)-0.31%_봉무지방산업단지도로(투찰)②+0.250%_마현생창(동양고속)_왜관-태평건설" xfId="656" xr:uid="{00000000-0005-0000-0000-000090020000}"/>
    <cellStyle name="_신태백(가실행)_양곡부두(투찰)-0.31%_봉무지방산업단지도로(투찰)②+0.250%_마현생창(동양고속)_왜관-태평건설 2" xfId="2056" xr:uid="{00000000-0005-0000-0000-000008080000}"/>
    <cellStyle name="_신태백(가실행)_양곡부두(투찰)-0.31%_봉무지방산업단지도로(투찰)②+0.250%_왜관-태평건설" xfId="657" xr:uid="{00000000-0005-0000-0000-000091020000}"/>
    <cellStyle name="_신태백(가실행)_양곡부두(투찰)-0.31%_봉무지방산업단지도로(투찰)②+0.250%_왜관-태평건설 2" xfId="2057" xr:uid="{00000000-0005-0000-0000-000009080000}"/>
    <cellStyle name="_신태백(가실행)_양곡부두(투찰)-0.31%_왜관-태평건설" xfId="658" xr:uid="{00000000-0005-0000-0000-000092020000}"/>
    <cellStyle name="_신태백(가실행)_양곡부두(투찰)-0.31%_왜관-태평건설 2" xfId="2058" xr:uid="{00000000-0005-0000-0000-00000A080000}"/>
    <cellStyle name="_신태백(가실행)_양곡부두(투찰)-0.31%_합덕-신례원(2공구)투찰" xfId="659" xr:uid="{00000000-0005-0000-0000-000093020000}"/>
    <cellStyle name="_신태백(가실행)_양곡부두(투찰)-0.31%_합덕-신례원(2공구)투찰 2" xfId="2059" xr:uid="{00000000-0005-0000-0000-00000B080000}"/>
    <cellStyle name="_신태백(가실행)_양곡부두(투찰)-0.31%_합덕-신례원(2공구)투찰_경찰서-터미널간도로(투찰)②" xfId="660" xr:uid="{00000000-0005-0000-0000-000094020000}"/>
    <cellStyle name="_신태백(가실행)_양곡부두(투찰)-0.31%_합덕-신례원(2공구)투찰_경찰서-터미널간도로(투찰)② 2" xfId="2060" xr:uid="{00000000-0005-0000-0000-00000C080000}"/>
    <cellStyle name="_신태백(가실행)_양곡부두(투찰)-0.31%_합덕-신례원(2공구)투찰_경찰서-터미널간도로(투찰)②_마현생창(동양고속)" xfId="661" xr:uid="{00000000-0005-0000-0000-000095020000}"/>
    <cellStyle name="_신태백(가실행)_양곡부두(투찰)-0.31%_합덕-신례원(2공구)투찰_경찰서-터미널간도로(투찰)②_마현생창(동양고속) 2" xfId="2061" xr:uid="{00000000-0005-0000-0000-00000D080000}"/>
    <cellStyle name="_신태백(가실행)_양곡부두(투찰)-0.31%_합덕-신례원(2공구)투찰_경찰서-터미널간도로(투찰)②_마현생창(동양고속)_왜관-태평건설" xfId="662" xr:uid="{00000000-0005-0000-0000-000096020000}"/>
    <cellStyle name="_신태백(가실행)_양곡부두(투찰)-0.31%_합덕-신례원(2공구)투찰_경찰서-터미널간도로(투찰)②_마현생창(동양고속)_왜관-태평건설 2" xfId="2062" xr:uid="{00000000-0005-0000-0000-00000E080000}"/>
    <cellStyle name="_신태백(가실행)_양곡부두(투찰)-0.31%_합덕-신례원(2공구)투찰_경찰서-터미널간도로(투찰)②_왜관-태평건설" xfId="663" xr:uid="{00000000-0005-0000-0000-000097020000}"/>
    <cellStyle name="_신태백(가실행)_양곡부두(투찰)-0.31%_합덕-신례원(2공구)투찰_경찰서-터미널간도로(투찰)②_왜관-태평건설 2" xfId="2063" xr:uid="{00000000-0005-0000-0000-00000F080000}"/>
    <cellStyle name="_신태백(가실행)_양곡부두(투찰)-0.31%_합덕-신례원(2공구)투찰_마현생창(동양고속)" xfId="664" xr:uid="{00000000-0005-0000-0000-000098020000}"/>
    <cellStyle name="_신태백(가실행)_양곡부두(투찰)-0.31%_합덕-신례원(2공구)투찰_마현생창(동양고속) 2" xfId="2064" xr:uid="{00000000-0005-0000-0000-000010080000}"/>
    <cellStyle name="_신태백(가실행)_양곡부두(투찰)-0.31%_합덕-신례원(2공구)투찰_마현생창(동양고속)_왜관-태평건설" xfId="665" xr:uid="{00000000-0005-0000-0000-000099020000}"/>
    <cellStyle name="_신태백(가실행)_양곡부두(투찰)-0.31%_합덕-신례원(2공구)투찰_마현생창(동양고속)_왜관-태평건설 2" xfId="2065" xr:uid="{00000000-0005-0000-0000-000011080000}"/>
    <cellStyle name="_신태백(가실행)_양곡부두(투찰)-0.31%_합덕-신례원(2공구)투찰_봉무지방산업단지도로(투찰)②" xfId="666" xr:uid="{00000000-0005-0000-0000-00009A020000}"/>
    <cellStyle name="_신태백(가실행)_양곡부두(투찰)-0.31%_합덕-신례원(2공구)투찰_봉무지방산업단지도로(투찰)② 2" xfId="2066" xr:uid="{00000000-0005-0000-0000-000012080000}"/>
    <cellStyle name="_신태백(가실행)_양곡부두(투찰)-0.31%_합덕-신례원(2공구)투찰_봉무지방산업단지도로(투찰)②_마현생창(동양고속)" xfId="667" xr:uid="{00000000-0005-0000-0000-00009B020000}"/>
    <cellStyle name="_신태백(가실행)_양곡부두(투찰)-0.31%_합덕-신례원(2공구)투찰_봉무지방산업단지도로(투찰)②_마현생창(동양고속) 2" xfId="2067" xr:uid="{00000000-0005-0000-0000-000013080000}"/>
    <cellStyle name="_신태백(가실행)_양곡부두(투찰)-0.31%_합덕-신례원(2공구)투찰_봉무지방산업단지도로(투찰)②_마현생창(동양고속)_왜관-태평건설" xfId="668" xr:uid="{00000000-0005-0000-0000-00009C020000}"/>
    <cellStyle name="_신태백(가실행)_양곡부두(투찰)-0.31%_합덕-신례원(2공구)투찰_봉무지방산업단지도로(투찰)②_마현생창(동양고속)_왜관-태평건설 2" xfId="2068" xr:uid="{00000000-0005-0000-0000-000014080000}"/>
    <cellStyle name="_신태백(가실행)_양곡부두(투찰)-0.31%_합덕-신례원(2공구)투찰_봉무지방산업단지도로(투찰)②_왜관-태평건설" xfId="669" xr:uid="{00000000-0005-0000-0000-00009D020000}"/>
    <cellStyle name="_신태백(가실행)_양곡부두(투찰)-0.31%_합덕-신례원(2공구)투찰_봉무지방산업단지도로(투찰)②_왜관-태평건설 2" xfId="2069" xr:uid="{00000000-0005-0000-0000-000015080000}"/>
    <cellStyle name="_신태백(가실행)_양곡부두(투찰)-0.31%_합덕-신례원(2공구)투찰_봉무지방산업단지도로(투찰)②+0.250%" xfId="670" xr:uid="{00000000-0005-0000-0000-00009E020000}"/>
    <cellStyle name="_신태백(가실행)_양곡부두(투찰)-0.31%_합덕-신례원(2공구)투찰_봉무지방산업단지도로(투찰)②+0.250% 2" xfId="2070" xr:uid="{00000000-0005-0000-0000-000016080000}"/>
    <cellStyle name="_신태백(가실행)_양곡부두(투찰)-0.31%_합덕-신례원(2공구)투찰_봉무지방산업단지도로(투찰)②+0.250%_마현생창(동양고속)" xfId="671" xr:uid="{00000000-0005-0000-0000-00009F020000}"/>
    <cellStyle name="_신태백(가실행)_양곡부두(투찰)-0.31%_합덕-신례원(2공구)투찰_봉무지방산업단지도로(투찰)②+0.250%_마현생창(동양고속) 2" xfId="2071" xr:uid="{00000000-0005-0000-0000-000017080000}"/>
    <cellStyle name="_신태백(가실행)_양곡부두(투찰)-0.31%_합덕-신례원(2공구)투찰_봉무지방산업단지도로(투찰)②+0.250%_마현생창(동양고속)_왜관-태평건설" xfId="672" xr:uid="{00000000-0005-0000-0000-0000A0020000}"/>
    <cellStyle name="_신태백(가실행)_양곡부두(투찰)-0.31%_합덕-신례원(2공구)투찰_봉무지방산업단지도로(투찰)②+0.250%_마현생창(동양고속)_왜관-태평건설 2" xfId="2072" xr:uid="{00000000-0005-0000-0000-000018080000}"/>
    <cellStyle name="_신태백(가실행)_양곡부두(투찰)-0.31%_합덕-신례원(2공구)투찰_봉무지방산업단지도로(투찰)②+0.250%_왜관-태평건설" xfId="673" xr:uid="{00000000-0005-0000-0000-0000A1020000}"/>
    <cellStyle name="_신태백(가실행)_양곡부두(투찰)-0.31%_합덕-신례원(2공구)투찰_봉무지방산업단지도로(투찰)②+0.250%_왜관-태평건설 2" xfId="2073" xr:uid="{00000000-0005-0000-0000-000019080000}"/>
    <cellStyle name="_신태백(가실행)_양곡부두(투찰)-0.31%_합덕-신례원(2공구)투찰_왜관-태평건설" xfId="674" xr:uid="{00000000-0005-0000-0000-0000A2020000}"/>
    <cellStyle name="_신태백(가실행)_양곡부두(투찰)-0.31%_합덕-신례원(2공구)투찰_왜관-태평건설 2" xfId="2074" xr:uid="{00000000-0005-0000-0000-00001A080000}"/>
    <cellStyle name="_신태백(가실행)_양곡부두(투찰)-0.31%_합덕-신례원(2공구)투찰_합덕-신례원(2공구)투찰" xfId="675" xr:uid="{00000000-0005-0000-0000-0000A3020000}"/>
    <cellStyle name="_신태백(가실행)_양곡부두(투찰)-0.31%_합덕-신례원(2공구)투찰_합덕-신례원(2공구)투찰 2" xfId="2075" xr:uid="{00000000-0005-0000-0000-00001B080000}"/>
    <cellStyle name="_신태백(가실행)_양곡부두(투찰)-0.31%_합덕-신례원(2공구)투찰_합덕-신례원(2공구)투찰_경찰서-터미널간도로(투찰)②" xfId="676" xr:uid="{00000000-0005-0000-0000-0000A4020000}"/>
    <cellStyle name="_신태백(가실행)_양곡부두(투찰)-0.31%_합덕-신례원(2공구)투찰_합덕-신례원(2공구)투찰_경찰서-터미널간도로(투찰)② 2" xfId="2076" xr:uid="{00000000-0005-0000-0000-00001C080000}"/>
    <cellStyle name="_신태백(가실행)_양곡부두(투찰)-0.31%_합덕-신례원(2공구)투찰_합덕-신례원(2공구)투찰_경찰서-터미널간도로(투찰)②_마현생창(동양고속)" xfId="677" xr:uid="{00000000-0005-0000-0000-0000A5020000}"/>
    <cellStyle name="_신태백(가실행)_양곡부두(투찰)-0.31%_합덕-신례원(2공구)투찰_합덕-신례원(2공구)투찰_경찰서-터미널간도로(투찰)②_마현생창(동양고속) 2" xfId="2077" xr:uid="{00000000-0005-0000-0000-00001D080000}"/>
    <cellStyle name="_신태백(가실행)_양곡부두(투찰)-0.31%_합덕-신례원(2공구)투찰_합덕-신례원(2공구)투찰_경찰서-터미널간도로(투찰)②_마현생창(동양고속)_왜관-태평건설" xfId="678" xr:uid="{00000000-0005-0000-0000-0000A6020000}"/>
    <cellStyle name="_신태백(가실행)_양곡부두(투찰)-0.31%_합덕-신례원(2공구)투찰_합덕-신례원(2공구)투찰_경찰서-터미널간도로(투찰)②_마현생창(동양고속)_왜관-태평건설 2" xfId="2078" xr:uid="{00000000-0005-0000-0000-00001E080000}"/>
    <cellStyle name="_신태백(가실행)_양곡부두(투찰)-0.31%_합덕-신례원(2공구)투찰_합덕-신례원(2공구)투찰_경찰서-터미널간도로(투찰)②_왜관-태평건설" xfId="679" xr:uid="{00000000-0005-0000-0000-0000A7020000}"/>
    <cellStyle name="_신태백(가실행)_양곡부두(투찰)-0.31%_합덕-신례원(2공구)투찰_합덕-신례원(2공구)투찰_경찰서-터미널간도로(투찰)②_왜관-태평건설 2" xfId="2079" xr:uid="{00000000-0005-0000-0000-00001F080000}"/>
    <cellStyle name="_신태백(가실행)_양곡부두(투찰)-0.31%_합덕-신례원(2공구)투찰_합덕-신례원(2공구)투찰_마현생창(동양고속)" xfId="680" xr:uid="{00000000-0005-0000-0000-0000A8020000}"/>
    <cellStyle name="_신태백(가실행)_양곡부두(투찰)-0.31%_합덕-신례원(2공구)투찰_합덕-신례원(2공구)투찰_마현생창(동양고속) 2" xfId="2080" xr:uid="{00000000-0005-0000-0000-000020080000}"/>
    <cellStyle name="_신태백(가실행)_양곡부두(투찰)-0.31%_합덕-신례원(2공구)투찰_합덕-신례원(2공구)투찰_마현생창(동양고속)_왜관-태평건설" xfId="681" xr:uid="{00000000-0005-0000-0000-0000A9020000}"/>
    <cellStyle name="_신태백(가실행)_양곡부두(투찰)-0.31%_합덕-신례원(2공구)투찰_합덕-신례원(2공구)투찰_마현생창(동양고속)_왜관-태평건설 2" xfId="2081" xr:uid="{00000000-0005-0000-0000-000021080000}"/>
    <cellStyle name="_신태백(가실행)_양곡부두(투찰)-0.31%_합덕-신례원(2공구)투찰_합덕-신례원(2공구)투찰_봉무지방산업단지도로(투찰)②" xfId="682" xr:uid="{00000000-0005-0000-0000-0000AA020000}"/>
    <cellStyle name="_신태백(가실행)_양곡부두(투찰)-0.31%_합덕-신례원(2공구)투찰_합덕-신례원(2공구)투찰_봉무지방산업단지도로(투찰)② 2" xfId="2082" xr:uid="{00000000-0005-0000-0000-000022080000}"/>
    <cellStyle name="_신태백(가실행)_양곡부두(투찰)-0.31%_합덕-신례원(2공구)투찰_합덕-신례원(2공구)투찰_봉무지방산업단지도로(투찰)②_마현생창(동양고속)" xfId="683" xr:uid="{00000000-0005-0000-0000-0000AB020000}"/>
    <cellStyle name="_신태백(가실행)_양곡부두(투찰)-0.31%_합덕-신례원(2공구)투찰_합덕-신례원(2공구)투찰_봉무지방산업단지도로(투찰)②_마현생창(동양고속) 2" xfId="2083" xr:uid="{00000000-0005-0000-0000-000023080000}"/>
    <cellStyle name="_신태백(가실행)_양곡부두(투찰)-0.31%_합덕-신례원(2공구)투찰_합덕-신례원(2공구)투찰_봉무지방산업단지도로(투찰)②_마현생창(동양고속)_왜관-태평건설" xfId="684" xr:uid="{00000000-0005-0000-0000-0000AC020000}"/>
    <cellStyle name="_신태백(가실행)_양곡부두(투찰)-0.31%_합덕-신례원(2공구)투찰_합덕-신례원(2공구)투찰_봉무지방산업단지도로(투찰)②_마현생창(동양고속)_왜관-태평건설 2" xfId="2084" xr:uid="{00000000-0005-0000-0000-000024080000}"/>
    <cellStyle name="_신태백(가실행)_양곡부두(투찰)-0.31%_합덕-신례원(2공구)투찰_합덕-신례원(2공구)투찰_봉무지방산업단지도로(투찰)②_왜관-태평건설" xfId="685" xr:uid="{00000000-0005-0000-0000-0000AD020000}"/>
    <cellStyle name="_신태백(가실행)_양곡부두(투찰)-0.31%_합덕-신례원(2공구)투찰_합덕-신례원(2공구)투찰_봉무지방산업단지도로(투찰)②_왜관-태평건설 2" xfId="2085" xr:uid="{00000000-0005-0000-0000-000025080000}"/>
    <cellStyle name="_신태백(가실행)_양곡부두(투찰)-0.31%_합덕-신례원(2공구)투찰_합덕-신례원(2공구)투찰_봉무지방산업단지도로(투찰)②+0.250%" xfId="686" xr:uid="{00000000-0005-0000-0000-0000AE020000}"/>
    <cellStyle name="_신태백(가실행)_양곡부두(투찰)-0.31%_합덕-신례원(2공구)투찰_합덕-신례원(2공구)투찰_봉무지방산업단지도로(투찰)②+0.250% 2" xfId="2086" xr:uid="{00000000-0005-0000-0000-000026080000}"/>
    <cellStyle name="_신태백(가실행)_양곡부두(투찰)-0.31%_합덕-신례원(2공구)투찰_합덕-신례원(2공구)투찰_봉무지방산업단지도로(투찰)②+0.250%_마현생창(동양고속)" xfId="687" xr:uid="{00000000-0005-0000-0000-0000AF020000}"/>
    <cellStyle name="_신태백(가실행)_양곡부두(투찰)-0.31%_합덕-신례원(2공구)투찰_합덕-신례원(2공구)투찰_봉무지방산업단지도로(투찰)②+0.250%_마현생창(동양고속) 2" xfId="2087" xr:uid="{00000000-0005-0000-0000-000027080000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B0020000}"/>
    <cellStyle name="_신태백(가실행)_양곡부두(투찰)-0.31%_합덕-신례원(2공구)투찰_합덕-신례원(2공구)투찰_봉무지방산업단지도로(투찰)②+0.250%_마현생창(동양고속)_왜관-태평건설 2" xfId="2088" xr:uid="{00000000-0005-0000-0000-000028080000}"/>
    <cellStyle name="_신태백(가실행)_양곡부두(투찰)-0.31%_합덕-신례원(2공구)투찰_합덕-신례원(2공구)투찰_봉무지방산업단지도로(투찰)②+0.250%_왜관-태평건설" xfId="689" xr:uid="{00000000-0005-0000-0000-0000B1020000}"/>
    <cellStyle name="_신태백(가실행)_양곡부두(투찰)-0.31%_합덕-신례원(2공구)투찰_합덕-신례원(2공구)투찰_봉무지방산업단지도로(투찰)②+0.250%_왜관-태평건설 2" xfId="2089" xr:uid="{00000000-0005-0000-0000-000029080000}"/>
    <cellStyle name="_신태백(가실행)_양곡부두(투찰)-0.31%_합덕-신례원(2공구)투찰_합덕-신례원(2공구)투찰_왜관-태평건설" xfId="690" xr:uid="{00000000-0005-0000-0000-0000B2020000}"/>
    <cellStyle name="_신태백(가실행)_양곡부두(투찰)-0.31%_합덕-신례원(2공구)투찰_합덕-신례원(2공구)투찰_왜관-태평건설 2" xfId="2090" xr:uid="{00000000-0005-0000-0000-00002A080000}"/>
    <cellStyle name="_신태백(가실행)_왜관-태평건설" xfId="691" xr:uid="{00000000-0005-0000-0000-0000B3020000}"/>
    <cellStyle name="_신태백(가실행)_왜관-태평건설 2" xfId="2091" xr:uid="{00000000-0005-0000-0000-00002B080000}"/>
    <cellStyle name="_신태백(가실행)_창원상수도(토목)투찰" xfId="692" xr:uid="{00000000-0005-0000-0000-0000B4020000}"/>
    <cellStyle name="_신태백(가실행)_창원상수도(토목)투찰 2" xfId="2092" xr:uid="{00000000-0005-0000-0000-00002C080000}"/>
    <cellStyle name="_신태백(가실행)_창원상수도(토목)투찰_경찰서-터미널간도로(투찰)②" xfId="693" xr:uid="{00000000-0005-0000-0000-0000B5020000}"/>
    <cellStyle name="_신태백(가실행)_창원상수도(토목)투찰_경찰서-터미널간도로(투찰)② 2" xfId="2093" xr:uid="{00000000-0005-0000-0000-00002D080000}"/>
    <cellStyle name="_신태백(가실행)_창원상수도(토목)투찰_경찰서-터미널간도로(투찰)②_마현생창(동양고속)" xfId="694" xr:uid="{00000000-0005-0000-0000-0000B6020000}"/>
    <cellStyle name="_신태백(가실행)_창원상수도(토목)투찰_경찰서-터미널간도로(투찰)②_마현생창(동양고속) 2" xfId="2094" xr:uid="{00000000-0005-0000-0000-00002E080000}"/>
    <cellStyle name="_신태백(가실행)_창원상수도(토목)투찰_경찰서-터미널간도로(투찰)②_마현생창(동양고속)_왜관-태평건설" xfId="695" xr:uid="{00000000-0005-0000-0000-0000B7020000}"/>
    <cellStyle name="_신태백(가실행)_창원상수도(토목)투찰_경찰서-터미널간도로(투찰)②_마현생창(동양고속)_왜관-태평건설 2" xfId="2095" xr:uid="{00000000-0005-0000-0000-00002F080000}"/>
    <cellStyle name="_신태백(가실행)_창원상수도(토목)투찰_경찰서-터미널간도로(투찰)②_왜관-태평건설" xfId="696" xr:uid="{00000000-0005-0000-0000-0000B8020000}"/>
    <cellStyle name="_신태백(가실행)_창원상수도(토목)투찰_경찰서-터미널간도로(투찰)②_왜관-태평건설 2" xfId="2096" xr:uid="{00000000-0005-0000-0000-000030080000}"/>
    <cellStyle name="_신태백(가실행)_창원상수도(토목)투찰_마현생창(동양고속)" xfId="697" xr:uid="{00000000-0005-0000-0000-0000B9020000}"/>
    <cellStyle name="_신태백(가실행)_창원상수도(토목)투찰_마현생창(동양고속) 2" xfId="2097" xr:uid="{00000000-0005-0000-0000-000031080000}"/>
    <cellStyle name="_신태백(가실행)_창원상수도(토목)투찰_마현생창(동양고속)_왜관-태평건설" xfId="698" xr:uid="{00000000-0005-0000-0000-0000BA020000}"/>
    <cellStyle name="_신태백(가실행)_창원상수도(토목)투찰_마현생창(동양고속)_왜관-태평건설 2" xfId="2098" xr:uid="{00000000-0005-0000-0000-000032080000}"/>
    <cellStyle name="_신태백(가실행)_창원상수도(토목)투찰_봉무지방산업단지도로(투찰)②" xfId="699" xr:uid="{00000000-0005-0000-0000-0000BB020000}"/>
    <cellStyle name="_신태백(가실행)_창원상수도(토목)투찰_봉무지방산업단지도로(투찰)② 2" xfId="2099" xr:uid="{00000000-0005-0000-0000-000033080000}"/>
    <cellStyle name="_신태백(가실행)_창원상수도(토목)투찰_봉무지방산업단지도로(투찰)②_마현생창(동양고속)" xfId="700" xr:uid="{00000000-0005-0000-0000-0000BC020000}"/>
    <cellStyle name="_신태백(가실행)_창원상수도(토목)투찰_봉무지방산업단지도로(투찰)②_마현생창(동양고속) 2" xfId="2100" xr:uid="{00000000-0005-0000-0000-000034080000}"/>
    <cellStyle name="_신태백(가실행)_창원상수도(토목)투찰_봉무지방산업단지도로(투찰)②_마현생창(동양고속)_왜관-태평건설" xfId="701" xr:uid="{00000000-0005-0000-0000-0000BD020000}"/>
    <cellStyle name="_신태백(가실행)_창원상수도(토목)투찰_봉무지방산업단지도로(투찰)②_마현생창(동양고속)_왜관-태평건설 2" xfId="2101" xr:uid="{00000000-0005-0000-0000-000035080000}"/>
    <cellStyle name="_신태백(가실행)_창원상수도(토목)투찰_봉무지방산업단지도로(투찰)②_왜관-태평건설" xfId="702" xr:uid="{00000000-0005-0000-0000-0000BE020000}"/>
    <cellStyle name="_신태백(가실행)_창원상수도(토목)투찰_봉무지방산업단지도로(투찰)②_왜관-태평건설 2" xfId="2102" xr:uid="{00000000-0005-0000-0000-000036080000}"/>
    <cellStyle name="_신태백(가실행)_창원상수도(토목)투찰_봉무지방산업단지도로(투찰)②+0.250%" xfId="703" xr:uid="{00000000-0005-0000-0000-0000BF020000}"/>
    <cellStyle name="_신태백(가실행)_창원상수도(토목)투찰_봉무지방산업단지도로(투찰)②+0.250% 2" xfId="2103" xr:uid="{00000000-0005-0000-0000-000037080000}"/>
    <cellStyle name="_신태백(가실행)_창원상수도(토목)투찰_봉무지방산업단지도로(투찰)②+0.250%_마현생창(동양고속)" xfId="704" xr:uid="{00000000-0005-0000-0000-0000C0020000}"/>
    <cellStyle name="_신태백(가실행)_창원상수도(토목)투찰_봉무지방산업단지도로(투찰)②+0.250%_마현생창(동양고속) 2" xfId="2104" xr:uid="{00000000-0005-0000-0000-000038080000}"/>
    <cellStyle name="_신태백(가실행)_창원상수도(토목)투찰_봉무지방산업단지도로(투찰)②+0.250%_마현생창(동양고속)_왜관-태평건설" xfId="705" xr:uid="{00000000-0005-0000-0000-0000C1020000}"/>
    <cellStyle name="_신태백(가실행)_창원상수도(토목)투찰_봉무지방산업단지도로(투찰)②+0.250%_마현생창(동양고속)_왜관-태평건설 2" xfId="2105" xr:uid="{00000000-0005-0000-0000-000039080000}"/>
    <cellStyle name="_신태백(가실행)_창원상수도(토목)투찰_봉무지방산업단지도로(투찰)②+0.250%_왜관-태평건설" xfId="706" xr:uid="{00000000-0005-0000-0000-0000C2020000}"/>
    <cellStyle name="_신태백(가실행)_창원상수도(토목)투찰_봉무지방산업단지도로(투찰)②+0.250%_왜관-태평건설 2" xfId="2106" xr:uid="{00000000-0005-0000-0000-00003A080000}"/>
    <cellStyle name="_신태백(가실행)_창원상수도(토목)투찰_왜관-태평건설" xfId="707" xr:uid="{00000000-0005-0000-0000-0000C3020000}"/>
    <cellStyle name="_신태백(가실행)_창원상수도(토목)투찰_왜관-태평건설 2" xfId="2107" xr:uid="{00000000-0005-0000-0000-00003B080000}"/>
    <cellStyle name="_신태백(가실행)_창원상수도(토목)투찰_합덕-신례원(2공구)투찰" xfId="708" xr:uid="{00000000-0005-0000-0000-0000C4020000}"/>
    <cellStyle name="_신태백(가실행)_창원상수도(토목)투찰_합덕-신례원(2공구)투찰 2" xfId="2108" xr:uid="{00000000-0005-0000-0000-00003C080000}"/>
    <cellStyle name="_신태백(가실행)_창원상수도(토목)투찰_합덕-신례원(2공구)투찰_경찰서-터미널간도로(투찰)②" xfId="709" xr:uid="{00000000-0005-0000-0000-0000C5020000}"/>
    <cellStyle name="_신태백(가실행)_창원상수도(토목)투찰_합덕-신례원(2공구)투찰_경찰서-터미널간도로(투찰)② 2" xfId="2109" xr:uid="{00000000-0005-0000-0000-00003D080000}"/>
    <cellStyle name="_신태백(가실행)_창원상수도(토목)투찰_합덕-신례원(2공구)투찰_경찰서-터미널간도로(투찰)②_마현생창(동양고속)" xfId="710" xr:uid="{00000000-0005-0000-0000-0000C6020000}"/>
    <cellStyle name="_신태백(가실행)_창원상수도(토목)투찰_합덕-신례원(2공구)투찰_경찰서-터미널간도로(투찰)②_마현생창(동양고속) 2" xfId="2110" xr:uid="{00000000-0005-0000-0000-00003E080000}"/>
    <cellStyle name="_신태백(가실행)_창원상수도(토목)투찰_합덕-신례원(2공구)투찰_경찰서-터미널간도로(투찰)②_마현생창(동양고속)_왜관-태평건설" xfId="711" xr:uid="{00000000-0005-0000-0000-0000C7020000}"/>
    <cellStyle name="_신태백(가실행)_창원상수도(토목)투찰_합덕-신례원(2공구)투찰_경찰서-터미널간도로(투찰)②_마현생창(동양고속)_왜관-태평건설 2" xfId="2111" xr:uid="{00000000-0005-0000-0000-00003F080000}"/>
    <cellStyle name="_신태백(가실행)_창원상수도(토목)투찰_합덕-신례원(2공구)투찰_경찰서-터미널간도로(투찰)②_왜관-태평건설" xfId="712" xr:uid="{00000000-0005-0000-0000-0000C8020000}"/>
    <cellStyle name="_신태백(가실행)_창원상수도(토목)투찰_합덕-신례원(2공구)투찰_경찰서-터미널간도로(투찰)②_왜관-태평건설 2" xfId="2112" xr:uid="{00000000-0005-0000-0000-000040080000}"/>
    <cellStyle name="_신태백(가실행)_창원상수도(토목)투찰_합덕-신례원(2공구)투찰_마현생창(동양고속)" xfId="713" xr:uid="{00000000-0005-0000-0000-0000C9020000}"/>
    <cellStyle name="_신태백(가실행)_창원상수도(토목)투찰_합덕-신례원(2공구)투찰_마현생창(동양고속) 2" xfId="2113" xr:uid="{00000000-0005-0000-0000-000041080000}"/>
    <cellStyle name="_신태백(가실행)_창원상수도(토목)투찰_합덕-신례원(2공구)투찰_마현생창(동양고속)_왜관-태평건설" xfId="714" xr:uid="{00000000-0005-0000-0000-0000CA020000}"/>
    <cellStyle name="_신태백(가실행)_창원상수도(토목)투찰_합덕-신례원(2공구)투찰_마현생창(동양고속)_왜관-태평건설 2" xfId="2114" xr:uid="{00000000-0005-0000-0000-000042080000}"/>
    <cellStyle name="_신태백(가실행)_창원상수도(토목)투찰_합덕-신례원(2공구)투찰_봉무지방산업단지도로(투찰)②" xfId="715" xr:uid="{00000000-0005-0000-0000-0000CB020000}"/>
    <cellStyle name="_신태백(가실행)_창원상수도(토목)투찰_합덕-신례원(2공구)투찰_봉무지방산업단지도로(투찰)② 2" xfId="2115" xr:uid="{00000000-0005-0000-0000-000043080000}"/>
    <cellStyle name="_신태백(가실행)_창원상수도(토목)투찰_합덕-신례원(2공구)투찰_봉무지방산업단지도로(투찰)②_마현생창(동양고속)" xfId="716" xr:uid="{00000000-0005-0000-0000-0000CC020000}"/>
    <cellStyle name="_신태백(가실행)_창원상수도(토목)투찰_합덕-신례원(2공구)투찰_봉무지방산업단지도로(투찰)②_마현생창(동양고속) 2" xfId="2116" xr:uid="{00000000-0005-0000-0000-000044080000}"/>
    <cellStyle name="_신태백(가실행)_창원상수도(토목)투찰_합덕-신례원(2공구)투찰_봉무지방산업단지도로(투찰)②_마현생창(동양고속)_왜관-태평건설" xfId="717" xr:uid="{00000000-0005-0000-0000-0000CD020000}"/>
    <cellStyle name="_신태백(가실행)_창원상수도(토목)투찰_합덕-신례원(2공구)투찰_봉무지방산업단지도로(투찰)②_마현생창(동양고속)_왜관-태평건설 2" xfId="2117" xr:uid="{00000000-0005-0000-0000-000045080000}"/>
    <cellStyle name="_신태백(가실행)_창원상수도(토목)투찰_합덕-신례원(2공구)투찰_봉무지방산업단지도로(투찰)②_왜관-태평건설" xfId="718" xr:uid="{00000000-0005-0000-0000-0000CE020000}"/>
    <cellStyle name="_신태백(가실행)_창원상수도(토목)투찰_합덕-신례원(2공구)투찰_봉무지방산업단지도로(투찰)②_왜관-태평건설 2" xfId="2118" xr:uid="{00000000-0005-0000-0000-000046080000}"/>
    <cellStyle name="_신태백(가실행)_창원상수도(토목)투찰_합덕-신례원(2공구)투찰_봉무지방산업단지도로(투찰)②+0.250%" xfId="719" xr:uid="{00000000-0005-0000-0000-0000CF020000}"/>
    <cellStyle name="_신태백(가실행)_창원상수도(토목)투찰_합덕-신례원(2공구)투찰_봉무지방산업단지도로(투찰)②+0.250% 2" xfId="2119" xr:uid="{00000000-0005-0000-0000-000047080000}"/>
    <cellStyle name="_신태백(가실행)_창원상수도(토목)투찰_합덕-신례원(2공구)투찰_봉무지방산업단지도로(투찰)②+0.250%_마현생창(동양고속)" xfId="720" xr:uid="{00000000-0005-0000-0000-0000D0020000}"/>
    <cellStyle name="_신태백(가실행)_창원상수도(토목)투찰_합덕-신례원(2공구)투찰_봉무지방산업단지도로(투찰)②+0.250%_마현생창(동양고속) 2" xfId="2120" xr:uid="{00000000-0005-0000-0000-000048080000}"/>
    <cellStyle name="_신태백(가실행)_창원상수도(토목)투찰_합덕-신례원(2공구)투찰_봉무지방산업단지도로(투찰)②+0.250%_마현생창(동양고속)_왜관-태평건설" xfId="721" xr:uid="{00000000-0005-0000-0000-0000D1020000}"/>
    <cellStyle name="_신태백(가실행)_창원상수도(토목)투찰_합덕-신례원(2공구)투찰_봉무지방산업단지도로(투찰)②+0.250%_마현생창(동양고속)_왜관-태평건설 2" xfId="2121" xr:uid="{00000000-0005-0000-0000-000049080000}"/>
    <cellStyle name="_신태백(가실행)_창원상수도(토목)투찰_합덕-신례원(2공구)투찰_봉무지방산업단지도로(투찰)②+0.250%_왜관-태평건설" xfId="722" xr:uid="{00000000-0005-0000-0000-0000D2020000}"/>
    <cellStyle name="_신태백(가실행)_창원상수도(토목)투찰_합덕-신례원(2공구)투찰_봉무지방산업단지도로(투찰)②+0.250%_왜관-태평건설 2" xfId="2122" xr:uid="{00000000-0005-0000-0000-00004A080000}"/>
    <cellStyle name="_신태백(가실행)_창원상수도(토목)투찰_합덕-신례원(2공구)투찰_왜관-태평건설" xfId="723" xr:uid="{00000000-0005-0000-0000-0000D3020000}"/>
    <cellStyle name="_신태백(가실행)_창원상수도(토목)투찰_합덕-신례원(2공구)투찰_왜관-태평건설 2" xfId="2123" xr:uid="{00000000-0005-0000-0000-00004B080000}"/>
    <cellStyle name="_신태백(가실행)_창원상수도(토목)투찰_합덕-신례원(2공구)투찰_합덕-신례원(2공구)투찰" xfId="724" xr:uid="{00000000-0005-0000-0000-0000D4020000}"/>
    <cellStyle name="_신태백(가실행)_창원상수도(토목)투찰_합덕-신례원(2공구)투찰_합덕-신례원(2공구)투찰 2" xfId="2124" xr:uid="{00000000-0005-0000-0000-00004C080000}"/>
    <cellStyle name="_신태백(가실행)_창원상수도(토목)투찰_합덕-신례원(2공구)투찰_합덕-신례원(2공구)투찰_경찰서-터미널간도로(투찰)②" xfId="725" xr:uid="{00000000-0005-0000-0000-0000D5020000}"/>
    <cellStyle name="_신태백(가실행)_창원상수도(토목)투찰_합덕-신례원(2공구)투찰_합덕-신례원(2공구)투찰_경찰서-터미널간도로(투찰)② 2" xfId="2125" xr:uid="{00000000-0005-0000-0000-00004D080000}"/>
    <cellStyle name="_신태백(가실행)_창원상수도(토목)투찰_합덕-신례원(2공구)투찰_합덕-신례원(2공구)투찰_경찰서-터미널간도로(투찰)②_마현생창(동양고속)" xfId="726" xr:uid="{00000000-0005-0000-0000-0000D6020000}"/>
    <cellStyle name="_신태백(가실행)_창원상수도(토목)투찰_합덕-신례원(2공구)투찰_합덕-신례원(2공구)투찰_경찰서-터미널간도로(투찰)②_마현생창(동양고속) 2" xfId="2126" xr:uid="{00000000-0005-0000-0000-00004E080000}"/>
    <cellStyle name="_신태백(가실행)_창원상수도(토목)투찰_합덕-신례원(2공구)투찰_합덕-신례원(2공구)투찰_경찰서-터미널간도로(투찰)②_마현생창(동양고속)_왜관-태평건설" xfId="727" xr:uid="{00000000-0005-0000-0000-0000D7020000}"/>
    <cellStyle name="_신태백(가실행)_창원상수도(토목)투찰_합덕-신례원(2공구)투찰_합덕-신례원(2공구)투찰_경찰서-터미널간도로(투찰)②_마현생창(동양고속)_왜관-태평건설 2" xfId="2127" xr:uid="{00000000-0005-0000-0000-00004F080000}"/>
    <cellStyle name="_신태백(가실행)_창원상수도(토목)투찰_합덕-신례원(2공구)투찰_합덕-신례원(2공구)투찰_경찰서-터미널간도로(투찰)②_왜관-태평건설" xfId="728" xr:uid="{00000000-0005-0000-0000-0000D8020000}"/>
    <cellStyle name="_신태백(가실행)_창원상수도(토목)투찰_합덕-신례원(2공구)투찰_합덕-신례원(2공구)투찰_경찰서-터미널간도로(투찰)②_왜관-태평건설 2" xfId="2128" xr:uid="{00000000-0005-0000-0000-000050080000}"/>
    <cellStyle name="_신태백(가실행)_창원상수도(토목)투찰_합덕-신례원(2공구)투찰_합덕-신례원(2공구)투찰_마현생창(동양고속)" xfId="729" xr:uid="{00000000-0005-0000-0000-0000D9020000}"/>
    <cellStyle name="_신태백(가실행)_창원상수도(토목)투찰_합덕-신례원(2공구)투찰_합덕-신례원(2공구)투찰_마현생창(동양고속) 2" xfId="2129" xr:uid="{00000000-0005-0000-0000-000051080000}"/>
    <cellStyle name="_신태백(가실행)_창원상수도(토목)투찰_합덕-신례원(2공구)투찰_합덕-신례원(2공구)투찰_마현생창(동양고속)_왜관-태평건설" xfId="730" xr:uid="{00000000-0005-0000-0000-0000DA020000}"/>
    <cellStyle name="_신태백(가실행)_창원상수도(토목)투찰_합덕-신례원(2공구)투찰_합덕-신례원(2공구)투찰_마현생창(동양고속)_왜관-태평건설 2" xfId="2130" xr:uid="{00000000-0005-0000-0000-000052080000}"/>
    <cellStyle name="_신태백(가실행)_창원상수도(토목)투찰_합덕-신례원(2공구)투찰_합덕-신례원(2공구)투찰_봉무지방산업단지도로(투찰)②" xfId="731" xr:uid="{00000000-0005-0000-0000-0000DB020000}"/>
    <cellStyle name="_신태백(가실행)_창원상수도(토목)투찰_합덕-신례원(2공구)투찰_합덕-신례원(2공구)투찰_봉무지방산업단지도로(투찰)② 2" xfId="2131" xr:uid="{00000000-0005-0000-0000-000053080000}"/>
    <cellStyle name="_신태백(가실행)_창원상수도(토목)투찰_합덕-신례원(2공구)투찰_합덕-신례원(2공구)투찰_봉무지방산업단지도로(투찰)②_마현생창(동양고속)" xfId="732" xr:uid="{00000000-0005-0000-0000-0000DC020000}"/>
    <cellStyle name="_신태백(가실행)_창원상수도(토목)투찰_합덕-신례원(2공구)투찰_합덕-신례원(2공구)투찰_봉무지방산업단지도로(투찰)②_마현생창(동양고속) 2" xfId="2132" xr:uid="{00000000-0005-0000-0000-000054080000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D020000}"/>
    <cellStyle name="_신태백(가실행)_창원상수도(토목)투찰_합덕-신례원(2공구)투찰_합덕-신례원(2공구)투찰_봉무지방산업단지도로(투찰)②_마현생창(동양고속)_왜관-태평건설 2" xfId="2133" xr:uid="{00000000-0005-0000-0000-000055080000}"/>
    <cellStyle name="_신태백(가실행)_창원상수도(토목)투찰_합덕-신례원(2공구)투찰_합덕-신례원(2공구)투찰_봉무지방산업단지도로(투찰)②_왜관-태평건설" xfId="734" xr:uid="{00000000-0005-0000-0000-0000DE020000}"/>
    <cellStyle name="_신태백(가실행)_창원상수도(토목)투찰_합덕-신례원(2공구)투찰_합덕-신례원(2공구)투찰_봉무지방산업단지도로(투찰)②_왜관-태평건설 2" xfId="2134" xr:uid="{00000000-0005-0000-0000-000056080000}"/>
    <cellStyle name="_신태백(가실행)_창원상수도(토목)투찰_합덕-신례원(2공구)투찰_합덕-신례원(2공구)투찰_봉무지방산업단지도로(투찰)②+0.250%" xfId="735" xr:uid="{00000000-0005-0000-0000-0000DF020000}"/>
    <cellStyle name="_신태백(가실행)_창원상수도(토목)투찰_합덕-신례원(2공구)투찰_합덕-신례원(2공구)투찰_봉무지방산업단지도로(투찰)②+0.250% 2" xfId="2135" xr:uid="{00000000-0005-0000-0000-000057080000}"/>
    <cellStyle name="_신태백(가실행)_창원상수도(토목)투찰_합덕-신례원(2공구)투찰_합덕-신례원(2공구)투찰_봉무지방산업단지도로(투찰)②+0.250%_마현생창(동양고속)" xfId="736" xr:uid="{00000000-0005-0000-0000-0000E0020000}"/>
    <cellStyle name="_신태백(가실행)_창원상수도(토목)투찰_합덕-신례원(2공구)투찰_합덕-신례원(2공구)투찰_봉무지방산업단지도로(투찰)②+0.250%_마현생창(동양고속) 2" xfId="2136" xr:uid="{00000000-0005-0000-0000-000058080000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1020000}"/>
    <cellStyle name="_신태백(가실행)_창원상수도(토목)투찰_합덕-신례원(2공구)투찰_합덕-신례원(2공구)투찰_봉무지방산업단지도로(투찰)②+0.250%_마현생창(동양고속)_왜관-태평건설 2" xfId="2137" xr:uid="{00000000-0005-0000-0000-000059080000}"/>
    <cellStyle name="_신태백(가실행)_창원상수도(토목)투찰_합덕-신례원(2공구)투찰_합덕-신례원(2공구)투찰_봉무지방산업단지도로(투찰)②+0.250%_왜관-태평건설" xfId="738" xr:uid="{00000000-0005-0000-0000-0000E2020000}"/>
    <cellStyle name="_신태백(가실행)_창원상수도(토목)투찰_합덕-신례원(2공구)투찰_합덕-신례원(2공구)투찰_봉무지방산업단지도로(투찰)②+0.250%_왜관-태평건설 2" xfId="2138" xr:uid="{00000000-0005-0000-0000-00005A080000}"/>
    <cellStyle name="_신태백(가실행)_창원상수도(토목)투찰_합덕-신례원(2공구)투찰_합덕-신례원(2공구)투찰_왜관-태평건설" xfId="739" xr:uid="{00000000-0005-0000-0000-0000E3020000}"/>
    <cellStyle name="_신태백(가실행)_창원상수도(토목)투찰_합덕-신례원(2공구)투찰_합덕-신례원(2공구)투찰_왜관-태평건설 2" xfId="2139" xr:uid="{00000000-0005-0000-0000-00005B080000}"/>
    <cellStyle name="_신태백(가실행)_합덕-신례원(2공구)투찰" xfId="740" xr:uid="{00000000-0005-0000-0000-0000E4020000}"/>
    <cellStyle name="_신태백(가실행)_합덕-신례원(2공구)투찰 2" xfId="2140" xr:uid="{00000000-0005-0000-0000-00005C080000}"/>
    <cellStyle name="_신태백(가실행)_합덕-신례원(2공구)투찰_경찰서-터미널간도로(투찰)②" xfId="741" xr:uid="{00000000-0005-0000-0000-0000E5020000}"/>
    <cellStyle name="_신태백(가실행)_합덕-신례원(2공구)투찰_경찰서-터미널간도로(투찰)② 2" xfId="2141" xr:uid="{00000000-0005-0000-0000-00005D080000}"/>
    <cellStyle name="_신태백(가실행)_합덕-신례원(2공구)투찰_경찰서-터미널간도로(투찰)②_마현생창(동양고속)" xfId="742" xr:uid="{00000000-0005-0000-0000-0000E6020000}"/>
    <cellStyle name="_신태백(가실행)_합덕-신례원(2공구)투찰_경찰서-터미널간도로(투찰)②_마현생창(동양고속) 2" xfId="2142" xr:uid="{00000000-0005-0000-0000-00005E080000}"/>
    <cellStyle name="_신태백(가실행)_합덕-신례원(2공구)투찰_경찰서-터미널간도로(투찰)②_마현생창(동양고속)_왜관-태평건설" xfId="743" xr:uid="{00000000-0005-0000-0000-0000E7020000}"/>
    <cellStyle name="_신태백(가실행)_합덕-신례원(2공구)투찰_경찰서-터미널간도로(투찰)②_마현생창(동양고속)_왜관-태평건설 2" xfId="2143" xr:uid="{00000000-0005-0000-0000-00005F080000}"/>
    <cellStyle name="_신태백(가실행)_합덕-신례원(2공구)투찰_경찰서-터미널간도로(투찰)②_왜관-태평건설" xfId="744" xr:uid="{00000000-0005-0000-0000-0000E8020000}"/>
    <cellStyle name="_신태백(가실행)_합덕-신례원(2공구)투찰_경찰서-터미널간도로(투찰)②_왜관-태평건설 2" xfId="2144" xr:uid="{00000000-0005-0000-0000-000060080000}"/>
    <cellStyle name="_신태백(가실행)_합덕-신례원(2공구)투찰_마현생창(동양고속)" xfId="745" xr:uid="{00000000-0005-0000-0000-0000E9020000}"/>
    <cellStyle name="_신태백(가실행)_합덕-신례원(2공구)투찰_마현생창(동양고속) 2" xfId="2145" xr:uid="{00000000-0005-0000-0000-000061080000}"/>
    <cellStyle name="_신태백(가실행)_합덕-신례원(2공구)투찰_마현생창(동양고속)_왜관-태평건설" xfId="746" xr:uid="{00000000-0005-0000-0000-0000EA020000}"/>
    <cellStyle name="_신태백(가실행)_합덕-신례원(2공구)투찰_마현생창(동양고속)_왜관-태평건설 2" xfId="2146" xr:uid="{00000000-0005-0000-0000-000062080000}"/>
    <cellStyle name="_신태백(가실행)_합덕-신례원(2공구)투찰_봉무지방산업단지도로(투찰)②" xfId="747" xr:uid="{00000000-0005-0000-0000-0000EB020000}"/>
    <cellStyle name="_신태백(가실행)_합덕-신례원(2공구)투찰_봉무지방산업단지도로(투찰)② 2" xfId="2147" xr:uid="{00000000-0005-0000-0000-000063080000}"/>
    <cellStyle name="_신태백(가실행)_합덕-신례원(2공구)투찰_봉무지방산업단지도로(투찰)②_마현생창(동양고속)" xfId="748" xr:uid="{00000000-0005-0000-0000-0000EC020000}"/>
    <cellStyle name="_신태백(가실행)_합덕-신례원(2공구)투찰_봉무지방산업단지도로(투찰)②_마현생창(동양고속) 2" xfId="2148" xr:uid="{00000000-0005-0000-0000-000064080000}"/>
    <cellStyle name="_신태백(가실행)_합덕-신례원(2공구)투찰_봉무지방산업단지도로(투찰)②_마현생창(동양고속)_왜관-태평건설" xfId="749" xr:uid="{00000000-0005-0000-0000-0000ED020000}"/>
    <cellStyle name="_신태백(가실행)_합덕-신례원(2공구)투찰_봉무지방산업단지도로(투찰)②_마현생창(동양고속)_왜관-태평건설 2" xfId="2149" xr:uid="{00000000-0005-0000-0000-000065080000}"/>
    <cellStyle name="_신태백(가실행)_합덕-신례원(2공구)투찰_봉무지방산업단지도로(투찰)②_왜관-태평건설" xfId="750" xr:uid="{00000000-0005-0000-0000-0000EE020000}"/>
    <cellStyle name="_신태백(가실행)_합덕-신례원(2공구)투찰_봉무지방산업단지도로(투찰)②_왜관-태평건설 2" xfId="2150" xr:uid="{00000000-0005-0000-0000-000066080000}"/>
    <cellStyle name="_신태백(가실행)_합덕-신례원(2공구)투찰_봉무지방산업단지도로(투찰)②+0.250%" xfId="751" xr:uid="{00000000-0005-0000-0000-0000EF020000}"/>
    <cellStyle name="_신태백(가실행)_합덕-신례원(2공구)투찰_봉무지방산업단지도로(투찰)②+0.250% 2" xfId="2151" xr:uid="{00000000-0005-0000-0000-000067080000}"/>
    <cellStyle name="_신태백(가실행)_합덕-신례원(2공구)투찰_봉무지방산업단지도로(투찰)②+0.250%_마현생창(동양고속)" xfId="752" xr:uid="{00000000-0005-0000-0000-0000F0020000}"/>
    <cellStyle name="_신태백(가실행)_합덕-신례원(2공구)투찰_봉무지방산업단지도로(투찰)②+0.250%_마현생창(동양고속) 2" xfId="2152" xr:uid="{00000000-0005-0000-0000-000068080000}"/>
    <cellStyle name="_신태백(가실행)_합덕-신례원(2공구)투찰_봉무지방산업단지도로(투찰)②+0.250%_마현생창(동양고속)_왜관-태평건설" xfId="753" xr:uid="{00000000-0005-0000-0000-0000F1020000}"/>
    <cellStyle name="_신태백(가실행)_합덕-신례원(2공구)투찰_봉무지방산업단지도로(투찰)②+0.250%_마현생창(동양고속)_왜관-태평건설 2" xfId="2153" xr:uid="{00000000-0005-0000-0000-000069080000}"/>
    <cellStyle name="_신태백(가실행)_합덕-신례원(2공구)투찰_봉무지방산업단지도로(투찰)②+0.250%_왜관-태평건설" xfId="754" xr:uid="{00000000-0005-0000-0000-0000F2020000}"/>
    <cellStyle name="_신태백(가실행)_합덕-신례원(2공구)투찰_봉무지방산업단지도로(투찰)②+0.250%_왜관-태평건설 2" xfId="2154" xr:uid="{00000000-0005-0000-0000-00006A080000}"/>
    <cellStyle name="_신태백(가실행)_합덕-신례원(2공구)투찰_왜관-태평건설" xfId="755" xr:uid="{00000000-0005-0000-0000-0000F3020000}"/>
    <cellStyle name="_신태백(가실행)_합덕-신례원(2공구)투찰_왜관-태평건설 2" xfId="2155" xr:uid="{00000000-0005-0000-0000-00006B080000}"/>
    <cellStyle name="_신태백(가실행)_합덕-신례원(2공구)투찰_합덕-신례원(2공구)투찰" xfId="756" xr:uid="{00000000-0005-0000-0000-0000F4020000}"/>
    <cellStyle name="_신태백(가실행)_합덕-신례원(2공구)투찰_합덕-신례원(2공구)투찰 2" xfId="2156" xr:uid="{00000000-0005-0000-0000-00006C080000}"/>
    <cellStyle name="_신태백(가실행)_합덕-신례원(2공구)투찰_합덕-신례원(2공구)투찰_경찰서-터미널간도로(투찰)②" xfId="757" xr:uid="{00000000-0005-0000-0000-0000F5020000}"/>
    <cellStyle name="_신태백(가실행)_합덕-신례원(2공구)투찰_합덕-신례원(2공구)투찰_경찰서-터미널간도로(투찰)② 2" xfId="2157" xr:uid="{00000000-0005-0000-0000-00006D080000}"/>
    <cellStyle name="_신태백(가실행)_합덕-신례원(2공구)투찰_합덕-신례원(2공구)투찰_경찰서-터미널간도로(투찰)②_마현생창(동양고속)" xfId="758" xr:uid="{00000000-0005-0000-0000-0000F6020000}"/>
    <cellStyle name="_신태백(가실행)_합덕-신례원(2공구)투찰_합덕-신례원(2공구)투찰_경찰서-터미널간도로(투찰)②_마현생창(동양고속) 2" xfId="2158" xr:uid="{00000000-0005-0000-0000-00006E080000}"/>
    <cellStyle name="_신태백(가실행)_합덕-신례원(2공구)투찰_합덕-신례원(2공구)투찰_경찰서-터미널간도로(투찰)②_마현생창(동양고속)_왜관-태평건설" xfId="759" xr:uid="{00000000-0005-0000-0000-0000F7020000}"/>
    <cellStyle name="_신태백(가실행)_합덕-신례원(2공구)투찰_합덕-신례원(2공구)투찰_경찰서-터미널간도로(투찰)②_마현생창(동양고속)_왜관-태평건설 2" xfId="2159" xr:uid="{00000000-0005-0000-0000-00006F080000}"/>
    <cellStyle name="_신태백(가실행)_합덕-신례원(2공구)투찰_합덕-신례원(2공구)투찰_경찰서-터미널간도로(투찰)②_왜관-태평건설" xfId="760" xr:uid="{00000000-0005-0000-0000-0000F8020000}"/>
    <cellStyle name="_신태백(가실행)_합덕-신례원(2공구)투찰_합덕-신례원(2공구)투찰_경찰서-터미널간도로(투찰)②_왜관-태평건설 2" xfId="2160" xr:uid="{00000000-0005-0000-0000-000070080000}"/>
    <cellStyle name="_신태백(가실행)_합덕-신례원(2공구)투찰_합덕-신례원(2공구)투찰_마현생창(동양고속)" xfId="761" xr:uid="{00000000-0005-0000-0000-0000F9020000}"/>
    <cellStyle name="_신태백(가실행)_합덕-신례원(2공구)투찰_합덕-신례원(2공구)투찰_마현생창(동양고속) 2" xfId="2161" xr:uid="{00000000-0005-0000-0000-000071080000}"/>
    <cellStyle name="_신태백(가실행)_합덕-신례원(2공구)투찰_합덕-신례원(2공구)투찰_마현생창(동양고속)_왜관-태평건설" xfId="762" xr:uid="{00000000-0005-0000-0000-0000FA020000}"/>
    <cellStyle name="_신태백(가실행)_합덕-신례원(2공구)투찰_합덕-신례원(2공구)투찰_마현생창(동양고속)_왜관-태평건설 2" xfId="2162" xr:uid="{00000000-0005-0000-0000-000072080000}"/>
    <cellStyle name="_신태백(가실행)_합덕-신례원(2공구)투찰_합덕-신례원(2공구)투찰_봉무지방산업단지도로(투찰)②" xfId="763" xr:uid="{00000000-0005-0000-0000-0000FB020000}"/>
    <cellStyle name="_신태백(가실행)_합덕-신례원(2공구)투찰_합덕-신례원(2공구)투찰_봉무지방산업단지도로(투찰)② 2" xfId="2163" xr:uid="{00000000-0005-0000-0000-000073080000}"/>
    <cellStyle name="_신태백(가실행)_합덕-신례원(2공구)투찰_합덕-신례원(2공구)투찰_봉무지방산업단지도로(투찰)②_마현생창(동양고속)" xfId="764" xr:uid="{00000000-0005-0000-0000-0000FC020000}"/>
    <cellStyle name="_신태백(가실행)_합덕-신례원(2공구)투찰_합덕-신례원(2공구)투찰_봉무지방산업단지도로(투찰)②_마현생창(동양고속) 2" xfId="2164" xr:uid="{00000000-0005-0000-0000-000074080000}"/>
    <cellStyle name="_신태백(가실행)_합덕-신례원(2공구)투찰_합덕-신례원(2공구)투찰_봉무지방산업단지도로(투찰)②_마현생창(동양고속)_왜관-태평건설" xfId="765" xr:uid="{00000000-0005-0000-0000-0000FD020000}"/>
    <cellStyle name="_신태백(가실행)_합덕-신례원(2공구)투찰_합덕-신례원(2공구)투찰_봉무지방산업단지도로(투찰)②_마현생창(동양고속)_왜관-태평건설 2" xfId="2165" xr:uid="{00000000-0005-0000-0000-000075080000}"/>
    <cellStyle name="_신태백(가실행)_합덕-신례원(2공구)투찰_합덕-신례원(2공구)투찰_봉무지방산업단지도로(투찰)②_왜관-태평건설" xfId="766" xr:uid="{00000000-0005-0000-0000-0000FE020000}"/>
    <cellStyle name="_신태백(가실행)_합덕-신례원(2공구)투찰_합덕-신례원(2공구)투찰_봉무지방산업단지도로(투찰)②_왜관-태평건설 2" xfId="2166" xr:uid="{00000000-0005-0000-0000-000076080000}"/>
    <cellStyle name="_신태백(가실행)_합덕-신례원(2공구)투찰_합덕-신례원(2공구)투찰_봉무지방산업단지도로(투찰)②+0.250%" xfId="767" xr:uid="{00000000-0005-0000-0000-0000FF020000}"/>
    <cellStyle name="_신태백(가실행)_합덕-신례원(2공구)투찰_합덕-신례원(2공구)투찰_봉무지방산업단지도로(투찰)②+0.250% 2" xfId="2167" xr:uid="{00000000-0005-0000-0000-000077080000}"/>
    <cellStyle name="_신태백(가실행)_합덕-신례원(2공구)투찰_합덕-신례원(2공구)투찰_봉무지방산업단지도로(투찰)②+0.250%_마현생창(동양고속)" xfId="768" xr:uid="{00000000-0005-0000-0000-000000030000}"/>
    <cellStyle name="_신태백(가실행)_합덕-신례원(2공구)투찰_합덕-신례원(2공구)투찰_봉무지방산업단지도로(투찰)②+0.250%_마현생창(동양고속) 2" xfId="2168" xr:uid="{00000000-0005-0000-0000-000078080000}"/>
    <cellStyle name="_신태백(가실행)_합덕-신례원(2공구)투찰_합덕-신례원(2공구)투찰_봉무지방산업단지도로(투찰)②+0.250%_마현생창(동양고속)_왜관-태평건설" xfId="769" xr:uid="{00000000-0005-0000-0000-000001030000}"/>
    <cellStyle name="_신태백(가실행)_합덕-신례원(2공구)투찰_합덕-신례원(2공구)투찰_봉무지방산업단지도로(투찰)②+0.250%_마현생창(동양고속)_왜관-태평건설 2" xfId="2169" xr:uid="{00000000-0005-0000-0000-000079080000}"/>
    <cellStyle name="_신태백(가실행)_합덕-신례원(2공구)투찰_합덕-신례원(2공구)투찰_봉무지방산업단지도로(투찰)②+0.250%_왜관-태평건설" xfId="770" xr:uid="{00000000-0005-0000-0000-000002030000}"/>
    <cellStyle name="_신태백(가실행)_합덕-신례원(2공구)투찰_합덕-신례원(2공구)투찰_봉무지방산업단지도로(투찰)②+0.250%_왜관-태평건설 2" xfId="2170" xr:uid="{00000000-0005-0000-0000-00007A080000}"/>
    <cellStyle name="_신태백(가실행)_합덕-신례원(2공구)투찰_합덕-신례원(2공구)투찰_왜관-태평건설" xfId="771" xr:uid="{00000000-0005-0000-0000-000003030000}"/>
    <cellStyle name="_신태백(가실행)_합덕-신례원(2공구)투찰_합덕-신례원(2공구)투찰_왜관-태평건설 2" xfId="2171" xr:uid="{00000000-0005-0000-0000-00007B080000}"/>
    <cellStyle name="_신태백(투찰내역)2" xfId="772" xr:uid="{00000000-0005-0000-0000-000004030000}"/>
    <cellStyle name="_실행예산" xfId="773" xr:uid="{00000000-0005-0000-0000-000005030000}"/>
    <cellStyle name="_안산부대(투찰)⑤" xfId="774" xr:uid="{00000000-0005-0000-0000-000006030000}"/>
    <cellStyle name="_안산부대(투찰)⑤ 2" xfId="2172" xr:uid="{00000000-0005-0000-0000-00007C080000}"/>
    <cellStyle name="_안산부대(투찰)⑤_경찰서-터미널간도로(투찰)②" xfId="775" xr:uid="{00000000-0005-0000-0000-000007030000}"/>
    <cellStyle name="_안산부대(투찰)⑤_경찰서-터미널간도로(투찰)② 2" xfId="2173" xr:uid="{00000000-0005-0000-0000-00007D080000}"/>
    <cellStyle name="_안산부대(투찰)⑤_경찰서-터미널간도로(투찰)②_마현생창(동양고속)" xfId="776" xr:uid="{00000000-0005-0000-0000-000008030000}"/>
    <cellStyle name="_안산부대(투찰)⑤_경찰서-터미널간도로(투찰)②_마현생창(동양고속) 2" xfId="2174" xr:uid="{00000000-0005-0000-0000-00007E080000}"/>
    <cellStyle name="_안산부대(투찰)⑤_경찰서-터미널간도로(투찰)②_마현생창(동양고속)_왜관-태평건설" xfId="777" xr:uid="{00000000-0005-0000-0000-000009030000}"/>
    <cellStyle name="_안산부대(투찰)⑤_경찰서-터미널간도로(투찰)②_마현생창(동양고속)_왜관-태평건설 2" xfId="2175" xr:uid="{00000000-0005-0000-0000-00007F080000}"/>
    <cellStyle name="_안산부대(투찰)⑤_경찰서-터미널간도로(투찰)②_왜관-태평건설" xfId="778" xr:uid="{00000000-0005-0000-0000-00000A030000}"/>
    <cellStyle name="_안산부대(투찰)⑤_경찰서-터미널간도로(투찰)②_왜관-태평건설 2" xfId="2176" xr:uid="{00000000-0005-0000-0000-000080080000}"/>
    <cellStyle name="_안산부대(투찰)⑤_마현생창(동양고속)" xfId="779" xr:uid="{00000000-0005-0000-0000-00000B030000}"/>
    <cellStyle name="_안산부대(투찰)⑤_마현생창(동양고속) 2" xfId="2177" xr:uid="{00000000-0005-0000-0000-000081080000}"/>
    <cellStyle name="_안산부대(투찰)⑤_마현생창(동양고속)_왜관-태평건설" xfId="780" xr:uid="{00000000-0005-0000-0000-00000C030000}"/>
    <cellStyle name="_안산부대(투찰)⑤_마현생창(동양고속)_왜관-태평건설 2" xfId="2178" xr:uid="{00000000-0005-0000-0000-000082080000}"/>
    <cellStyle name="_안산부대(투찰)⑤_봉무지방산업단지도로(투찰)②" xfId="781" xr:uid="{00000000-0005-0000-0000-00000D030000}"/>
    <cellStyle name="_안산부대(투찰)⑤_봉무지방산업단지도로(투찰)② 2" xfId="2179" xr:uid="{00000000-0005-0000-0000-000083080000}"/>
    <cellStyle name="_안산부대(투찰)⑤_봉무지방산업단지도로(투찰)②_마현생창(동양고속)" xfId="782" xr:uid="{00000000-0005-0000-0000-00000E030000}"/>
    <cellStyle name="_안산부대(투찰)⑤_봉무지방산업단지도로(투찰)②_마현생창(동양고속) 2" xfId="2180" xr:uid="{00000000-0005-0000-0000-000084080000}"/>
    <cellStyle name="_안산부대(투찰)⑤_봉무지방산업단지도로(투찰)②_마현생창(동양고속)_왜관-태평건설" xfId="783" xr:uid="{00000000-0005-0000-0000-00000F030000}"/>
    <cellStyle name="_안산부대(투찰)⑤_봉무지방산업단지도로(투찰)②_마현생창(동양고속)_왜관-태평건설 2" xfId="2181" xr:uid="{00000000-0005-0000-0000-000085080000}"/>
    <cellStyle name="_안산부대(투찰)⑤_봉무지방산업단지도로(투찰)②_왜관-태평건설" xfId="784" xr:uid="{00000000-0005-0000-0000-000010030000}"/>
    <cellStyle name="_안산부대(투찰)⑤_봉무지방산업단지도로(투찰)②_왜관-태평건설 2" xfId="2182" xr:uid="{00000000-0005-0000-0000-000086080000}"/>
    <cellStyle name="_안산부대(투찰)⑤_봉무지방산업단지도로(투찰)②+0.250%" xfId="785" xr:uid="{00000000-0005-0000-0000-000011030000}"/>
    <cellStyle name="_안산부대(투찰)⑤_봉무지방산업단지도로(투찰)②+0.250% 2" xfId="2183" xr:uid="{00000000-0005-0000-0000-000087080000}"/>
    <cellStyle name="_안산부대(투찰)⑤_봉무지방산업단지도로(투찰)②+0.250%_마현생창(동양고속)" xfId="786" xr:uid="{00000000-0005-0000-0000-000012030000}"/>
    <cellStyle name="_안산부대(투찰)⑤_봉무지방산업단지도로(투찰)②+0.250%_마현생창(동양고속) 2" xfId="2184" xr:uid="{00000000-0005-0000-0000-000088080000}"/>
    <cellStyle name="_안산부대(투찰)⑤_봉무지방산업단지도로(투찰)②+0.250%_마현생창(동양고속)_왜관-태평건설" xfId="787" xr:uid="{00000000-0005-0000-0000-000013030000}"/>
    <cellStyle name="_안산부대(투찰)⑤_봉무지방산업단지도로(투찰)②+0.250%_마현생창(동양고속)_왜관-태평건설 2" xfId="2185" xr:uid="{00000000-0005-0000-0000-000089080000}"/>
    <cellStyle name="_안산부대(투찰)⑤_봉무지방산업단지도로(투찰)②+0.250%_왜관-태평건설" xfId="788" xr:uid="{00000000-0005-0000-0000-000014030000}"/>
    <cellStyle name="_안산부대(투찰)⑤_봉무지방산업단지도로(투찰)②+0.250%_왜관-태평건설 2" xfId="2186" xr:uid="{00000000-0005-0000-0000-00008A080000}"/>
    <cellStyle name="_안산부대(투찰)⑤_왜관-태평건설" xfId="789" xr:uid="{00000000-0005-0000-0000-000015030000}"/>
    <cellStyle name="_안산부대(투찰)⑤_왜관-태평건설 2" xfId="2187" xr:uid="{00000000-0005-0000-0000-00008B080000}"/>
    <cellStyle name="_안산부대(투찰)⑤_합덕-신례원(2공구)투찰" xfId="790" xr:uid="{00000000-0005-0000-0000-000016030000}"/>
    <cellStyle name="_안산부대(투찰)⑤_합덕-신례원(2공구)투찰 2" xfId="2188" xr:uid="{00000000-0005-0000-0000-00008C080000}"/>
    <cellStyle name="_안산부대(투찰)⑤_합덕-신례원(2공구)투찰_경찰서-터미널간도로(투찰)②" xfId="791" xr:uid="{00000000-0005-0000-0000-000017030000}"/>
    <cellStyle name="_안산부대(투찰)⑤_합덕-신례원(2공구)투찰_경찰서-터미널간도로(투찰)② 2" xfId="2189" xr:uid="{00000000-0005-0000-0000-00008D080000}"/>
    <cellStyle name="_안산부대(투찰)⑤_합덕-신례원(2공구)투찰_경찰서-터미널간도로(투찰)②_마현생창(동양고속)" xfId="792" xr:uid="{00000000-0005-0000-0000-000018030000}"/>
    <cellStyle name="_안산부대(투찰)⑤_합덕-신례원(2공구)투찰_경찰서-터미널간도로(투찰)②_마현생창(동양고속) 2" xfId="2190" xr:uid="{00000000-0005-0000-0000-00008E080000}"/>
    <cellStyle name="_안산부대(투찰)⑤_합덕-신례원(2공구)투찰_경찰서-터미널간도로(투찰)②_마현생창(동양고속)_왜관-태평건설" xfId="793" xr:uid="{00000000-0005-0000-0000-000019030000}"/>
    <cellStyle name="_안산부대(투찰)⑤_합덕-신례원(2공구)투찰_경찰서-터미널간도로(투찰)②_마현생창(동양고속)_왜관-태평건설 2" xfId="2191" xr:uid="{00000000-0005-0000-0000-00008F080000}"/>
    <cellStyle name="_안산부대(투찰)⑤_합덕-신례원(2공구)투찰_경찰서-터미널간도로(투찰)②_왜관-태평건설" xfId="794" xr:uid="{00000000-0005-0000-0000-00001A030000}"/>
    <cellStyle name="_안산부대(투찰)⑤_합덕-신례원(2공구)투찰_경찰서-터미널간도로(투찰)②_왜관-태평건설 2" xfId="2192" xr:uid="{00000000-0005-0000-0000-000090080000}"/>
    <cellStyle name="_안산부대(투찰)⑤_합덕-신례원(2공구)투찰_마현생창(동양고속)" xfId="795" xr:uid="{00000000-0005-0000-0000-00001B030000}"/>
    <cellStyle name="_안산부대(투찰)⑤_합덕-신례원(2공구)투찰_마현생창(동양고속) 2" xfId="2193" xr:uid="{00000000-0005-0000-0000-000091080000}"/>
    <cellStyle name="_안산부대(투찰)⑤_합덕-신례원(2공구)투찰_마현생창(동양고속)_왜관-태평건설" xfId="796" xr:uid="{00000000-0005-0000-0000-00001C030000}"/>
    <cellStyle name="_안산부대(투찰)⑤_합덕-신례원(2공구)투찰_마현생창(동양고속)_왜관-태평건설 2" xfId="2194" xr:uid="{00000000-0005-0000-0000-000092080000}"/>
    <cellStyle name="_안산부대(투찰)⑤_합덕-신례원(2공구)투찰_봉무지방산업단지도로(투찰)②" xfId="797" xr:uid="{00000000-0005-0000-0000-00001D030000}"/>
    <cellStyle name="_안산부대(투찰)⑤_합덕-신례원(2공구)투찰_봉무지방산업단지도로(투찰)② 2" xfId="2195" xr:uid="{00000000-0005-0000-0000-000093080000}"/>
    <cellStyle name="_안산부대(투찰)⑤_합덕-신례원(2공구)투찰_봉무지방산업단지도로(투찰)②_마현생창(동양고속)" xfId="798" xr:uid="{00000000-0005-0000-0000-00001E030000}"/>
    <cellStyle name="_안산부대(투찰)⑤_합덕-신례원(2공구)투찰_봉무지방산업단지도로(투찰)②_마현생창(동양고속) 2" xfId="2196" xr:uid="{00000000-0005-0000-0000-000094080000}"/>
    <cellStyle name="_안산부대(투찰)⑤_합덕-신례원(2공구)투찰_봉무지방산업단지도로(투찰)②_마현생창(동양고속)_왜관-태평건설" xfId="799" xr:uid="{00000000-0005-0000-0000-00001F030000}"/>
    <cellStyle name="_안산부대(투찰)⑤_합덕-신례원(2공구)투찰_봉무지방산업단지도로(투찰)②_마현생창(동양고속)_왜관-태평건설 2" xfId="2197" xr:uid="{00000000-0005-0000-0000-000095080000}"/>
    <cellStyle name="_안산부대(투찰)⑤_합덕-신례원(2공구)투찰_봉무지방산업단지도로(투찰)②_왜관-태평건설" xfId="800" xr:uid="{00000000-0005-0000-0000-000020030000}"/>
    <cellStyle name="_안산부대(투찰)⑤_합덕-신례원(2공구)투찰_봉무지방산업단지도로(투찰)②_왜관-태평건설 2" xfId="2198" xr:uid="{00000000-0005-0000-0000-000096080000}"/>
    <cellStyle name="_안산부대(투찰)⑤_합덕-신례원(2공구)투찰_봉무지방산업단지도로(투찰)②+0.250%" xfId="801" xr:uid="{00000000-0005-0000-0000-000021030000}"/>
    <cellStyle name="_안산부대(투찰)⑤_합덕-신례원(2공구)투찰_봉무지방산업단지도로(투찰)②+0.250% 2" xfId="2199" xr:uid="{00000000-0005-0000-0000-000097080000}"/>
    <cellStyle name="_안산부대(투찰)⑤_합덕-신례원(2공구)투찰_봉무지방산업단지도로(투찰)②+0.250%_마현생창(동양고속)" xfId="802" xr:uid="{00000000-0005-0000-0000-000022030000}"/>
    <cellStyle name="_안산부대(투찰)⑤_합덕-신례원(2공구)투찰_봉무지방산업단지도로(투찰)②+0.250%_마현생창(동양고속) 2" xfId="2200" xr:uid="{00000000-0005-0000-0000-000098080000}"/>
    <cellStyle name="_안산부대(투찰)⑤_합덕-신례원(2공구)투찰_봉무지방산업단지도로(투찰)②+0.250%_마현생창(동양고속)_왜관-태평건설" xfId="803" xr:uid="{00000000-0005-0000-0000-000023030000}"/>
    <cellStyle name="_안산부대(투찰)⑤_합덕-신례원(2공구)투찰_봉무지방산업단지도로(투찰)②+0.250%_마현생창(동양고속)_왜관-태평건설 2" xfId="2201" xr:uid="{00000000-0005-0000-0000-000099080000}"/>
    <cellStyle name="_안산부대(투찰)⑤_합덕-신례원(2공구)투찰_봉무지방산업단지도로(투찰)②+0.250%_왜관-태평건설" xfId="804" xr:uid="{00000000-0005-0000-0000-000024030000}"/>
    <cellStyle name="_안산부대(투찰)⑤_합덕-신례원(2공구)투찰_봉무지방산업단지도로(투찰)②+0.250%_왜관-태평건설 2" xfId="2202" xr:uid="{00000000-0005-0000-0000-00009A080000}"/>
    <cellStyle name="_안산부대(투찰)⑤_합덕-신례원(2공구)투찰_왜관-태평건설" xfId="805" xr:uid="{00000000-0005-0000-0000-000025030000}"/>
    <cellStyle name="_안산부대(투찰)⑤_합덕-신례원(2공구)투찰_왜관-태평건설 2" xfId="2203" xr:uid="{00000000-0005-0000-0000-00009B080000}"/>
    <cellStyle name="_안산부대(투찰)⑤_합덕-신례원(2공구)투찰_합덕-신례원(2공구)투찰" xfId="806" xr:uid="{00000000-0005-0000-0000-000026030000}"/>
    <cellStyle name="_안산부대(투찰)⑤_합덕-신례원(2공구)투찰_합덕-신례원(2공구)투찰 2" xfId="2204" xr:uid="{00000000-0005-0000-0000-00009C080000}"/>
    <cellStyle name="_안산부대(투찰)⑤_합덕-신례원(2공구)투찰_합덕-신례원(2공구)투찰_경찰서-터미널간도로(투찰)②" xfId="807" xr:uid="{00000000-0005-0000-0000-000027030000}"/>
    <cellStyle name="_안산부대(투찰)⑤_합덕-신례원(2공구)투찰_합덕-신례원(2공구)투찰_경찰서-터미널간도로(투찰)② 2" xfId="2205" xr:uid="{00000000-0005-0000-0000-00009D080000}"/>
    <cellStyle name="_안산부대(투찰)⑤_합덕-신례원(2공구)투찰_합덕-신례원(2공구)투찰_경찰서-터미널간도로(투찰)②_마현생창(동양고속)" xfId="808" xr:uid="{00000000-0005-0000-0000-000028030000}"/>
    <cellStyle name="_안산부대(투찰)⑤_합덕-신례원(2공구)투찰_합덕-신례원(2공구)투찰_경찰서-터미널간도로(투찰)②_마현생창(동양고속) 2" xfId="2206" xr:uid="{00000000-0005-0000-0000-00009E080000}"/>
    <cellStyle name="_안산부대(투찰)⑤_합덕-신례원(2공구)투찰_합덕-신례원(2공구)투찰_경찰서-터미널간도로(투찰)②_마현생창(동양고속)_왜관-태평건설" xfId="809" xr:uid="{00000000-0005-0000-0000-000029030000}"/>
    <cellStyle name="_안산부대(투찰)⑤_합덕-신례원(2공구)투찰_합덕-신례원(2공구)투찰_경찰서-터미널간도로(투찰)②_마현생창(동양고속)_왜관-태평건설 2" xfId="2207" xr:uid="{00000000-0005-0000-0000-00009F080000}"/>
    <cellStyle name="_안산부대(투찰)⑤_합덕-신례원(2공구)투찰_합덕-신례원(2공구)투찰_경찰서-터미널간도로(투찰)②_왜관-태평건설" xfId="810" xr:uid="{00000000-0005-0000-0000-00002A030000}"/>
    <cellStyle name="_안산부대(투찰)⑤_합덕-신례원(2공구)투찰_합덕-신례원(2공구)투찰_경찰서-터미널간도로(투찰)②_왜관-태평건설 2" xfId="2208" xr:uid="{00000000-0005-0000-0000-0000A0080000}"/>
    <cellStyle name="_안산부대(투찰)⑤_합덕-신례원(2공구)투찰_합덕-신례원(2공구)투찰_마현생창(동양고속)" xfId="811" xr:uid="{00000000-0005-0000-0000-00002B030000}"/>
    <cellStyle name="_안산부대(투찰)⑤_합덕-신례원(2공구)투찰_합덕-신례원(2공구)투찰_마현생창(동양고속) 2" xfId="2209" xr:uid="{00000000-0005-0000-0000-0000A1080000}"/>
    <cellStyle name="_안산부대(투찰)⑤_합덕-신례원(2공구)투찰_합덕-신례원(2공구)투찰_마현생창(동양고속)_왜관-태평건설" xfId="812" xr:uid="{00000000-0005-0000-0000-00002C030000}"/>
    <cellStyle name="_안산부대(투찰)⑤_합덕-신례원(2공구)투찰_합덕-신례원(2공구)투찰_마현생창(동양고속)_왜관-태평건설 2" xfId="2210" xr:uid="{00000000-0005-0000-0000-0000A2080000}"/>
    <cellStyle name="_안산부대(투찰)⑤_합덕-신례원(2공구)투찰_합덕-신례원(2공구)투찰_봉무지방산업단지도로(투찰)②" xfId="813" xr:uid="{00000000-0005-0000-0000-00002D030000}"/>
    <cellStyle name="_안산부대(투찰)⑤_합덕-신례원(2공구)투찰_합덕-신례원(2공구)투찰_봉무지방산업단지도로(투찰)② 2" xfId="2211" xr:uid="{00000000-0005-0000-0000-0000A3080000}"/>
    <cellStyle name="_안산부대(투찰)⑤_합덕-신례원(2공구)투찰_합덕-신례원(2공구)투찰_봉무지방산업단지도로(투찰)②_마현생창(동양고속)" xfId="814" xr:uid="{00000000-0005-0000-0000-00002E030000}"/>
    <cellStyle name="_안산부대(투찰)⑤_합덕-신례원(2공구)투찰_합덕-신례원(2공구)투찰_봉무지방산업단지도로(투찰)②_마현생창(동양고속) 2" xfId="2212" xr:uid="{00000000-0005-0000-0000-0000A4080000}"/>
    <cellStyle name="_안산부대(투찰)⑤_합덕-신례원(2공구)투찰_합덕-신례원(2공구)투찰_봉무지방산업단지도로(투찰)②_마현생창(동양고속)_왜관-태평건설" xfId="815" xr:uid="{00000000-0005-0000-0000-00002F030000}"/>
    <cellStyle name="_안산부대(투찰)⑤_합덕-신례원(2공구)투찰_합덕-신례원(2공구)투찰_봉무지방산업단지도로(투찰)②_마현생창(동양고속)_왜관-태평건설 2" xfId="2213" xr:uid="{00000000-0005-0000-0000-0000A5080000}"/>
    <cellStyle name="_안산부대(투찰)⑤_합덕-신례원(2공구)투찰_합덕-신례원(2공구)투찰_봉무지방산업단지도로(투찰)②_왜관-태평건설" xfId="816" xr:uid="{00000000-0005-0000-0000-000030030000}"/>
    <cellStyle name="_안산부대(투찰)⑤_합덕-신례원(2공구)투찰_합덕-신례원(2공구)투찰_봉무지방산업단지도로(투찰)②_왜관-태평건설 2" xfId="2214" xr:uid="{00000000-0005-0000-0000-0000A6080000}"/>
    <cellStyle name="_안산부대(투찰)⑤_합덕-신례원(2공구)투찰_합덕-신례원(2공구)투찰_봉무지방산업단지도로(투찰)②+0.250%" xfId="817" xr:uid="{00000000-0005-0000-0000-000031030000}"/>
    <cellStyle name="_안산부대(투찰)⑤_합덕-신례원(2공구)투찰_합덕-신례원(2공구)투찰_봉무지방산업단지도로(투찰)②+0.250% 2" xfId="2215" xr:uid="{00000000-0005-0000-0000-0000A7080000}"/>
    <cellStyle name="_안산부대(투찰)⑤_합덕-신례원(2공구)투찰_합덕-신례원(2공구)투찰_봉무지방산업단지도로(투찰)②+0.250%_마현생창(동양고속)" xfId="818" xr:uid="{00000000-0005-0000-0000-000032030000}"/>
    <cellStyle name="_안산부대(투찰)⑤_합덕-신례원(2공구)투찰_합덕-신례원(2공구)투찰_봉무지방산업단지도로(투찰)②+0.250%_마현생창(동양고속) 2" xfId="2216" xr:uid="{00000000-0005-0000-0000-0000A8080000}"/>
    <cellStyle name="_안산부대(투찰)⑤_합덕-신례원(2공구)투찰_합덕-신례원(2공구)투찰_봉무지방산업단지도로(투찰)②+0.250%_마현생창(동양고속)_왜관-태평건설" xfId="819" xr:uid="{00000000-0005-0000-0000-000033030000}"/>
    <cellStyle name="_안산부대(투찰)⑤_합덕-신례원(2공구)투찰_합덕-신례원(2공구)투찰_봉무지방산업단지도로(투찰)②+0.250%_마현생창(동양고속)_왜관-태평건설 2" xfId="2217" xr:uid="{00000000-0005-0000-0000-0000A9080000}"/>
    <cellStyle name="_안산부대(투찰)⑤_합덕-신례원(2공구)투찰_합덕-신례원(2공구)투찰_봉무지방산업단지도로(투찰)②+0.250%_왜관-태평건설" xfId="820" xr:uid="{00000000-0005-0000-0000-000034030000}"/>
    <cellStyle name="_안산부대(투찰)⑤_합덕-신례원(2공구)투찰_합덕-신례원(2공구)투찰_봉무지방산업단지도로(투찰)②+0.250%_왜관-태평건설 2" xfId="2218" xr:uid="{00000000-0005-0000-0000-0000AA080000}"/>
    <cellStyle name="_안산부대(투찰)⑤_합덕-신례원(2공구)투찰_합덕-신례원(2공구)투찰_왜관-태평건설" xfId="821" xr:uid="{00000000-0005-0000-0000-000035030000}"/>
    <cellStyle name="_안산부대(투찰)⑤_합덕-신례원(2공구)투찰_합덕-신례원(2공구)투찰_왜관-태평건설 2" xfId="2219" xr:uid="{00000000-0005-0000-0000-0000AB080000}"/>
    <cellStyle name="_양곡부두(투찰)+0.30%" xfId="822" xr:uid="{00000000-0005-0000-0000-000036030000}"/>
    <cellStyle name="_양양상수도공내역서" xfId="823" xr:uid="{00000000-0005-0000-0000-000037030000}"/>
    <cellStyle name="_우" xfId="824" xr:uid="{00000000-0005-0000-0000-000038030000}"/>
    <cellStyle name="_우 2" xfId="2220" xr:uid="{00000000-0005-0000-0000-0000AC080000}"/>
    <cellStyle name="_우_광주평동투찰" xfId="825" xr:uid="{00000000-0005-0000-0000-000039030000}"/>
    <cellStyle name="_우_광주평동투찰 2" xfId="2221" xr:uid="{00000000-0005-0000-0000-0000AD080000}"/>
    <cellStyle name="_우_광주평동품의1" xfId="826" xr:uid="{00000000-0005-0000-0000-00003A030000}"/>
    <cellStyle name="_우_광주평동품의1 2" xfId="2222" xr:uid="{00000000-0005-0000-0000-0000AE080000}"/>
    <cellStyle name="_우_송학하수품의(설계넣고)" xfId="827" xr:uid="{00000000-0005-0000-0000-00003B030000}"/>
    <cellStyle name="_우_송학하수품의(설계넣고) 2" xfId="2223" xr:uid="{00000000-0005-0000-0000-0000AF080000}"/>
    <cellStyle name="_우_우주센터투찰" xfId="828" xr:uid="{00000000-0005-0000-0000-00003C030000}"/>
    <cellStyle name="_우_우주센터투찰 2" xfId="2224" xr:uid="{00000000-0005-0000-0000-0000B0080000}"/>
    <cellStyle name="_우_우주센터투찰_광주평동투찰" xfId="829" xr:uid="{00000000-0005-0000-0000-00003D030000}"/>
    <cellStyle name="_우_우주센터투찰_광주평동투찰 2" xfId="2225" xr:uid="{00000000-0005-0000-0000-0000B1080000}"/>
    <cellStyle name="_우_우주센터투찰_광주평동품의1" xfId="830" xr:uid="{00000000-0005-0000-0000-00003E030000}"/>
    <cellStyle name="_우_우주센터투찰_광주평동품의1 2" xfId="2226" xr:uid="{00000000-0005-0000-0000-0000B2080000}"/>
    <cellStyle name="_우_우주센터투찰_송학하수품의(설계넣고)" xfId="831" xr:uid="{00000000-0005-0000-0000-00003F030000}"/>
    <cellStyle name="_우_우주센터투찰_송학하수품의(설계넣고) 2" xfId="2227" xr:uid="{00000000-0005-0000-0000-0000B3080000}"/>
    <cellStyle name="_우주센" xfId="832" xr:uid="{00000000-0005-0000-0000-000040030000}"/>
    <cellStyle name="_우주센 2" xfId="2228" xr:uid="{00000000-0005-0000-0000-0000B4080000}"/>
    <cellStyle name="_우주센_광주평동투찰" xfId="833" xr:uid="{00000000-0005-0000-0000-000041030000}"/>
    <cellStyle name="_우주센_광주평동투찰 2" xfId="2229" xr:uid="{00000000-0005-0000-0000-0000B5080000}"/>
    <cellStyle name="_우주센_광주평동품의1" xfId="834" xr:uid="{00000000-0005-0000-0000-000042030000}"/>
    <cellStyle name="_우주센_광주평동품의1 2" xfId="2230" xr:uid="{00000000-0005-0000-0000-0000B6080000}"/>
    <cellStyle name="_우주센_송학하수품의(설계넣고)" xfId="835" xr:uid="{00000000-0005-0000-0000-000043030000}"/>
    <cellStyle name="_우주센_송학하수품의(설계넣고) 2" xfId="2231" xr:uid="{00000000-0005-0000-0000-0000B7080000}"/>
    <cellStyle name="_우주센_우주센터투찰" xfId="836" xr:uid="{00000000-0005-0000-0000-000044030000}"/>
    <cellStyle name="_우주센_우주센터투찰 2" xfId="2232" xr:uid="{00000000-0005-0000-0000-0000B8080000}"/>
    <cellStyle name="_우주센_우주센터투찰_광주평동투찰" xfId="837" xr:uid="{00000000-0005-0000-0000-000045030000}"/>
    <cellStyle name="_우주센_우주센터투찰_광주평동투찰 2" xfId="2233" xr:uid="{00000000-0005-0000-0000-0000B9080000}"/>
    <cellStyle name="_우주센_우주센터투찰_광주평동품의1" xfId="838" xr:uid="{00000000-0005-0000-0000-000046030000}"/>
    <cellStyle name="_우주센_우주센터투찰_광주평동품의1 2" xfId="2234" xr:uid="{00000000-0005-0000-0000-0000BA080000}"/>
    <cellStyle name="_우주센_우주센터투찰_송학하수품의(설계넣고)" xfId="839" xr:uid="{00000000-0005-0000-0000-000047030000}"/>
    <cellStyle name="_우주센_우주센터투찰_송학하수품의(설계넣고) 2" xfId="2235" xr:uid="{00000000-0005-0000-0000-0000BB080000}"/>
    <cellStyle name="_유치투찰" xfId="840" xr:uid="{00000000-0005-0000-0000-000048030000}"/>
    <cellStyle name="_유치투찰 2" xfId="2236" xr:uid="{00000000-0005-0000-0000-0000BC080000}"/>
    <cellStyle name="_유치투찰_왜관-태평건설" xfId="841" xr:uid="{00000000-0005-0000-0000-000049030000}"/>
    <cellStyle name="_유치투찰_왜관-태평건설 2" xfId="2237" xr:uid="{00000000-0005-0000-0000-0000BD080000}"/>
    <cellStyle name="_이양능주(2공구)bid전기" xfId="842" xr:uid="{00000000-0005-0000-0000-00004A030000}"/>
    <cellStyle name="_이양능주(2공구)bid전기 2" xfId="2238" xr:uid="{00000000-0005-0000-0000-0000BE080000}"/>
    <cellStyle name="_인원계획표 " xfId="843" xr:uid="{00000000-0005-0000-0000-00004B030000}"/>
    <cellStyle name="_인원계획표  2" xfId="2239" xr:uid="{00000000-0005-0000-0000-0000BF080000}"/>
    <cellStyle name="_인원계획표 _광주평동투찰" xfId="844" xr:uid="{00000000-0005-0000-0000-00004C030000}"/>
    <cellStyle name="_인원계획표 _광주평동투찰 2" xfId="2240" xr:uid="{00000000-0005-0000-0000-0000C0080000}"/>
    <cellStyle name="_인원계획표 _광주평동품의1" xfId="845" xr:uid="{00000000-0005-0000-0000-00004D030000}"/>
    <cellStyle name="_인원계획표 _광주평동품의1 2" xfId="2241" xr:uid="{00000000-0005-0000-0000-0000C1080000}"/>
    <cellStyle name="_인원계획표 _송학하수품의(설계넣고)" xfId="846" xr:uid="{00000000-0005-0000-0000-00004E030000}"/>
    <cellStyle name="_인원계획표 _송학하수품의(설계넣고) 2" xfId="2242" xr:uid="{00000000-0005-0000-0000-0000C2080000}"/>
    <cellStyle name="_인원계획표 _적격 " xfId="847" xr:uid="{00000000-0005-0000-0000-00004F030000}"/>
    <cellStyle name="_인원계획표 _적격  2" xfId="2243" xr:uid="{00000000-0005-0000-0000-0000C3080000}"/>
    <cellStyle name="_인원계획표 _적격 _광주평동투찰" xfId="848" xr:uid="{00000000-0005-0000-0000-000050030000}"/>
    <cellStyle name="_인원계획표 _적격 _광주평동투찰 2" xfId="2244" xr:uid="{00000000-0005-0000-0000-0000C4080000}"/>
    <cellStyle name="_인원계획표 _적격 _광주평동품의1" xfId="849" xr:uid="{00000000-0005-0000-0000-000051030000}"/>
    <cellStyle name="_인원계획표 _적격 _광주평동품의1 2" xfId="2245" xr:uid="{00000000-0005-0000-0000-0000C5080000}"/>
    <cellStyle name="_인원계획표 _적격 _송학하수품의(설계넣고)" xfId="850" xr:uid="{00000000-0005-0000-0000-000052030000}"/>
    <cellStyle name="_인원계획표 _적격 _송학하수품의(설계넣고) 2" xfId="2246" xr:uid="{00000000-0005-0000-0000-0000C6080000}"/>
    <cellStyle name="_입찰표지 " xfId="851" xr:uid="{00000000-0005-0000-0000-000053030000}"/>
    <cellStyle name="_입찰표지  2" xfId="2247" xr:uid="{00000000-0005-0000-0000-0000C7080000}"/>
    <cellStyle name="_입찰표지 _광주평동투찰" xfId="852" xr:uid="{00000000-0005-0000-0000-000054030000}"/>
    <cellStyle name="_입찰표지 _광주평동투찰 2" xfId="2248" xr:uid="{00000000-0005-0000-0000-0000C8080000}"/>
    <cellStyle name="_입찰표지 _광주평동품의1" xfId="853" xr:uid="{00000000-0005-0000-0000-000055030000}"/>
    <cellStyle name="_입찰표지 _광주평동품의1 2" xfId="2249" xr:uid="{00000000-0005-0000-0000-0000C9080000}"/>
    <cellStyle name="_입찰표지 _송학하수품의(설계넣고)" xfId="854" xr:uid="{00000000-0005-0000-0000-000056030000}"/>
    <cellStyle name="_입찰표지 _송학하수품의(설계넣고) 2" xfId="2250" xr:uid="{00000000-0005-0000-0000-0000CA080000}"/>
    <cellStyle name="_장성IC투찰" xfId="855" xr:uid="{00000000-0005-0000-0000-000057030000}"/>
    <cellStyle name="_장성IC투찰 2" xfId="2251" xr:uid="{00000000-0005-0000-0000-0000CB080000}"/>
    <cellStyle name="_장성IC투찰_경찰서-터미널간도로(투찰)②" xfId="856" xr:uid="{00000000-0005-0000-0000-000058030000}"/>
    <cellStyle name="_장성IC투찰_경찰서-터미널간도로(투찰)② 2" xfId="2252" xr:uid="{00000000-0005-0000-0000-0000CC080000}"/>
    <cellStyle name="_장성IC투찰_경찰서-터미널간도로(투찰)②_마현생창(동양고속)" xfId="857" xr:uid="{00000000-0005-0000-0000-000059030000}"/>
    <cellStyle name="_장성IC투찰_경찰서-터미널간도로(투찰)②_마현생창(동양고속) 2" xfId="2253" xr:uid="{00000000-0005-0000-0000-0000CD080000}"/>
    <cellStyle name="_장성IC투찰_경찰서-터미널간도로(투찰)②_마현생창(동양고속)_왜관-태평건설" xfId="858" xr:uid="{00000000-0005-0000-0000-00005A030000}"/>
    <cellStyle name="_장성IC투찰_경찰서-터미널간도로(투찰)②_마현생창(동양고속)_왜관-태평건설 2" xfId="2254" xr:uid="{00000000-0005-0000-0000-0000CE080000}"/>
    <cellStyle name="_장성IC투찰_경찰서-터미널간도로(투찰)②_왜관-태평건설" xfId="859" xr:uid="{00000000-0005-0000-0000-00005B030000}"/>
    <cellStyle name="_장성IC투찰_경찰서-터미널간도로(투찰)②_왜관-태평건설 2" xfId="2255" xr:uid="{00000000-0005-0000-0000-0000CF080000}"/>
    <cellStyle name="_장성IC투찰_마현생창(동양고속)" xfId="860" xr:uid="{00000000-0005-0000-0000-00005C030000}"/>
    <cellStyle name="_장성IC투찰_마현생창(동양고속) 2" xfId="2256" xr:uid="{00000000-0005-0000-0000-0000D0080000}"/>
    <cellStyle name="_장성IC투찰_마현생창(동양고속)_왜관-태평건설" xfId="861" xr:uid="{00000000-0005-0000-0000-00005D030000}"/>
    <cellStyle name="_장성IC투찰_마현생창(동양고속)_왜관-태평건설 2" xfId="2257" xr:uid="{00000000-0005-0000-0000-0000D1080000}"/>
    <cellStyle name="_장성IC투찰_봉무지방산업단지도로(투찰)②" xfId="862" xr:uid="{00000000-0005-0000-0000-00005E030000}"/>
    <cellStyle name="_장성IC투찰_봉무지방산업단지도로(투찰)② 2" xfId="2258" xr:uid="{00000000-0005-0000-0000-0000D2080000}"/>
    <cellStyle name="_장성IC투찰_봉무지방산업단지도로(투찰)②_마현생창(동양고속)" xfId="863" xr:uid="{00000000-0005-0000-0000-00005F030000}"/>
    <cellStyle name="_장성IC투찰_봉무지방산업단지도로(투찰)②_마현생창(동양고속) 2" xfId="2259" xr:uid="{00000000-0005-0000-0000-0000D3080000}"/>
    <cellStyle name="_장성IC투찰_봉무지방산업단지도로(투찰)②_마현생창(동양고속)_왜관-태평건설" xfId="864" xr:uid="{00000000-0005-0000-0000-000060030000}"/>
    <cellStyle name="_장성IC투찰_봉무지방산업단지도로(투찰)②_마현생창(동양고속)_왜관-태평건설 2" xfId="2260" xr:uid="{00000000-0005-0000-0000-0000D4080000}"/>
    <cellStyle name="_장성IC투찰_봉무지방산업단지도로(투찰)②_왜관-태평건설" xfId="865" xr:uid="{00000000-0005-0000-0000-000061030000}"/>
    <cellStyle name="_장성IC투찰_봉무지방산업단지도로(투찰)②_왜관-태평건설 2" xfId="2261" xr:uid="{00000000-0005-0000-0000-0000D5080000}"/>
    <cellStyle name="_장성IC투찰_봉무지방산업단지도로(투찰)②+0.250%" xfId="866" xr:uid="{00000000-0005-0000-0000-000062030000}"/>
    <cellStyle name="_장성IC투찰_봉무지방산업단지도로(투찰)②+0.250% 2" xfId="2262" xr:uid="{00000000-0005-0000-0000-0000D6080000}"/>
    <cellStyle name="_장성IC투찰_봉무지방산업단지도로(투찰)②+0.250%_마현생창(동양고속)" xfId="867" xr:uid="{00000000-0005-0000-0000-000063030000}"/>
    <cellStyle name="_장성IC투찰_봉무지방산업단지도로(투찰)②+0.250%_마현생창(동양고속) 2" xfId="2263" xr:uid="{00000000-0005-0000-0000-0000D7080000}"/>
    <cellStyle name="_장성IC투찰_봉무지방산업단지도로(투찰)②+0.250%_마현생창(동양고속)_왜관-태평건설" xfId="868" xr:uid="{00000000-0005-0000-0000-000064030000}"/>
    <cellStyle name="_장성IC투찰_봉무지방산업단지도로(투찰)②+0.250%_마현생창(동양고속)_왜관-태평건설 2" xfId="2264" xr:uid="{00000000-0005-0000-0000-0000D8080000}"/>
    <cellStyle name="_장성IC투찰_봉무지방산업단지도로(투찰)②+0.250%_왜관-태평건설" xfId="869" xr:uid="{00000000-0005-0000-0000-000065030000}"/>
    <cellStyle name="_장성IC투찰_봉무지방산업단지도로(투찰)②+0.250%_왜관-태평건설 2" xfId="2265" xr:uid="{00000000-0005-0000-0000-0000D9080000}"/>
    <cellStyle name="_장성IC투찰_왜관-태평건설" xfId="870" xr:uid="{00000000-0005-0000-0000-000066030000}"/>
    <cellStyle name="_장성IC투찰_왜관-태평건설 2" xfId="2266" xr:uid="{00000000-0005-0000-0000-0000DA080000}"/>
    <cellStyle name="_장성IC투찰_합덕-신례원(2공구)투찰" xfId="871" xr:uid="{00000000-0005-0000-0000-000067030000}"/>
    <cellStyle name="_장성IC투찰_합덕-신례원(2공구)투찰 2" xfId="2267" xr:uid="{00000000-0005-0000-0000-0000DB080000}"/>
    <cellStyle name="_장성IC투찰_합덕-신례원(2공구)투찰_경찰서-터미널간도로(투찰)②" xfId="872" xr:uid="{00000000-0005-0000-0000-000068030000}"/>
    <cellStyle name="_장성IC투찰_합덕-신례원(2공구)투찰_경찰서-터미널간도로(투찰)② 2" xfId="2268" xr:uid="{00000000-0005-0000-0000-0000DC080000}"/>
    <cellStyle name="_장성IC투찰_합덕-신례원(2공구)투찰_경찰서-터미널간도로(투찰)②_마현생창(동양고속)" xfId="873" xr:uid="{00000000-0005-0000-0000-000069030000}"/>
    <cellStyle name="_장성IC투찰_합덕-신례원(2공구)투찰_경찰서-터미널간도로(투찰)②_마현생창(동양고속) 2" xfId="2269" xr:uid="{00000000-0005-0000-0000-0000DD080000}"/>
    <cellStyle name="_장성IC투찰_합덕-신례원(2공구)투찰_경찰서-터미널간도로(투찰)②_마현생창(동양고속)_왜관-태평건설" xfId="874" xr:uid="{00000000-0005-0000-0000-00006A030000}"/>
    <cellStyle name="_장성IC투찰_합덕-신례원(2공구)투찰_경찰서-터미널간도로(투찰)②_마현생창(동양고속)_왜관-태평건설 2" xfId="2270" xr:uid="{00000000-0005-0000-0000-0000DE080000}"/>
    <cellStyle name="_장성IC투찰_합덕-신례원(2공구)투찰_경찰서-터미널간도로(투찰)②_왜관-태평건설" xfId="875" xr:uid="{00000000-0005-0000-0000-00006B030000}"/>
    <cellStyle name="_장성IC투찰_합덕-신례원(2공구)투찰_경찰서-터미널간도로(투찰)②_왜관-태평건설 2" xfId="2271" xr:uid="{00000000-0005-0000-0000-0000DF080000}"/>
    <cellStyle name="_장성IC투찰_합덕-신례원(2공구)투찰_마현생창(동양고속)" xfId="876" xr:uid="{00000000-0005-0000-0000-00006C030000}"/>
    <cellStyle name="_장성IC투찰_합덕-신례원(2공구)투찰_마현생창(동양고속) 2" xfId="2272" xr:uid="{00000000-0005-0000-0000-0000E0080000}"/>
    <cellStyle name="_장성IC투찰_합덕-신례원(2공구)투찰_마현생창(동양고속)_왜관-태평건설" xfId="877" xr:uid="{00000000-0005-0000-0000-00006D030000}"/>
    <cellStyle name="_장성IC투찰_합덕-신례원(2공구)투찰_마현생창(동양고속)_왜관-태평건설 2" xfId="2273" xr:uid="{00000000-0005-0000-0000-0000E1080000}"/>
    <cellStyle name="_장성IC투찰_합덕-신례원(2공구)투찰_봉무지방산업단지도로(투찰)②" xfId="878" xr:uid="{00000000-0005-0000-0000-00006E030000}"/>
    <cellStyle name="_장성IC투찰_합덕-신례원(2공구)투찰_봉무지방산업단지도로(투찰)② 2" xfId="2274" xr:uid="{00000000-0005-0000-0000-0000E2080000}"/>
    <cellStyle name="_장성IC투찰_합덕-신례원(2공구)투찰_봉무지방산업단지도로(투찰)②_마현생창(동양고속)" xfId="879" xr:uid="{00000000-0005-0000-0000-00006F030000}"/>
    <cellStyle name="_장성IC투찰_합덕-신례원(2공구)투찰_봉무지방산업단지도로(투찰)②_마현생창(동양고속) 2" xfId="2275" xr:uid="{00000000-0005-0000-0000-0000E3080000}"/>
    <cellStyle name="_장성IC투찰_합덕-신례원(2공구)투찰_봉무지방산업단지도로(투찰)②_마현생창(동양고속)_왜관-태평건설" xfId="880" xr:uid="{00000000-0005-0000-0000-000070030000}"/>
    <cellStyle name="_장성IC투찰_합덕-신례원(2공구)투찰_봉무지방산업단지도로(투찰)②_마현생창(동양고속)_왜관-태평건설 2" xfId="2276" xr:uid="{00000000-0005-0000-0000-0000E4080000}"/>
    <cellStyle name="_장성IC투찰_합덕-신례원(2공구)투찰_봉무지방산업단지도로(투찰)②_왜관-태평건설" xfId="881" xr:uid="{00000000-0005-0000-0000-000071030000}"/>
    <cellStyle name="_장성IC투찰_합덕-신례원(2공구)투찰_봉무지방산업단지도로(투찰)②_왜관-태평건설 2" xfId="2277" xr:uid="{00000000-0005-0000-0000-0000E5080000}"/>
    <cellStyle name="_장성IC투찰_합덕-신례원(2공구)투찰_봉무지방산업단지도로(투찰)②+0.250%" xfId="882" xr:uid="{00000000-0005-0000-0000-000072030000}"/>
    <cellStyle name="_장성IC투찰_합덕-신례원(2공구)투찰_봉무지방산업단지도로(투찰)②+0.250% 2" xfId="2278" xr:uid="{00000000-0005-0000-0000-0000E6080000}"/>
    <cellStyle name="_장성IC투찰_합덕-신례원(2공구)투찰_봉무지방산업단지도로(투찰)②+0.250%_마현생창(동양고속)" xfId="883" xr:uid="{00000000-0005-0000-0000-000073030000}"/>
    <cellStyle name="_장성IC투찰_합덕-신례원(2공구)투찰_봉무지방산업단지도로(투찰)②+0.250%_마현생창(동양고속) 2" xfId="2279" xr:uid="{00000000-0005-0000-0000-0000E7080000}"/>
    <cellStyle name="_장성IC투찰_합덕-신례원(2공구)투찰_봉무지방산업단지도로(투찰)②+0.250%_마현생창(동양고속)_왜관-태평건설" xfId="884" xr:uid="{00000000-0005-0000-0000-000074030000}"/>
    <cellStyle name="_장성IC투찰_합덕-신례원(2공구)투찰_봉무지방산업단지도로(투찰)②+0.250%_마현생창(동양고속)_왜관-태평건설 2" xfId="2280" xr:uid="{00000000-0005-0000-0000-0000E8080000}"/>
    <cellStyle name="_장성IC투찰_합덕-신례원(2공구)투찰_봉무지방산업단지도로(투찰)②+0.250%_왜관-태평건설" xfId="885" xr:uid="{00000000-0005-0000-0000-000075030000}"/>
    <cellStyle name="_장성IC투찰_합덕-신례원(2공구)투찰_봉무지방산업단지도로(투찰)②+0.250%_왜관-태평건설 2" xfId="2281" xr:uid="{00000000-0005-0000-0000-0000E9080000}"/>
    <cellStyle name="_장성IC투찰_합덕-신례원(2공구)투찰_왜관-태평건설" xfId="886" xr:uid="{00000000-0005-0000-0000-000076030000}"/>
    <cellStyle name="_장성IC투찰_합덕-신례원(2공구)투찰_왜관-태평건설 2" xfId="2282" xr:uid="{00000000-0005-0000-0000-0000EA080000}"/>
    <cellStyle name="_장성IC투찰_합덕-신례원(2공구)투찰_합덕-신례원(2공구)투찰" xfId="887" xr:uid="{00000000-0005-0000-0000-000077030000}"/>
    <cellStyle name="_장성IC투찰_합덕-신례원(2공구)투찰_합덕-신례원(2공구)투찰 2" xfId="2283" xr:uid="{00000000-0005-0000-0000-0000EB080000}"/>
    <cellStyle name="_장성IC투찰_합덕-신례원(2공구)투찰_합덕-신례원(2공구)투찰_경찰서-터미널간도로(투찰)②" xfId="888" xr:uid="{00000000-0005-0000-0000-000078030000}"/>
    <cellStyle name="_장성IC투찰_합덕-신례원(2공구)투찰_합덕-신례원(2공구)투찰_경찰서-터미널간도로(투찰)② 2" xfId="2284" xr:uid="{00000000-0005-0000-0000-0000EC080000}"/>
    <cellStyle name="_장성IC투찰_합덕-신례원(2공구)투찰_합덕-신례원(2공구)투찰_경찰서-터미널간도로(투찰)②_마현생창(동양고속)" xfId="889" xr:uid="{00000000-0005-0000-0000-000079030000}"/>
    <cellStyle name="_장성IC투찰_합덕-신례원(2공구)투찰_합덕-신례원(2공구)투찰_경찰서-터미널간도로(투찰)②_마현생창(동양고속) 2" xfId="2285" xr:uid="{00000000-0005-0000-0000-0000ED080000}"/>
    <cellStyle name="_장성IC투찰_합덕-신례원(2공구)투찰_합덕-신례원(2공구)투찰_경찰서-터미널간도로(투찰)②_마현생창(동양고속)_왜관-태평건설" xfId="890" xr:uid="{00000000-0005-0000-0000-00007A030000}"/>
    <cellStyle name="_장성IC투찰_합덕-신례원(2공구)투찰_합덕-신례원(2공구)투찰_경찰서-터미널간도로(투찰)②_마현생창(동양고속)_왜관-태평건설 2" xfId="2286" xr:uid="{00000000-0005-0000-0000-0000EE080000}"/>
    <cellStyle name="_장성IC투찰_합덕-신례원(2공구)투찰_합덕-신례원(2공구)투찰_경찰서-터미널간도로(투찰)②_왜관-태평건설" xfId="891" xr:uid="{00000000-0005-0000-0000-00007B030000}"/>
    <cellStyle name="_장성IC투찰_합덕-신례원(2공구)투찰_합덕-신례원(2공구)투찰_경찰서-터미널간도로(투찰)②_왜관-태평건설 2" xfId="2287" xr:uid="{00000000-0005-0000-0000-0000EF080000}"/>
    <cellStyle name="_장성IC투찰_합덕-신례원(2공구)투찰_합덕-신례원(2공구)투찰_마현생창(동양고속)" xfId="892" xr:uid="{00000000-0005-0000-0000-00007C030000}"/>
    <cellStyle name="_장성IC투찰_합덕-신례원(2공구)투찰_합덕-신례원(2공구)투찰_마현생창(동양고속) 2" xfId="2288" xr:uid="{00000000-0005-0000-0000-0000F0080000}"/>
    <cellStyle name="_장성IC투찰_합덕-신례원(2공구)투찰_합덕-신례원(2공구)투찰_마현생창(동양고속)_왜관-태평건설" xfId="893" xr:uid="{00000000-0005-0000-0000-00007D030000}"/>
    <cellStyle name="_장성IC투찰_합덕-신례원(2공구)투찰_합덕-신례원(2공구)투찰_마현생창(동양고속)_왜관-태평건설 2" xfId="2289" xr:uid="{00000000-0005-0000-0000-0000F1080000}"/>
    <cellStyle name="_장성IC투찰_합덕-신례원(2공구)투찰_합덕-신례원(2공구)투찰_봉무지방산업단지도로(투찰)②" xfId="894" xr:uid="{00000000-0005-0000-0000-00007E030000}"/>
    <cellStyle name="_장성IC투찰_합덕-신례원(2공구)투찰_합덕-신례원(2공구)투찰_봉무지방산업단지도로(투찰)② 2" xfId="2290" xr:uid="{00000000-0005-0000-0000-0000F2080000}"/>
    <cellStyle name="_장성IC투찰_합덕-신례원(2공구)투찰_합덕-신례원(2공구)투찰_봉무지방산업단지도로(투찰)②_마현생창(동양고속)" xfId="895" xr:uid="{00000000-0005-0000-0000-00007F030000}"/>
    <cellStyle name="_장성IC투찰_합덕-신례원(2공구)투찰_합덕-신례원(2공구)투찰_봉무지방산업단지도로(투찰)②_마현생창(동양고속) 2" xfId="2291" xr:uid="{00000000-0005-0000-0000-0000F3080000}"/>
    <cellStyle name="_장성IC투찰_합덕-신례원(2공구)투찰_합덕-신례원(2공구)투찰_봉무지방산업단지도로(투찰)②_마현생창(동양고속)_왜관-태평건설" xfId="896" xr:uid="{00000000-0005-0000-0000-000080030000}"/>
    <cellStyle name="_장성IC투찰_합덕-신례원(2공구)투찰_합덕-신례원(2공구)투찰_봉무지방산업단지도로(투찰)②_마현생창(동양고속)_왜관-태평건설 2" xfId="2292" xr:uid="{00000000-0005-0000-0000-0000F4080000}"/>
    <cellStyle name="_장성IC투찰_합덕-신례원(2공구)투찰_합덕-신례원(2공구)투찰_봉무지방산업단지도로(투찰)②_왜관-태평건설" xfId="897" xr:uid="{00000000-0005-0000-0000-000081030000}"/>
    <cellStyle name="_장성IC투찰_합덕-신례원(2공구)투찰_합덕-신례원(2공구)투찰_봉무지방산업단지도로(투찰)②_왜관-태평건설 2" xfId="2293" xr:uid="{00000000-0005-0000-0000-0000F5080000}"/>
    <cellStyle name="_장성IC투찰_합덕-신례원(2공구)투찰_합덕-신례원(2공구)투찰_봉무지방산업단지도로(투찰)②+0.250%" xfId="898" xr:uid="{00000000-0005-0000-0000-000082030000}"/>
    <cellStyle name="_장성IC투찰_합덕-신례원(2공구)투찰_합덕-신례원(2공구)투찰_봉무지방산업단지도로(투찰)②+0.250% 2" xfId="2294" xr:uid="{00000000-0005-0000-0000-0000F6080000}"/>
    <cellStyle name="_장성IC투찰_합덕-신례원(2공구)투찰_합덕-신례원(2공구)투찰_봉무지방산업단지도로(투찰)②+0.250%_마현생창(동양고속)" xfId="899" xr:uid="{00000000-0005-0000-0000-000083030000}"/>
    <cellStyle name="_장성IC투찰_합덕-신례원(2공구)투찰_합덕-신례원(2공구)투찰_봉무지방산업단지도로(투찰)②+0.250%_마현생창(동양고속) 2" xfId="2295" xr:uid="{00000000-0005-0000-0000-0000F7080000}"/>
    <cellStyle name="_장성IC투찰_합덕-신례원(2공구)투찰_합덕-신례원(2공구)투찰_봉무지방산업단지도로(투찰)②+0.250%_마현생창(동양고속)_왜관-태평건설" xfId="900" xr:uid="{00000000-0005-0000-0000-000084030000}"/>
    <cellStyle name="_장성IC투찰_합덕-신례원(2공구)투찰_합덕-신례원(2공구)투찰_봉무지방산업단지도로(투찰)②+0.250%_마현생창(동양고속)_왜관-태평건설 2" xfId="2296" xr:uid="{00000000-0005-0000-0000-0000F8080000}"/>
    <cellStyle name="_장성IC투찰_합덕-신례원(2공구)투찰_합덕-신례원(2공구)투찰_봉무지방산업단지도로(투찰)②+0.250%_왜관-태평건설" xfId="901" xr:uid="{00000000-0005-0000-0000-000085030000}"/>
    <cellStyle name="_장성IC투찰_합덕-신례원(2공구)투찰_합덕-신례원(2공구)투찰_봉무지방산업단지도로(투찰)②+0.250%_왜관-태평건설 2" xfId="2297" xr:uid="{00000000-0005-0000-0000-0000F9080000}"/>
    <cellStyle name="_장성IC투찰_합덕-신례원(2공구)투찰_합덕-신례원(2공구)투찰_왜관-태평건설" xfId="902" xr:uid="{00000000-0005-0000-0000-000086030000}"/>
    <cellStyle name="_장성IC투찰_합덕-신례원(2공구)투찰_합덕-신례원(2공구)투찰_왜관-태평건설 2" xfId="2298" xr:uid="{00000000-0005-0000-0000-0000FA080000}"/>
    <cellStyle name="_적격 " xfId="903" xr:uid="{00000000-0005-0000-0000-000087030000}"/>
    <cellStyle name="_적격  2" xfId="2299" xr:uid="{00000000-0005-0000-0000-0000FB080000}"/>
    <cellStyle name="_적격 _광주평동투찰" xfId="904" xr:uid="{00000000-0005-0000-0000-000088030000}"/>
    <cellStyle name="_적격 _광주평동투찰 2" xfId="2300" xr:uid="{00000000-0005-0000-0000-0000FC080000}"/>
    <cellStyle name="_적격 _광주평동품의1" xfId="905" xr:uid="{00000000-0005-0000-0000-000089030000}"/>
    <cellStyle name="_적격 _광주평동품의1 2" xfId="2301" xr:uid="{00000000-0005-0000-0000-0000FD080000}"/>
    <cellStyle name="_적격 _송학하수품의(설계넣고)" xfId="906" xr:uid="{00000000-0005-0000-0000-00008A030000}"/>
    <cellStyle name="_적격 _송학하수품의(설계넣고) 2" xfId="2302" xr:uid="{00000000-0005-0000-0000-0000FE080000}"/>
    <cellStyle name="_적격 _집행갑지 " xfId="907" xr:uid="{00000000-0005-0000-0000-00008B030000}"/>
    <cellStyle name="_적격 _집행갑지  2" xfId="2303" xr:uid="{00000000-0005-0000-0000-0000FF080000}"/>
    <cellStyle name="_적격 _집행갑지 _광주평동투찰" xfId="908" xr:uid="{00000000-0005-0000-0000-00008C030000}"/>
    <cellStyle name="_적격 _집행갑지 _광주평동투찰 2" xfId="2304" xr:uid="{00000000-0005-0000-0000-000000090000}"/>
    <cellStyle name="_적격 _집행갑지 _광주평동품의1" xfId="909" xr:uid="{00000000-0005-0000-0000-00008D030000}"/>
    <cellStyle name="_적격 _집행갑지 _광주평동품의1 2" xfId="2305" xr:uid="{00000000-0005-0000-0000-000001090000}"/>
    <cellStyle name="_적격 _집행갑지 _송학하수품의(설계넣고)" xfId="910" xr:uid="{00000000-0005-0000-0000-00008E030000}"/>
    <cellStyle name="_적격 _집행갑지 _송학하수품의(설계넣고) 2" xfId="2306" xr:uid="{00000000-0005-0000-0000-000002090000}"/>
    <cellStyle name="_적격(화산) " xfId="911" xr:uid="{00000000-0005-0000-0000-00008F030000}"/>
    <cellStyle name="_적격(화산)  2" xfId="2307" xr:uid="{00000000-0005-0000-0000-000003090000}"/>
    <cellStyle name="_적격(화산) _광주평동투찰" xfId="912" xr:uid="{00000000-0005-0000-0000-000090030000}"/>
    <cellStyle name="_적격(화산) _광주평동투찰 2" xfId="2308" xr:uid="{00000000-0005-0000-0000-000004090000}"/>
    <cellStyle name="_적격(화산) _광주평동품의1" xfId="913" xr:uid="{00000000-0005-0000-0000-000091030000}"/>
    <cellStyle name="_적격(화산) _광주평동품의1 2" xfId="2309" xr:uid="{00000000-0005-0000-0000-000005090000}"/>
    <cellStyle name="_적격(화산) _송학하수품의(설계넣고)" xfId="914" xr:uid="{00000000-0005-0000-0000-000092030000}"/>
    <cellStyle name="_적격(화산) _송학하수품의(설계넣고) 2" xfId="2310" xr:uid="{00000000-0005-0000-0000-000006090000}"/>
    <cellStyle name="_점검사진양식" xfId="915" xr:uid="{00000000-0005-0000-0000-000093030000}"/>
    <cellStyle name="_제출용병천하수(지역관로1)" xfId="916" xr:uid="{00000000-0005-0000-0000-000094030000}"/>
    <cellStyle name="_제출용병천하수(지역관로1) 2" xfId="2311" xr:uid="{00000000-0005-0000-0000-000007090000}"/>
    <cellStyle name="_제출용병천하수(지역관로1)_광주평동투찰" xfId="917" xr:uid="{00000000-0005-0000-0000-000095030000}"/>
    <cellStyle name="_제출용병천하수(지역관로1)_광주평동투찰 2" xfId="2312" xr:uid="{00000000-0005-0000-0000-000008090000}"/>
    <cellStyle name="_제출용병천하수(지역관로1)_광주평동품의1" xfId="918" xr:uid="{00000000-0005-0000-0000-000096030000}"/>
    <cellStyle name="_제출용병천하수(지역관로1)_광주평동품의1 2" xfId="2313" xr:uid="{00000000-0005-0000-0000-000009090000}"/>
    <cellStyle name="_제출용병천하수(지역관로1)_송학하수품의(설계넣고)" xfId="919" xr:uid="{00000000-0005-0000-0000-000097030000}"/>
    <cellStyle name="_제출용병천하수(지역관로1)_송학하수품의(설계넣고) 2" xfId="2314" xr:uid="{00000000-0005-0000-0000-00000A090000}"/>
    <cellStyle name="_집행갑지 " xfId="920" xr:uid="{00000000-0005-0000-0000-000098030000}"/>
    <cellStyle name="_집행갑지  2" xfId="2315" xr:uid="{00000000-0005-0000-0000-00000B090000}"/>
    <cellStyle name="_집행갑지 _광주평동투찰" xfId="921" xr:uid="{00000000-0005-0000-0000-000099030000}"/>
    <cellStyle name="_집행갑지 _광주평동투찰 2" xfId="2316" xr:uid="{00000000-0005-0000-0000-00000C090000}"/>
    <cellStyle name="_집행갑지 _광주평동품의1" xfId="922" xr:uid="{00000000-0005-0000-0000-00009A030000}"/>
    <cellStyle name="_집행갑지 _광주평동품의1 2" xfId="2317" xr:uid="{00000000-0005-0000-0000-00000D090000}"/>
    <cellStyle name="_집행갑지 _송학하수품의(설계넣고)" xfId="923" xr:uid="{00000000-0005-0000-0000-00009B030000}"/>
    <cellStyle name="_집행갑지 _송학하수품의(설계넣고) 2" xfId="2318" xr:uid="{00000000-0005-0000-0000-00000E090000}"/>
    <cellStyle name="_창원상수도(투찰)-0.815%" xfId="924" xr:uid="{00000000-0005-0000-0000-00009C030000}"/>
    <cellStyle name="_호남선두계역외2개소연결통로" xfId="925" xr:uid="{00000000-0005-0000-0000-00009D030000}"/>
    <cellStyle name="_호남선전철화송정리역사111" xfId="926" xr:uid="{00000000-0005-0000-0000-00009E030000}"/>
    <cellStyle name="’E‰Y [0.00]_laroux" xfId="927" xr:uid="{00000000-0005-0000-0000-00009F030000}"/>
    <cellStyle name="’E‰Y_laroux" xfId="928" xr:uid="{00000000-0005-0000-0000-0000A0030000}"/>
    <cellStyle name="¤@?e_TEST-1 " xfId="929" xr:uid="{00000000-0005-0000-0000-0000A1030000}"/>
    <cellStyle name="æØè [0.00]_NT Server " xfId="930" xr:uid="{00000000-0005-0000-0000-0000A2030000}"/>
    <cellStyle name="æØè_NT Server " xfId="931" xr:uid="{00000000-0005-0000-0000-0000A3030000}"/>
    <cellStyle name="὜ĀȀက" xfId="932" xr:uid="{00000000-0005-0000-0000-0000A4030000}"/>
    <cellStyle name="὜ĀȀက 2" xfId="2319" xr:uid="{00000000-0005-0000-0000-00000F090000}"/>
    <cellStyle name="ÊÝ [0.00]_NT Server " xfId="933" xr:uid="{00000000-0005-0000-0000-0000A5030000}"/>
    <cellStyle name="ÊÝ_NT Server " xfId="934" xr:uid="{00000000-0005-0000-0000-0000A6030000}"/>
    <cellStyle name="W?_½RmF¼° " xfId="935" xr:uid="{00000000-0005-0000-0000-0000A7030000}"/>
    <cellStyle name="0.0" xfId="936" xr:uid="{00000000-0005-0000-0000-0000A8030000}"/>
    <cellStyle name="0.00" xfId="937" xr:uid="{00000000-0005-0000-0000-0000A9030000}"/>
    <cellStyle name="1" xfId="938" xr:uid="{00000000-0005-0000-0000-0000AA030000}"/>
    <cellStyle name="1_book1" xfId="939" xr:uid="{00000000-0005-0000-0000-0000AB030000}"/>
    <cellStyle name="1_EXCEL내역변환(재-노)" xfId="940" xr:uid="{00000000-0005-0000-0000-0000AC030000}"/>
    <cellStyle name="1_가월리배수펌프(04.23)" xfId="941" xr:uid="{00000000-0005-0000-0000-0000AD030000}"/>
    <cellStyle name="1_거성토건도급계약내역(신일중고)" xfId="942" xr:uid="{00000000-0005-0000-0000-0000AE030000}"/>
    <cellStyle name="1_계수대로" xfId="943" xr:uid="{00000000-0005-0000-0000-0000AF030000}"/>
    <cellStyle name="1_단가조사표" xfId="944" xr:uid="{00000000-0005-0000-0000-0000B0030000}"/>
    <cellStyle name="1_단가집" xfId="945" xr:uid="{00000000-0005-0000-0000-0000B1030000}"/>
    <cellStyle name="1_도암강진(흥산건설)" xfId="946" xr:uid="{00000000-0005-0000-0000-0000B2030000}"/>
    <cellStyle name="1_백제큰길내역서" xfId="947" xr:uid="{00000000-0005-0000-0000-0000B3030000}"/>
    <cellStyle name="1_부안-태인1산출" xfId="948" xr:uid="{00000000-0005-0000-0000-0000B4030000}"/>
    <cellStyle name="1_삼융건설(백제큰길)" xfId="949" xr:uid="{00000000-0005-0000-0000-0000B5030000}"/>
    <cellStyle name="1_송정리역사(토목완료林)" xfId="950" xr:uid="{00000000-0005-0000-0000-0000B6030000}"/>
    <cellStyle name="1_시민계략공사" xfId="951" xr:uid="{00000000-0005-0000-0000-0000B7030000}"/>
    <cellStyle name="1_시민계략공사 2" xfId="2320" xr:uid="{00000000-0005-0000-0000-000010090000}"/>
    <cellStyle name="1_시민계략공사_도암강진(흥산건설)" xfId="952" xr:uid="{00000000-0005-0000-0000-0000B8030000}"/>
    <cellStyle name="1_시민계략공사_도암강진(흥산건설) 2" xfId="2321" xr:uid="{00000000-0005-0000-0000-000011090000}"/>
    <cellStyle name="1_시민계략공사_도암강진(흥산건설)_해남내역서" xfId="953" xr:uid="{00000000-0005-0000-0000-0000B9030000}"/>
    <cellStyle name="1_시민계략공사_도암강진(흥산건설)_해남내역서 2" xfId="2322" xr:uid="{00000000-0005-0000-0000-000012090000}"/>
    <cellStyle name="1_시민계략공사_부안-태인1산출" xfId="954" xr:uid="{00000000-0005-0000-0000-0000BA030000}"/>
    <cellStyle name="1_시민계략공사_부안-태인1산출 2" xfId="2323" xr:uid="{00000000-0005-0000-0000-000013090000}"/>
    <cellStyle name="1_시민계략공사_전기-한남" xfId="955" xr:uid="{00000000-0005-0000-0000-0000BB030000}"/>
    <cellStyle name="1_시민계략공사_주문진신리교(동일건설)" xfId="956" xr:uid="{00000000-0005-0000-0000-0000BC030000}"/>
    <cellStyle name="1_시민계략공사_주문진신리교(동일건설) 2" xfId="2324" xr:uid="{00000000-0005-0000-0000-000014090000}"/>
    <cellStyle name="1_시민계략공사_흥한건설(이양능주2공구)" xfId="957" xr:uid="{00000000-0005-0000-0000-0000BD030000}"/>
    <cellStyle name="1_시민계략공사_흥한건설(이양능주2공구) 2" xfId="2325" xr:uid="{00000000-0005-0000-0000-000015090000}"/>
    <cellStyle name="1_신일중고식당리모델링(설계변경070420)" xfId="958" xr:uid="{00000000-0005-0000-0000-0000BE030000}"/>
    <cellStyle name="1_입찰내역서갑지양식" xfId="959" xr:uid="{00000000-0005-0000-0000-0000BF030000}"/>
    <cellStyle name="1_전자입찰원가양식" xfId="960" xr:uid="{00000000-0005-0000-0000-0000C0030000}"/>
    <cellStyle name="1_주문진신리교(동일건설)" xfId="961" xr:uid="{00000000-0005-0000-0000-0000C1030000}"/>
    <cellStyle name="1_화곡5동주민자치센터신축공사" xfId="962" xr:uid="{00000000-0005-0000-0000-0000C2030000}"/>
    <cellStyle name="1_흥한건설(주)_두창산업폐기물(하도급)" xfId="963" xr:uid="{00000000-0005-0000-0000-0000C3030000}"/>
    <cellStyle name="19990216" xfId="964" xr:uid="{00000000-0005-0000-0000-0000C4030000}"/>
    <cellStyle name="¹e" xfId="965" xr:uid="{00000000-0005-0000-0000-0000C5030000}"/>
    <cellStyle name="¹e 2" xfId="2326" xr:uid="{00000000-0005-0000-0000-000016090000}"/>
    <cellStyle name="2" xfId="966" xr:uid="{00000000-0005-0000-0000-0000C6030000}"/>
    <cellStyle name="2_단가조사표" xfId="967" xr:uid="{00000000-0005-0000-0000-0000C7030000}"/>
    <cellStyle name="20% - 강조색1 2" xfId="968" xr:uid="{00000000-0005-0000-0000-0000C8030000}"/>
    <cellStyle name="20% - 강조색2 2" xfId="969" xr:uid="{00000000-0005-0000-0000-0000C9030000}"/>
    <cellStyle name="20% - 강조색3 2" xfId="970" xr:uid="{00000000-0005-0000-0000-0000CA030000}"/>
    <cellStyle name="20% - 강조색4 2" xfId="971" xr:uid="{00000000-0005-0000-0000-0000CB030000}"/>
    <cellStyle name="20% - 강조색5 2" xfId="972" xr:uid="{00000000-0005-0000-0000-0000CC030000}"/>
    <cellStyle name="20% - 강조색6 2" xfId="973" xr:uid="{00000000-0005-0000-0000-0000CD030000}"/>
    <cellStyle name="40% - 강조색1 2" xfId="974" xr:uid="{00000000-0005-0000-0000-0000CE030000}"/>
    <cellStyle name="40% - 강조색2 2" xfId="975" xr:uid="{00000000-0005-0000-0000-0000CF030000}"/>
    <cellStyle name="40% - 강조색3 2" xfId="976" xr:uid="{00000000-0005-0000-0000-0000D0030000}"/>
    <cellStyle name="40% - 강조색4 2" xfId="977" xr:uid="{00000000-0005-0000-0000-0000D1030000}"/>
    <cellStyle name="40% - 강조색5 2" xfId="978" xr:uid="{00000000-0005-0000-0000-0000D2030000}"/>
    <cellStyle name="40% - 강조색6 2" xfId="979" xr:uid="{00000000-0005-0000-0000-0000D3030000}"/>
    <cellStyle name="60" xfId="980" xr:uid="{00000000-0005-0000-0000-0000D4030000}"/>
    <cellStyle name="60% - 강조색1 2" xfId="981" xr:uid="{00000000-0005-0000-0000-0000D5030000}"/>
    <cellStyle name="60% - 강조색2 2" xfId="982" xr:uid="{00000000-0005-0000-0000-0000D6030000}"/>
    <cellStyle name="60% - 강조색3 2" xfId="983" xr:uid="{00000000-0005-0000-0000-0000D7030000}"/>
    <cellStyle name="60% - 강조색4 2" xfId="984" xr:uid="{00000000-0005-0000-0000-0000D8030000}"/>
    <cellStyle name="60% - 강조색5 2" xfId="985" xr:uid="{00000000-0005-0000-0000-0000D9030000}"/>
    <cellStyle name="60% - 강조색6 2" xfId="986" xr:uid="{00000000-0005-0000-0000-0000DA030000}"/>
    <cellStyle name="A" xfId="987" xr:uid="{00000000-0005-0000-0000-0000DB030000}"/>
    <cellStyle name="A 2" xfId="2327" xr:uid="{00000000-0005-0000-0000-000017090000}"/>
    <cellStyle name="Ā _x0010_က랐_xdc01_땯_x0001_" xfId="988" xr:uid="{00000000-0005-0000-0000-0000DC030000}"/>
    <cellStyle name="A_거성토건도급계약내역(신일중고)" xfId="989" xr:uid="{00000000-0005-0000-0000-0000DD030000}"/>
    <cellStyle name="A_거성토건도급계약내역(신일중고) 2" xfId="2328" xr:uid="{00000000-0005-0000-0000-000018090000}"/>
    <cellStyle name="A_도로" xfId="990" xr:uid="{00000000-0005-0000-0000-0000DE030000}"/>
    <cellStyle name="A_부대초안" xfId="991" xr:uid="{00000000-0005-0000-0000-0000DF030000}"/>
    <cellStyle name="A_부대초안 2" xfId="2329" xr:uid="{00000000-0005-0000-0000-000019090000}"/>
    <cellStyle name="A_부대초안_견적의뢰" xfId="992" xr:uid="{00000000-0005-0000-0000-0000E0030000}"/>
    <cellStyle name="A_부대초안_견적의뢰 2" xfId="2330" xr:uid="{00000000-0005-0000-0000-00001A090000}"/>
    <cellStyle name="A_부대초안_김포투찰" xfId="993" xr:uid="{00000000-0005-0000-0000-0000E1030000}"/>
    <cellStyle name="A_부대초안_김포투찰_견적의뢰" xfId="994" xr:uid="{00000000-0005-0000-0000-0000E2030000}"/>
    <cellStyle name="A_부대초안_김포투찰_견적의뢰 2" xfId="2331" xr:uid="{00000000-0005-0000-0000-00001B090000}"/>
    <cellStyle name="A_토목내역서" xfId="995" xr:uid="{00000000-0005-0000-0000-0000E3030000}"/>
    <cellStyle name="A_토목내역서 2" xfId="2332" xr:uid="{00000000-0005-0000-0000-00001C090000}"/>
    <cellStyle name="A_토목내역서_도로" xfId="996" xr:uid="{00000000-0005-0000-0000-0000E4030000}"/>
    <cellStyle name="A_토목내역서_부대초안" xfId="997" xr:uid="{00000000-0005-0000-0000-0000E5030000}"/>
    <cellStyle name="A_토목내역서_부대초안 2" xfId="2333" xr:uid="{00000000-0005-0000-0000-00001D090000}"/>
    <cellStyle name="A_토목내역서_부대초안_견적의뢰" xfId="998" xr:uid="{00000000-0005-0000-0000-0000E6030000}"/>
    <cellStyle name="A_토목내역서_부대초안_견적의뢰 2" xfId="2334" xr:uid="{00000000-0005-0000-0000-00001E090000}"/>
    <cellStyle name="A_토목내역서_부대초안_김포투찰" xfId="999" xr:uid="{00000000-0005-0000-0000-0000E7030000}"/>
    <cellStyle name="A_토목내역서_부대초안_김포투찰_견적의뢰" xfId="1000" xr:uid="{00000000-0005-0000-0000-0000E8030000}"/>
    <cellStyle name="A_토목내역서_부대초안_김포투찰_견적의뢰 2" xfId="2335" xr:uid="{00000000-0005-0000-0000-00001F090000}"/>
    <cellStyle name="A¨­¢¬¢Ò [0]_¡Æ¨ÏAo" xfId="1001" xr:uid="{00000000-0005-0000-0000-0000E9030000}"/>
    <cellStyle name="A¨­￠￢￠O [0]_¨oCAuCoEⓒ÷ " xfId="1002" xr:uid="{00000000-0005-0000-0000-0000EA030000}"/>
    <cellStyle name="A¨­¢¬¢Ò_¡Æ¨ÏAo" xfId="1003" xr:uid="{00000000-0005-0000-0000-0000EB030000}"/>
    <cellStyle name="A¨­￠￢￠O_¨oCAuCoEⓒ÷ " xfId="1004" xr:uid="{00000000-0005-0000-0000-0000EC030000}"/>
    <cellStyle name="Aⓒ­" xfId="1005" xr:uid="{00000000-0005-0000-0000-0000ED030000}"/>
    <cellStyle name="Aⓒ­ 2" xfId="2336" xr:uid="{00000000-0005-0000-0000-000020090000}"/>
    <cellStyle name="Ae" xfId="1006" xr:uid="{00000000-0005-0000-0000-0000EE030000}"/>
    <cellStyle name="Ae 2" xfId="2337" xr:uid="{00000000-0005-0000-0000-000021090000}"/>
    <cellStyle name="Aee­ " xfId="1007" xr:uid="{00000000-0005-0000-0000-0000EF030000}"/>
    <cellStyle name="Aee­  2" xfId="2338" xr:uid="{00000000-0005-0000-0000-000022090000}"/>
    <cellStyle name="AeE­ [0]_¸ðCu¸·" xfId="1008" xr:uid="{00000000-0005-0000-0000-0000F0030000}"/>
    <cellStyle name="ÅëÈ­ [0]_¸ðÇü¸·" xfId="1009" xr:uid="{00000000-0005-0000-0000-0000F1030000}"/>
    <cellStyle name="AeE­ [0]_¸ðCu¸· 2" xfId="1010" xr:uid="{00000000-0005-0000-0000-0000F2030000}"/>
    <cellStyle name="ÅëÈ­ [0]_¸ñÂ÷ " xfId="1011" xr:uid="{00000000-0005-0000-0000-0000F3030000}"/>
    <cellStyle name="AeE­ [0]_¼oAI¼º " xfId="1012" xr:uid="{00000000-0005-0000-0000-0000F4030000}"/>
    <cellStyle name="ÅëÈ­ [0]_INQUIRY ¿µ¾÷ÃßÁø " xfId="1013" xr:uid="{00000000-0005-0000-0000-0000F5030000}"/>
    <cellStyle name="AeE­ [0]_INQUIRY ¿μ¾÷AßAø " xfId="1014" xr:uid="{00000000-0005-0000-0000-0000F6030000}"/>
    <cellStyle name="ÅëÈ­ [0]_º»¼± ±æ¾î±úºÎ ¼ö·® Áý°èÇ¥ " xfId="1015" xr:uid="{00000000-0005-0000-0000-0000F7030000}"/>
    <cellStyle name="AeE­ [0]_º≫¼± ±æ¾i±uºI ¼o·R Ay°eC￥ " xfId="1016" xr:uid="{00000000-0005-0000-0000-0000F8030000}"/>
    <cellStyle name="Aee­ _거성토건도급계약내역(신일중고)" xfId="1017" xr:uid="{00000000-0005-0000-0000-0000F9030000}"/>
    <cellStyle name="AeE­_¸ðCu¸·" xfId="1018" xr:uid="{00000000-0005-0000-0000-0000FA030000}"/>
    <cellStyle name="ÅëÈ­_¸ðÇü¸·" xfId="1019" xr:uid="{00000000-0005-0000-0000-0000FB030000}"/>
    <cellStyle name="AeE­_¸ðCu¸· 2" xfId="1020" xr:uid="{00000000-0005-0000-0000-0000FC030000}"/>
    <cellStyle name="ÅëÈ­_¸ñÂ÷ " xfId="1021" xr:uid="{00000000-0005-0000-0000-0000FD030000}"/>
    <cellStyle name="AeE­_¼oAI¼º " xfId="1022" xr:uid="{00000000-0005-0000-0000-0000FE030000}"/>
    <cellStyle name="ÅëÈ­_INQUIRY ¿µ¾÷ÃßÁø " xfId="1023" xr:uid="{00000000-0005-0000-0000-0000FF030000}"/>
    <cellStyle name="AeE­_INQUIRY ¿μ¾÷AßAø " xfId="1024" xr:uid="{00000000-0005-0000-0000-000000040000}"/>
    <cellStyle name="ÅëÈ­_º»¼± ±æ¾î±úºÎ ¼ö·® Áý°èÇ¥ " xfId="1025" xr:uid="{00000000-0005-0000-0000-000001040000}"/>
    <cellStyle name="AeE­_º≫¼± ±æ¾i±uºI ¼o·R Ay°eC￥ " xfId="1026" xr:uid="{00000000-0005-0000-0000-000002040000}"/>
    <cellStyle name="Aee¡" xfId="1027" xr:uid="{00000000-0005-0000-0000-000003040000}"/>
    <cellStyle name="Aee¡ 2" xfId="2339" xr:uid="{00000000-0005-0000-0000-000023090000}"/>
    <cellStyle name="AeE¡© [0]_¡Æ¨ÏAo" xfId="1028" xr:uid="{00000000-0005-0000-0000-000004040000}"/>
    <cellStyle name="AeE¡©_¡Æ¨ÏAo" xfId="1029" xr:uid="{00000000-0005-0000-0000-000005040000}"/>
    <cellStyle name="AeE¡ⓒ [0]_¨oCAuCoEⓒ÷ " xfId="1030" xr:uid="{00000000-0005-0000-0000-000006040000}"/>
    <cellStyle name="AeE¡ⓒ_¨oCAuCoEⓒ÷ " xfId="1031" xr:uid="{00000000-0005-0000-0000-000007040000}"/>
    <cellStyle name="ALIGNMENT" xfId="1032" xr:uid="{00000000-0005-0000-0000-000008040000}"/>
    <cellStyle name="Aþ¸" xfId="1033" xr:uid="{00000000-0005-0000-0000-000009040000}"/>
    <cellStyle name="Aþ¸ 2" xfId="2340" xr:uid="{00000000-0005-0000-0000-000024090000}"/>
    <cellStyle name="AÞ¸¶ [0]_¸ðCu¸·" xfId="1034" xr:uid="{00000000-0005-0000-0000-00000A040000}"/>
    <cellStyle name="ÄÞ¸¶ [0]_¸ðÇü¸·" xfId="1035" xr:uid="{00000000-0005-0000-0000-00000B040000}"/>
    <cellStyle name="AÞ¸¶ [0]_¸ðCu¸· 2" xfId="1036" xr:uid="{00000000-0005-0000-0000-00000C040000}"/>
    <cellStyle name="ÄÞ¸¶ [0]_¸ñÂ÷ " xfId="1037" xr:uid="{00000000-0005-0000-0000-00000D040000}"/>
    <cellStyle name="AÞ¸¶ [0]_¼oAI¼º " xfId="1038" xr:uid="{00000000-0005-0000-0000-00000E040000}"/>
    <cellStyle name="ÄÞ¸¶ [0]_INQUIRY ¿µ¾÷ÃßÁø " xfId="1039" xr:uid="{00000000-0005-0000-0000-00000F040000}"/>
    <cellStyle name="AÞ¸¶ [0]_INQUIRY ¿μ¾÷AßAø " xfId="1040" xr:uid="{00000000-0005-0000-0000-000010040000}"/>
    <cellStyle name="ÄÞ¸¶ [0]_º»¼± ±æ¾î±úºÎ ¼ö·® Áý°èÇ¥ " xfId="1041" xr:uid="{00000000-0005-0000-0000-000011040000}"/>
    <cellStyle name="AÞ¸¶ [0]_º≫¼± ±æ¾i±uºI ¼o·R Ay°eC￥ " xfId="1042" xr:uid="{00000000-0005-0000-0000-000012040000}"/>
    <cellStyle name="AÞ¸¶_¸ðCu¸·" xfId="1043" xr:uid="{00000000-0005-0000-0000-000013040000}"/>
    <cellStyle name="ÄÞ¸¶_¸ðÇü¸·" xfId="1044" xr:uid="{00000000-0005-0000-0000-000014040000}"/>
    <cellStyle name="AÞ¸¶_¸ðCu¸· 2" xfId="1045" xr:uid="{00000000-0005-0000-0000-000015040000}"/>
    <cellStyle name="ÄÞ¸¶_¸ñÂ÷ " xfId="1046" xr:uid="{00000000-0005-0000-0000-000016040000}"/>
    <cellStyle name="AÞ¸¶_¼oAI¼º " xfId="1047" xr:uid="{00000000-0005-0000-0000-000017040000}"/>
    <cellStyle name="ÄÞ¸¶_INQUIRY ¿µ¾÷ÃßÁø " xfId="1048" xr:uid="{00000000-0005-0000-0000-000018040000}"/>
    <cellStyle name="AÞ¸¶_INQUIRY ¿μ¾÷AßAø " xfId="1049" xr:uid="{00000000-0005-0000-0000-000019040000}"/>
    <cellStyle name="ÄÞ¸¶_º»¼± ±æ¾î±úºÎ ¼ö·® Áý°èÇ¥ " xfId="1050" xr:uid="{00000000-0005-0000-0000-00001A040000}"/>
    <cellStyle name="AÞ¸¶_º≫¼± ±æ¾i±uºI ¼o·R Ay°eC￥ " xfId="1051" xr:uid="{00000000-0005-0000-0000-00001B040000}"/>
    <cellStyle name="_x0001_b" xfId="1052" xr:uid="{00000000-0005-0000-0000-00001C040000}"/>
    <cellStyle name="_x0001_b 2" xfId="2341" xr:uid="{00000000-0005-0000-0000-000025090000}"/>
    <cellStyle name="Body" xfId="1053" xr:uid="{00000000-0005-0000-0000-00001D040000}"/>
    <cellStyle name="C" xfId="1054" xr:uid="{00000000-0005-0000-0000-00001E040000}"/>
    <cellStyle name="C 2" xfId="2342" xr:uid="{00000000-0005-0000-0000-000026090000}"/>
    <cellStyle name="C[rrency [0]_laroux_1" xfId="1055" xr:uid="{00000000-0005-0000-0000-00001F040000}"/>
    <cellStyle name="C_거성토건도급계약내역(신일중고)" xfId="1056" xr:uid="{00000000-0005-0000-0000-000020040000}"/>
    <cellStyle name="C_거성토건도급계약내역(신일중고) 2" xfId="2343" xr:uid="{00000000-0005-0000-0000-000027090000}"/>
    <cellStyle name="C_도로" xfId="1057" xr:uid="{00000000-0005-0000-0000-000021040000}"/>
    <cellStyle name="C_부대초안" xfId="1058" xr:uid="{00000000-0005-0000-0000-000022040000}"/>
    <cellStyle name="C_부대초안 2" xfId="2344" xr:uid="{00000000-0005-0000-0000-000028090000}"/>
    <cellStyle name="C_부대초안_견적의뢰" xfId="1059" xr:uid="{00000000-0005-0000-0000-000023040000}"/>
    <cellStyle name="C_부대초안_견적의뢰 2" xfId="2345" xr:uid="{00000000-0005-0000-0000-000029090000}"/>
    <cellStyle name="C_부대초안_김포투찰" xfId="1060" xr:uid="{00000000-0005-0000-0000-000024040000}"/>
    <cellStyle name="C_부대초안_김포투찰_견적의뢰" xfId="1061" xr:uid="{00000000-0005-0000-0000-000025040000}"/>
    <cellStyle name="C_부대초안_김포투찰_견적의뢰 2" xfId="2346" xr:uid="{00000000-0005-0000-0000-00002A090000}"/>
    <cellStyle name="C_토목내역서" xfId="1062" xr:uid="{00000000-0005-0000-0000-000026040000}"/>
    <cellStyle name="C_토목내역서 2" xfId="2347" xr:uid="{00000000-0005-0000-0000-00002B090000}"/>
    <cellStyle name="C_토목내역서_도로" xfId="1063" xr:uid="{00000000-0005-0000-0000-000027040000}"/>
    <cellStyle name="C_토목내역서_부대초안" xfId="1064" xr:uid="{00000000-0005-0000-0000-000028040000}"/>
    <cellStyle name="C_토목내역서_부대초안 2" xfId="2348" xr:uid="{00000000-0005-0000-0000-00002C090000}"/>
    <cellStyle name="C_토목내역서_부대초안_견적의뢰" xfId="1065" xr:uid="{00000000-0005-0000-0000-000029040000}"/>
    <cellStyle name="C_토목내역서_부대초안_견적의뢰 2" xfId="2349" xr:uid="{00000000-0005-0000-0000-00002D090000}"/>
    <cellStyle name="C_토목내역서_부대초안_김포투찰" xfId="1066" xr:uid="{00000000-0005-0000-0000-00002A040000}"/>
    <cellStyle name="C_토목내역서_부대초안_김포투찰_견적의뢰" xfId="1067" xr:uid="{00000000-0005-0000-0000-00002B040000}"/>
    <cellStyle name="C_토목내역서_부대초안_김포투찰_견적의뢰 2" xfId="2350" xr:uid="{00000000-0005-0000-0000-00002E090000}"/>
    <cellStyle name="C¡ÍA¨ª_¡Æ¨ÏAo" xfId="1068" xr:uid="{00000000-0005-0000-0000-00002C040000}"/>
    <cellStyle name="C¡IA¨ª_¡ic¨u¡A¨￢I¨￢¡Æ AN¡Æe " xfId="1069" xr:uid="{00000000-0005-0000-0000-00002D040000}"/>
    <cellStyle name="C￥AØ_  FAB AIA¤  " xfId="1070" xr:uid="{00000000-0005-0000-0000-00002E040000}"/>
    <cellStyle name="Ç¥ÁØ_¸ðÇü¸·" xfId="1071" xr:uid="{00000000-0005-0000-0000-00002F040000}"/>
    <cellStyle name="C￥AØ_¿μ¾÷CoE² " xfId="1072" xr:uid="{00000000-0005-0000-0000-000030040000}"/>
    <cellStyle name="Ç¥ÁØ_°­´ç (2)" xfId="1073" xr:uid="{00000000-0005-0000-0000-000031040000}"/>
    <cellStyle name="C￥AØ_¾c½A " xfId="1074" xr:uid="{00000000-0005-0000-0000-000032040000}"/>
    <cellStyle name="Ç¥ÁØ_5-1±¤°í " xfId="1075" xr:uid="{00000000-0005-0000-0000-000033040000}"/>
    <cellStyle name="C￥AØ_AN°y(1.25) " xfId="1076" xr:uid="{00000000-0005-0000-0000-000034040000}"/>
    <cellStyle name="Ç¥ÁØ_Áý°èÇ¥(2¿ù) " xfId="1077" xr:uid="{00000000-0005-0000-0000-000035040000}"/>
    <cellStyle name="C￥AØ_PERSONAL" xfId="1078" xr:uid="{00000000-0005-0000-0000-000036040000}"/>
    <cellStyle name="Calc Currency (0)" xfId="1079" xr:uid="{00000000-0005-0000-0000-000037040000}"/>
    <cellStyle name="Calc Currency (0) 2" xfId="2351" xr:uid="{00000000-0005-0000-0000-00002F090000}"/>
    <cellStyle name="category" xfId="1080" xr:uid="{00000000-0005-0000-0000-000038040000}"/>
    <cellStyle name="ⓒo" xfId="1081" xr:uid="{00000000-0005-0000-0000-000039040000}"/>
    <cellStyle name="ⓒo 2" xfId="2352" xr:uid="{00000000-0005-0000-0000-000030090000}"/>
    <cellStyle name="CODE" xfId="1082" xr:uid="{00000000-0005-0000-0000-00003A040000}"/>
    <cellStyle name="Comma" xfId="1083" xr:uid="{00000000-0005-0000-0000-00003B040000}"/>
    <cellStyle name="Comma [0]" xfId="1084" xr:uid="{00000000-0005-0000-0000-00003C040000}"/>
    <cellStyle name="Comma [0] 2" xfId="2353" xr:uid="{00000000-0005-0000-0000-000031090000}"/>
    <cellStyle name="Comma 2" xfId="1085" xr:uid="{00000000-0005-0000-0000-00003D040000}"/>
    <cellStyle name="comma zerodec" xfId="1086" xr:uid="{00000000-0005-0000-0000-00003E040000}"/>
    <cellStyle name="Comma_ SG&amp;A Bridge " xfId="1087" xr:uid="{00000000-0005-0000-0000-00003F040000}"/>
    <cellStyle name="Comma0" xfId="1088" xr:uid="{00000000-0005-0000-0000-000040040000}"/>
    <cellStyle name="Comma0 2" xfId="2354" xr:uid="{00000000-0005-0000-0000-000032090000}"/>
    <cellStyle name="Comm뼬_E&amp;ONW2" xfId="1089" xr:uid="{00000000-0005-0000-0000-000041040000}"/>
    <cellStyle name="Copied" xfId="1090" xr:uid="{00000000-0005-0000-0000-000042040000}"/>
    <cellStyle name="Curren?_x0012_퐀_x0017_?" xfId="1091" xr:uid="{00000000-0005-0000-0000-000043040000}"/>
    <cellStyle name="Currency" xfId="1092" xr:uid="{00000000-0005-0000-0000-000044040000}"/>
    <cellStyle name="Currency [0]" xfId="1093" xr:uid="{00000000-0005-0000-0000-000045040000}"/>
    <cellStyle name="Currency 2" xfId="1094" xr:uid="{00000000-0005-0000-0000-000046040000}"/>
    <cellStyle name="Currency 3" xfId="1095" xr:uid="{00000000-0005-0000-0000-000047040000}"/>
    <cellStyle name="Currency 4" xfId="1096" xr:uid="{00000000-0005-0000-0000-000048040000}"/>
    <cellStyle name="Currency 5" xfId="1097" xr:uid="{00000000-0005-0000-0000-000049040000}"/>
    <cellStyle name="Currency 6" xfId="1098" xr:uid="{00000000-0005-0000-0000-00004A040000}"/>
    <cellStyle name="Currency_ SG&amp;A Bridge " xfId="1099" xr:uid="{00000000-0005-0000-0000-00004B040000}"/>
    <cellStyle name="Currency0" xfId="1100" xr:uid="{00000000-0005-0000-0000-00004C040000}"/>
    <cellStyle name="Currency0 2" xfId="2355" xr:uid="{00000000-0005-0000-0000-000033090000}"/>
    <cellStyle name="Currency1" xfId="1101" xr:uid="{00000000-0005-0000-0000-00004D040000}"/>
    <cellStyle name="Date" xfId="1102" xr:uid="{00000000-0005-0000-0000-00004E040000}"/>
    <cellStyle name="Date 2" xfId="1103" xr:uid="{00000000-0005-0000-0000-00004F040000}"/>
    <cellStyle name="Date 3" xfId="1104" xr:uid="{00000000-0005-0000-0000-000050040000}"/>
    <cellStyle name="Date 3 2" xfId="2356" xr:uid="{00000000-0005-0000-0000-000034090000}"/>
    <cellStyle name="Dezimal [0]_Compiling Utility Macros" xfId="1105" xr:uid="{00000000-0005-0000-0000-000051040000}"/>
    <cellStyle name="Dezimal_Compiling Utility Macros" xfId="1106" xr:uid="{00000000-0005-0000-0000-000052040000}"/>
    <cellStyle name="Dollar (zero dec)" xfId="1107" xr:uid="{00000000-0005-0000-0000-000053040000}"/>
    <cellStyle name="Entered" xfId="1108" xr:uid="{00000000-0005-0000-0000-000054040000}"/>
    <cellStyle name="F2" xfId="1109" xr:uid="{00000000-0005-0000-0000-000055040000}"/>
    <cellStyle name="F3" xfId="1110" xr:uid="{00000000-0005-0000-0000-000056040000}"/>
    <cellStyle name="F4" xfId="1111" xr:uid="{00000000-0005-0000-0000-000057040000}"/>
    <cellStyle name="F5" xfId="1112" xr:uid="{00000000-0005-0000-0000-000058040000}"/>
    <cellStyle name="F6" xfId="1113" xr:uid="{00000000-0005-0000-0000-000059040000}"/>
    <cellStyle name="F7" xfId="1114" xr:uid="{00000000-0005-0000-0000-00005A040000}"/>
    <cellStyle name="F8" xfId="1115" xr:uid="{00000000-0005-0000-0000-00005B040000}"/>
    <cellStyle name="Fixed" xfId="1116" xr:uid="{00000000-0005-0000-0000-00005C040000}"/>
    <cellStyle name="Fixed 2" xfId="1117" xr:uid="{00000000-0005-0000-0000-00005D040000}"/>
    <cellStyle name="Fixed 3" xfId="1118" xr:uid="{00000000-0005-0000-0000-00005E040000}"/>
    <cellStyle name="Fixed 3 2" xfId="2357" xr:uid="{00000000-0005-0000-0000-000035090000}"/>
    <cellStyle name="Followed Hyperlink" xfId="1119" xr:uid="{00000000-0005-0000-0000-00005F040000}"/>
    <cellStyle name="Grey" xfId="1120" xr:uid="{00000000-0005-0000-0000-000060040000}"/>
    <cellStyle name="Grey 2" xfId="1121" xr:uid="{00000000-0005-0000-0000-000061040000}"/>
    <cellStyle name="H1" xfId="1122" xr:uid="{00000000-0005-0000-0000-000062040000}"/>
    <cellStyle name="H2" xfId="1123" xr:uid="{00000000-0005-0000-0000-000063040000}"/>
    <cellStyle name="HEADER" xfId="1124" xr:uid="{00000000-0005-0000-0000-000064040000}"/>
    <cellStyle name="Header1" xfId="1125" xr:uid="{00000000-0005-0000-0000-000065040000}"/>
    <cellStyle name="Header2" xfId="1126" xr:uid="{00000000-0005-0000-0000-000066040000}"/>
    <cellStyle name="Heading 1" xfId="1127" xr:uid="{00000000-0005-0000-0000-000067040000}"/>
    <cellStyle name="Heading 1 2" xfId="2358" xr:uid="{00000000-0005-0000-0000-000036090000}"/>
    <cellStyle name="Heading 2" xfId="1128" xr:uid="{00000000-0005-0000-0000-000068040000}"/>
    <cellStyle name="Heading 2 2" xfId="2359" xr:uid="{00000000-0005-0000-0000-000037090000}"/>
    <cellStyle name="Heading1" xfId="1129" xr:uid="{00000000-0005-0000-0000-000069040000}"/>
    <cellStyle name="Heading1 2" xfId="1130" xr:uid="{00000000-0005-0000-0000-00006A040000}"/>
    <cellStyle name="Heading1 3" xfId="1131" xr:uid="{00000000-0005-0000-0000-00006B040000}"/>
    <cellStyle name="Heading2" xfId="1132" xr:uid="{00000000-0005-0000-0000-00006C040000}"/>
    <cellStyle name="Heading2 2" xfId="1133" xr:uid="{00000000-0005-0000-0000-00006D040000}"/>
    <cellStyle name="Heading2 3" xfId="1134" xr:uid="{00000000-0005-0000-0000-00006E040000}"/>
    <cellStyle name="Heading2 4" xfId="1135" xr:uid="{00000000-0005-0000-0000-00006F040000}"/>
    <cellStyle name="Hyperlink" xfId="1136" xr:uid="{00000000-0005-0000-0000-000070040000}"/>
    <cellStyle name="Hyperlink 2" xfId="1137" xr:uid="{00000000-0005-0000-0000-000071040000}"/>
    <cellStyle name="Input [yellow]" xfId="1138" xr:uid="{00000000-0005-0000-0000-000072040000}"/>
    <cellStyle name="Input [yellow] 2" xfId="1139" xr:uid="{00000000-0005-0000-0000-000073040000}"/>
    <cellStyle name="Midtitle" xfId="1140" xr:uid="{00000000-0005-0000-0000-000074040000}"/>
    <cellStyle name="Milliers [0]_!!!GO" xfId="1141" xr:uid="{00000000-0005-0000-0000-000075040000}"/>
    <cellStyle name="Milliers_!!!GO" xfId="1142" xr:uid="{00000000-0005-0000-0000-000076040000}"/>
    <cellStyle name="Model" xfId="1143" xr:uid="{00000000-0005-0000-0000-000077040000}"/>
    <cellStyle name="Mon?aire [0]_!!!GO" xfId="1144" xr:uid="{00000000-0005-0000-0000-000078040000}"/>
    <cellStyle name="Mon?aire_!!!GO" xfId="1145" xr:uid="{00000000-0005-0000-0000-000079040000}"/>
    <cellStyle name="Nermal_ SG&amp;A Bridge " xfId="1146" xr:uid="{00000000-0005-0000-0000-00007A040000}"/>
    <cellStyle name="no dec" xfId="1147" xr:uid="{00000000-0005-0000-0000-00007B040000}"/>
    <cellStyle name="Normal - Style1" xfId="1148" xr:uid="{00000000-0005-0000-0000-00007C040000}"/>
    <cellStyle name="Normal - Style1 2" xfId="1149" xr:uid="{00000000-0005-0000-0000-00007D040000}"/>
    <cellStyle name="Normal - Style2" xfId="1150" xr:uid="{00000000-0005-0000-0000-00007E040000}"/>
    <cellStyle name="Normal - Style3" xfId="1151" xr:uid="{00000000-0005-0000-0000-00007F040000}"/>
    <cellStyle name="Normal - Style4" xfId="1152" xr:uid="{00000000-0005-0000-0000-000080040000}"/>
    <cellStyle name="Normal - Style5" xfId="1153" xr:uid="{00000000-0005-0000-0000-000081040000}"/>
    <cellStyle name="Normal - Style6" xfId="1154" xr:uid="{00000000-0005-0000-0000-000082040000}"/>
    <cellStyle name="Normal - Style7" xfId="1155" xr:uid="{00000000-0005-0000-0000-000083040000}"/>
    <cellStyle name="Normal - Style8" xfId="1156" xr:uid="{00000000-0005-0000-0000-000084040000}"/>
    <cellStyle name="Normal - 유형1" xfId="1157" xr:uid="{00000000-0005-0000-0000-000085040000}"/>
    <cellStyle name="Normal_ Plans" xfId="1158" xr:uid="{00000000-0005-0000-0000-000086040000}"/>
    <cellStyle name="Œ…?æ맖?e [0.00]_laroux" xfId="1159" xr:uid="{00000000-0005-0000-0000-000087040000}"/>
    <cellStyle name="Œ…?æ맖?e_laroux" xfId="1160" xr:uid="{00000000-0005-0000-0000-000088040000}"/>
    <cellStyle name="oft Excel]_x000d__x000a_Comment=The open=/f lines load custom functions into the Paste Function list._x000d__x000a_Maximized=3_x000d__x000a_AutoFormat=" xfId="1161" xr:uid="{00000000-0005-0000-0000-000089040000}"/>
    <cellStyle name="Percent" xfId="1162" xr:uid="{00000000-0005-0000-0000-00008A040000}"/>
    <cellStyle name="Percent [2]" xfId="1163" xr:uid="{00000000-0005-0000-0000-00008B040000}"/>
    <cellStyle name="Percent 2" xfId="1164" xr:uid="{00000000-0005-0000-0000-00008C040000}"/>
    <cellStyle name="Percent 3" xfId="1165" xr:uid="{00000000-0005-0000-0000-00008D040000}"/>
    <cellStyle name="Percent 4" xfId="1166" xr:uid="{00000000-0005-0000-0000-00008E040000}"/>
    <cellStyle name="Percent 5" xfId="1167" xr:uid="{00000000-0005-0000-0000-00008F040000}"/>
    <cellStyle name="Percent 6" xfId="1168" xr:uid="{00000000-0005-0000-0000-000090040000}"/>
    <cellStyle name="Percent_!!!GO" xfId="1169" xr:uid="{00000000-0005-0000-0000-000091040000}"/>
    <cellStyle name="RevList" xfId="1170" xr:uid="{00000000-0005-0000-0000-000092040000}"/>
    <cellStyle name="STANDARD" xfId="1171" xr:uid="{00000000-0005-0000-0000-000093040000}"/>
    <cellStyle name="subhead" xfId="1172" xr:uid="{00000000-0005-0000-0000-000094040000}"/>
    <cellStyle name="Subtotal" xfId="1173" xr:uid="{00000000-0005-0000-0000-000095040000}"/>
    <cellStyle name="testtitle" xfId="1174" xr:uid="{00000000-0005-0000-0000-000096040000}"/>
    <cellStyle name="title [1]" xfId="1175" xr:uid="{00000000-0005-0000-0000-000097040000}"/>
    <cellStyle name="title [2]" xfId="1176" xr:uid="{00000000-0005-0000-0000-000098040000}"/>
    <cellStyle name="Total" xfId="1177" xr:uid="{00000000-0005-0000-0000-000099040000}"/>
    <cellStyle name="Total 2" xfId="1178" xr:uid="{00000000-0005-0000-0000-00009A040000}"/>
    <cellStyle name="Total 3" xfId="1179" xr:uid="{00000000-0005-0000-0000-00009B040000}"/>
    <cellStyle name="Total 3 2" xfId="2360" xr:uid="{00000000-0005-0000-0000-000038090000}"/>
    <cellStyle name="UM" xfId="1180" xr:uid="{00000000-0005-0000-0000-00009C040000}"/>
    <cellStyle name="Unprot$" xfId="1181" xr:uid="{00000000-0005-0000-0000-00009D040000}"/>
    <cellStyle name="W?rung [0]_Compiling Utility Macros" xfId="1182" xr:uid="{00000000-0005-0000-0000-00009E040000}"/>
    <cellStyle name="W?rung_Compiling Utility Macros" xfId="1183" xr:uid="{00000000-0005-0000-0000-00009F040000}"/>
    <cellStyle name="|?ドE" xfId="1184" xr:uid="{00000000-0005-0000-0000-0000A0040000}"/>
    <cellStyle name="강조색1 2" xfId="1185" xr:uid="{00000000-0005-0000-0000-0000A1040000}"/>
    <cellStyle name="강조색2 2" xfId="1186" xr:uid="{00000000-0005-0000-0000-0000A2040000}"/>
    <cellStyle name="강조색3 2" xfId="1187" xr:uid="{00000000-0005-0000-0000-0000A3040000}"/>
    <cellStyle name="강조색4 2" xfId="1188" xr:uid="{00000000-0005-0000-0000-0000A4040000}"/>
    <cellStyle name="강조색5 2" xfId="1189" xr:uid="{00000000-0005-0000-0000-0000A5040000}"/>
    <cellStyle name="강조색6 2" xfId="1190" xr:uid="{00000000-0005-0000-0000-0000A6040000}"/>
    <cellStyle name="경고문 2" xfId="1191" xr:uid="{00000000-0005-0000-0000-0000A7040000}"/>
    <cellStyle name="계산 2" xfId="1192" xr:uid="{00000000-0005-0000-0000-0000A8040000}"/>
    <cellStyle name="고정소숫점" xfId="1193" xr:uid="{00000000-0005-0000-0000-0000A9040000}"/>
    <cellStyle name="고정출력1" xfId="1194" xr:uid="{00000000-0005-0000-0000-0000AA040000}"/>
    <cellStyle name="고정출력2" xfId="1195" xr:uid="{00000000-0005-0000-0000-0000AB040000}"/>
    <cellStyle name="공백" xfId="1196" xr:uid="{00000000-0005-0000-0000-0000AC040000}"/>
    <cellStyle name="공백1" xfId="1197" xr:uid="{00000000-0005-0000-0000-0000AD040000}"/>
    <cellStyle name="공백1수" xfId="1198" xr:uid="{00000000-0005-0000-0000-0000AE040000}"/>
    <cellStyle name="공사원가계산서(조경)" xfId="1199" xr:uid="{00000000-0005-0000-0000-0000AF040000}"/>
    <cellStyle name="굴림" xfId="1200" xr:uid="{00000000-0005-0000-0000-0000B0040000}"/>
    <cellStyle name="기본내역서" xfId="1201" xr:uid="{00000000-0005-0000-0000-0000B1040000}"/>
    <cellStyle name="기본내역서 2" xfId="2361" xr:uid="{00000000-0005-0000-0000-000039090000}"/>
    <cellStyle name="끼_x0001_?" xfId="1202" xr:uid="{00000000-0005-0000-0000-0000B2040000}"/>
    <cellStyle name="끼_x0001_? 2" xfId="2362" xr:uid="{00000000-0005-0000-0000-00003A090000}"/>
    <cellStyle name="나쁨 2" xfId="1203" xr:uid="{00000000-0005-0000-0000-0000B3040000}"/>
    <cellStyle name="날짜" xfId="1204" xr:uid="{00000000-0005-0000-0000-0000B4040000}"/>
    <cellStyle name="내역서" xfId="1205" xr:uid="{00000000-0005-0000-0000-0000B5040000}"/>
    <cellStyle name="단위" xfId="1206" xr:uid="{00000000-0005-0000-0000-0000B6040000}"/>
    <cellStyle name="달러" xfId="1207" xr:uid="{00000000-0005-0000-0000-0000B7040000}"/>
    <cellStyle name="뒤에 오는 하이퍼링크" xfId="1208" xr:uid="{00000000-0005-0000-0000-0000B8040000}"/>
    <cellStyle name="똿뗦먛귟 [0.00]_laroux" xfId="1209" xr:uid="{00000000-0005-0000-0000-0000B9040000}"/>
    <cellStyle name="똿뗦먛귟_laroux" xfId="1210" xr:uid="{00000000-0005-0000-0000-0000BA040000}"/>
    <cellStyle name="메모 2" xfId="1211" xr:uid="{00000000-0005-0000-0000-0000BB040000}"/>
    <cellStyle name="메모 3" xfId="1212" xr:uid="{00000000-0005-0000-0000-0000BC040000}"/>
    <cellStyle name="메모 3 2" xfId="2363" xr:uid="{00000000-0005-0000-0000-00003B090000}"/>
    <cellStyle name="믅됞 [0.00]_laroux" xfId="1213" xr:uid="{00000000-0005-0000-0000-0000BD040000}"/>
    <cellStyle name="믅됞_laroux" xfId="1214" xr:uid="{00000000-0005-0000-0000-0000BE040000}"/>
    <cellStyle name="배분" xfId="1215" xr:uid="{00000000-0005-0000-0000-0000BF040000}"/>
    <cellStyle name="배분 2" xfId="2364" xr:uid="{00000000-0005-0000-0000-00003C090000}"/>
    <cellStyle name="백" xfId="1216" xr:uid="{00000000-0005-0000-0000-0000C0040000}"/>
    <cellStyle name="백 2" xfId="2365" xr:uid="{00000000-0005-0000-0000-00003D090000}"/>
    <cellStyle name="백_3.우수" xfId="1217" xr:uid="{00000000-0005-0000-0000-0000C1040000}"/>
    <cellStyle name="백_3.우수_1" xfId="1218" xr:uid="{00000000-0005-0000-0000-0000C2040000}"/>
    <cellStyle name="백_4.오수" xfId="1219" xr:uid="{00000000-0005-0000-0000-0000C3040000}"/>
    <cellStyle name="백_거성토건도급계약내역(신일중고)" xfId="1220" xr:uid="{00000000-0005-0000-0000-0000C4040000}"/>
    <cellStyle name="백_거성토건도급계약내역(신일중고) 2" xfId="2366" xr:uid="{00000000-0005-0000-0000-00003E090000}"/>
    <cellStyle name="백_도로" xfId="1221" xr:uid="{00000000-0005-0000-0000-0000C5040000}"/>
    <cellStyle name="백_부대초안" xfId="1222" xr:uid="{00000000-0005-0000-0000-0000C6040000}"/>
    <cellStyle name="백_부대초안 2" xfId="2367" xr:uid="{00000000-0005-0000-0000-00003F090000}"/>
    <cellStyle name="백_부대초안_견적의뢰" xfId="1223" xr:uid="{00000000-0005-0000-0000-0000C7040000}"/>
    <cellStyle name="백_부대초안_견적의뢰 2" xfId="2368" xr:uid="{00000000-0005-0000-0000-000040090000}"/>
    <cellStyle name="백_부대초안_김포투찰" xfId="1224" xr:uid="{00000000-0005-0000-0000-0000C8040000}"/>
    <cellStyle name="백_부대초안_김포투찰_견적의뢰" xfId="1225" xr:uid="{00000000-0005-0000-0000-0000C9040000}"/>
    <cellStyle name="백_부대초안_김포투찰_견적의뢰 2" xfId="2369" xr:uid="{00000000-0005-0000-0000-000041090000}"/>
    <cellStyle name="백_실행예산" xfId="1226" xr:uid="{00000000-0005-0000-0000-0000CA040000}"/>
    <cellStyle name="백_토목내역서" xfId="1227" xr:uid="{00000000-0005-0000-0000-0000CB040000}"/>
    <cellStyle name="백_토목내역서 2" xfId="2370" xr:uid="{00000000-0005-0000-0000-000042090000}"/>
    <cellStyle name="백_토목내역서_도로" xfId="1228" xr:uid="{00000000-0005-0000-0000-0000CC040000}"/>
    <cellStyle name="백_토목내역서_부대초안" xfId="1229" xr:uid="{00000000-0005-0000-0000-0000CD040000}"/>
    <cellStyle name="백_토목내역서_부대초안 2" xfId="2371" xr:uid="{00000000-0005-0000-0000-000043090000}"/>
    <cellStyle name="백_토목내역서_부대초안_견적의뢰" xfId="1230" xr:uid="{00000000-0005-0000-0000-0000CE040000}"/>
    <cellStyle name="백_토목내역서_부대초안_견적의뢰 2" xfId="2372" xr:uid="{00000000-0005-0000-0000-000044090000}"/>
    <cellStyle name="백_토목내역서_부대초안_김포투찰" xfId="1231" xr:uid="{00000000-0005-0000-0000-0000CF040000}"/>
    <cellStyle name="백_토목내역서_부대초안_김포투찰_견적의뢰" xfId="1232" xr:uid="{00000000-0005-0000-0000-0000D0040000}"/>
    <cellStyle name="백_토목내역서_부대초안_김포투찰_견적의뢰 2" xfId="2373" xr:uid="{00000000-0005-0000-0000-000045090000}"/>
    <cellStyle name="백분율 [0]" xfId="1233" xr:uid="{00000000-0005-0000-0000-0000D1040000}"/>
    <cellStyle name="백분율 [2]" xfId="1234" xr:uid="{00000000-0005-0000-0000-0000D2040000}"/>
    <cellStyle name="백분율 10" xfId="1235" xr:uid="{00000000-0005-0000-0000-0000D3040000}"/>
    <cellStyle name="백분율 10 2" xfId="2374" xr:uid="{00000000-0005-0000-0000-000046090000}"/>
    <cellStyle name="백분율 11" xfId="1236" xr:uid="{00000000-0005-0000-0000-0000D4040000}"/>
    <cellStyle name="백분율 11 2" xfId="2375" xr:uid="{00000000-0005-0000-0000-000047090000}"/>
    <cellStyle name="백분율 12" xfId="1237" xr:uid="{00000000-0005-0000-0000-0000D5040000}"/>
    <cellStyle name="백분율 12 2" xfId="2376" xr:uid="{00000000-0005-0000-0000-000048090000}"/>
    <cellStyle name="백분율 13" xfId="1238" xr:uid="{00000000-0005-0000-0000-0000D6040000}"/>
    <cellStyle name="백분율 13 2" xfId="2377" xr:uid="{00000000-0005-0000-0000-000049090000}"/>
    <cellStyle name="백분율 14" xfId="1471" xr:uid="{00000000-0005-0000-0000-0000BF050000}"/>
    <cellStyle name="백분율 15" xfId="1477" xr:uid="{00000000-0005-0000-0000-0000C5050000}"/>
    <cellStyle name="백분율 15 2" xfId="2467" xr:uid="{00000000-0005-0000-0000-0000A3090000}"/>
    <cellStyle name="백분율 2" xfId="1239" xr:uid="{00000000-0005-0000-0000-0000D7040000}"/>
    <cellStyle name="백분율 2 2" xfId="1240" xr:uid="{00000000-0005-0000-0000-0000D8040000}"/>
    <cellStyle name="백분율 2 3" xfId="1241" xr:uid="{00000000-0005-0000-0000-0000D9040000}"/>
    <cellStyle name="백분율 2 3 2" xfId="2379" xr:uid="{00000000-0005-0000-0000-00004B090000}"/>
    <cellStyle name="백분율 2 4" xfId="2378" xr:uid="{00000000-0005-0000-0000-00004A090000}"/>
    <cellStyle name="백분율 3" xfId="1242" xr:uid="{00000000-0005-0000-0000-0000DA040000}"/>
    <cellStyle name="백분율 3 2" xfId="2380" xr:uid="{00000000-0005-0000-0000-00004C090000}"/>
    <cellStyle name="백분율 4" xfId="1243" xr:uid="{00000000-0005-0000-0000-0000DB040000}"/>
    <cellStyle name="백분율 4 2" xfId="2381" xr:uid="{00000000-0005-0000-0000-00004D090000}"/>
    <cellStyle name="백분율 5" xfId="1244" xr:uid="{00000000-0005-0000-0000-0000DC040000}"/>
    <cellStyle name="백분율 5 2" xfId="2382" xr:uid="{00000000-0005-0000-0000-00004E090000}"/>
    <cellStyle name="백분율 6" xfId="1245" xr:uid="{00000000-0005-0000-0000-0000DD040000}"/>
    <cellStyle name="백분율 6 2" xfId="2383" xr:uid="{00000000-0005-0000-0000-00004F090000}"/>
    <cellStyle name="백분율 7" xfId="1246" xr:uid="{00000000-0005-0000-0000-0000DE040000}"/>
    <cellStyle name="백분율 7 2" xfId="2384" xr:uid="{00000000-0005-0000-0000-000050090000}"/>
    <cellStyle name="백분율 8" xfId="1247" xr:uid="{00000000-0005-0000-0000-0000DF040000}"/>
    <cellStyle name="백분율 8 2" xfId="2385" xr:uid="{00000000-0005-0000-0000-000051090000}"/>
    <cellStyle name="백분율 9" xfId="1248" xr:uid="{00000000-0005-0000-0000-0000E0040000}"/>
    <cellStyle name="백분율 9 2" xfId="2386" xr:uid="{00000000-0005-0000-0000-000052090000}"/>
    <cellStyle name="백분율［△1］" xfId="1249" xr:uid="{00000000-0005-0000-0000-0000E1040000}"/>
    <cellStyle name="백분율［△1］ 2" xfId="2387" xr:uid="{00000000-0005-0000-0000-000053090000}"/>
    <cellStyle name="백분율［△2］" xfId="1250" xr:uid="{00000000-0005-0000-0000-0000E2040000}"/>
    <cellStyle name="백분율［△2］ 2" xfId="2388" xr:uid="{00000000-0005-0000-0000-000054090000}"/>
    <cellStyle name="벭?_Q1 PRODUCT ACTUAL_4월 (2)" xfId="1251" xr:uid="{00000000-0005-0000-0000-0000E3040000}"/>
    <cellStyle name="보통 2" xfId="1252" xr:uid="{00000000-0005-0000-0000-0000E4040000}"/>
    <cellStyle name="뷭?" xfId="1253" xr:uid="{00000000-0005-0000-0000-0000E5040000}"/>
    <cellStyle name="빨강" xfId="1254" xr:uid="{00000000-0005-0000-0000-0000E6040000}"/>
    <cellStyle name="빨강 2" xfId="2389" xr:uid="{00000000-0005-0000-0000-000055090000}"/>
    <cellStyle name="선택영역의 가운데로" xfId="1255" xr:uid="{00000000-0005-0000-0000-0000E7040000}"/>
    <cellStyle name="선택영역의 가운데로 2" xfId="2390" xr:uid="{00000000-0005-0000-0000-000056090000}"/>
    <cellStyle name="설계서" xfId="1256" xr:uid="{00000000-0005-0000-0000-0000E8040000}"/>
    <cellStyle name="설명 텍스트 2" xfId="1257" xr:uid="{00000000-0005-0000-0000-0000E9040000}"/>
    <cellStyle name="셀 확인 2" xfId="1258" xr:uid="{00000000-0005-0000-0000-0000EA040000}"/>
    <cellStyle name="소수" xfId="1259" xr:uid="{00000000-0005-0000-0000-0000EB040000}"/>
    <cellStyle name="소수3" xfId="1260" xr:uid="{00000000-0005-0000-0000-0000EC040000}"/>
    <cellStyle name="소수4" xfId="1261" xr:uid="{00000000-0005-0000-0000-0000ED040000}"/>
    <cellStyle name="소수4 2" xfId="2391" xr:uid="{00000000-0005-0000-0000-000057090000}"/>
    <cellStyle name="소수점" xfId="1262" xr:uid="{00000000-0005-0000-0000-0000EE040000}"/>
    <cellStyle name="소수점 2" xfId="2392" xr:uid="{00000000-0005-0000-0000-000058090000}"/>
    <cellStyle name="수당" xfId="1263" xr:uid="{00000000-0005-0000-0000-0000EF040000}"/>
    <cellStyle name="수당2" xfId="1264" xr:uid="{00000000-0005-0000-0000-0000F0040000}"/>
    <cellStyle name="수량" xfId="1265" xr:uid="{00000000-0005-0000-0000-0000F1040000}"/>
    <cellStyle name="숫자(R)" xfId="1266" xr:uid="{00000000-0005-0000-0000-0000F2040000}"/>
    <cellStyle name="쉼표 [0]" xfId="1267" builtinId="6"/>
    <cellStyle name="쉼표 [0] 2" xfId="1268" xr:uid="{00000000-0005-0000-0000-0000F4040000}"/>
    <cellStyle name="쉼표 [0] 2 2" xfId="1269" xr:uid="{00000000-0005-0000-0000-0000F5040000}"/>
    <cellStyle name="쉼표 [0] 2 2 2" xfId="1270" xr:uid="{00000000-0005-0000-0000-0000F6040000}"/>
    <cellStyle name="쉼표 [0] 2 2 2 2" xfId="2396" xr:uid="{00000000-0005-0000-0000-00005C090000}"/>
    <cellStyle name="쉼표 [0] 2 2 3" xfId="2395" xr:uid="{00000000-0005-0000-0000-00005B090000}"/>
    <cellStyle name="쉼표 [0] 2 3" xfId="1271" xr:uid="{00000000-0005-0000-0000-0000F7040000}"/>
    <cellStyle name="쉼표 [0] 2 3 2" xfId="2397" xr:uid="{00000000-0005-0000-0000-00005D090000}"/>
    <cellStyle name="쉼표 [0] 2 4" xfId="1272" xr:uid="{00000000-0005-0000-0000-0000F8040000}"/>
    <cellStyle name="쉼표 [0] 2 4 2" xfId="2398" xr:uid="{00000000-0005-0000-0000-00005E090000}"/>
    <cellStyle name="쉼표 [0] 2 5" xfId="1475" xr:uid="{00000000-0005-0000-0000-0000C3050000}"/>
    <cellStyle name="쉼표 [0] 2 5 2" xfId="2466" xr:uid="{00000000-0005-0000-0000-0000A2090000}"/>
    <cellStyle name="쉼표 [0] 2 6" xfId="2394" xr:uid="{00000000-0005-0000-0000-00005A090000}"/>
    <cellStyle name="쉼표 [0] 3" xfId="1273" xr:uid="{00000000-0005-0000-0000-0000F9040000}"/>
    <cellStyle name="쉼표 [0] 3 2" xfId="1274" xr:uid="{00000000-0005-0000-0000-0000FA040000}"/>
    <cellStyle name="쉼표 [0] 3 2 2" xfId="2400" xr:uid="{00000000-0005-0000-0000-000060090000}"/>
    <cellStyle name="쉼표 [0] 3 3" xfId="2399" xr:uid="{00000000-0005-0000-0000-00005F090000}"/>
    <cellStyle name="쉼표 [0] 4" xfId="1275" xr:uid="{00000000-0005-0000-0000-0000FB040000}"/>
    <cellStyle name="쉼표 [0] 4 2" xfId="1276" xr:uid="{00000000-0005-0000-0000-0000FC040000}"/>
    <cellStyle name="쉼표 [0] 4 2 2" xfId="2402" xr:uid="{00000000-0005-0000-0000-000062090000}"/>
    <cellStyle name="쉼표 [0] 4 3" xfId="2401" xr:uid="{00000000-0005-0000-0000-000061090000}"/>
    <cellStyle name="쉼표 [0] 5" xfId="1277" xr:uid="{00000000-0005-0000-0000-0000FD040000}"/>
    <cellStyle name="쉼표 [0] 5 2" xfId="2403" xr:uid="{00000000-0005-0000-0000-000063090000}"/>
    <cellStyle name="쉼표 [0] 6" xfId="1470" xr:uid="{00000000-0005-0000-0000-0000BE050000}"/>
    <cellStyle name="쉼표 [0] 6 2" xfId="2463" xr:uid="{00000000-0005-0000-0000-00009F090000}"/>
    <cellStyle name="쉼표 [0] 7" xfId="1473" xr:uid="{00000000-0005-0000-0000-0000C1050000}"/>
    <cellStyle name="쉼표 [0] 7 2" xfId="2465" xr:uid="{00000000-0005-0000-0000-0000A1090000}"/>
    <cellStyle name="쉼표 [0] 8" xfId="2393" xr:uid="{00000000-0005-0000-0000-000059090000}"/>
    <cellStyle name="스타일 1" xfId="1278" xr:uid="{00000000-0005-0000-0000-0000FE040000}"/>
    <cellStyle name="스타일 1 2" xfId="1279" xr:uid="{00000000-0005-0000-0000-0000FF040000}"/>
    <cellStyle name="스타일 10" xfId="1280" xr:uid="{00000000-0005-0000-0000-000000050000}"/>
    <cellStyle name="스타일 11" xfId="1281" xr:uid="{00000000-0005-0000-0000-000001050000}"/>
    <cellStyle name="스타일 12" xfId="1282" xr:uid="{00000000-0005-0000-0000-000002050000}"/>
    <cellStyle name="스타일 13" xfId="1283" xr:uid="{00000000-0005-0000-0000-000003050000}"/>
    <cellStyle name="스타일 14" xfId="1284" xr:uid="{00000000-0005-0000-0000-000004050000}"/>
    <cellStyle name="스타일 15" xfId="1285" xr:uid="{00000000-0005-0000-0000-000005050000}"/>
    <cellStyle name="스타일 16" xfId="1286" xr:uid="{00000000-0005-0000-0000-000006050000}"/>
    <cellStyle name="스타일 17" xfId="1287" xr:uid="{00000000-0005-0000-0000-000007050000}"/>
    <cellStyle name="스타일 18" xfId="1288" xr:uid="{00000000-0005-0000-0000-000008050000}"/>
    <cellStyle name="스타일 19" xfId="1289" xr:uid="{00000000-0005-0000-0000-000009050000}"/>
    <cellStyle name="스타일 2" xfId="1290" xr:uid="{00000000-0005-0000-0000-00000A050000}"/>
    <cellStyle name="스타일 2 2" xfId="1291" xr:uid="{00000000-0005-0000-0000-00000B050000}"/>
    <cellStyle name="스타일 20" xfId="1292" xr:uid="{00000000-0005-0000-0000-00000C050000}"/>
    <cellStyle name="스타일 21" xfId="1293" xr:uid="{00000000-0005-0000-0000-00000D050000}"/>
    <cellStyle name="스타일 22" xfId="1294" xr:uid="{00000000-0005-0000-0000-00000E050000}"/>
    <cellStyle name="스타일 23" xfId="1295" xr:uid="{00000000-0005-0000-0000-00000F050000}"/>
    <cellStyle name="스타일 24" xfId="1296" xr:uid="{00000000-0005-0000-0000-000010050000}"/>
    <cellStyle name="스타일 25" xfId="1297" xr:uid="{00000000-0005-0000-0000-000011050000}"/>
    <cellStyle name="스타일 26" xfId="1298" xr:uid="{00000000-0005-0000-0000-000012050000}"/>
    <cellStyle name="스타일 27" xfId="1299" xr:uid="{00000000-0005-0000-0000-000013050000}"/>
    <cellStyle name="스타일 28" xfId="1300" xr:uid="{00000000-0005-0000-0000-000014050000}"/>
    <cellStyle name="스타일 29" xfId="1301" xr:uid="{00000000-0005-0000-0000-000015050000}"/>
    <cellStyle name="스타일 3" xfId="1302" xr:uid="{00000000-0005-0000-0000-000016050000}"/>
    <cellStyle name="스타일 30" xfId="1303" xr:uid="{00000000-0005-0000-0000-000017050000}"/>
    <cellStyle name="스타일 31" xfId="1304" xr:uid="{00000000-0005-0000-0000-000018050000}"/>
    <cellStyle name="스타일 32" xfId="1305" xr:uid="{00000000-0005-0000-0000-000019050000}"/>
    <cellStyle name="스타일 33" xfId="1306" xr:uid="{00000000-0005-0000-0000-00001A050000}"/>
    <cellStyle name="스타일 34" xfId="1307" xr:uid="{00000000-0005-0000-0000-00001B050000}"/>
    <cellStyle name="스타일 35" xfId="1308" xr:uid="{00000000-0005-0000-0000-00001C050000}"/>
    <cellStyle name="스타일 36" xfId="1309" xr:uid="{00000000-0005-0000-0000-00001D050000}"/>
    <cellStyle name="스타일 37" xfId="1310" xr:uid="{00000000-0005-0000-0000-00001E050000}"/>
    <cellStyle name="스타일 38" xfId="1311" xr:uid="{00000000-0005-0000-0000-00001F050000}"/>
    <cellStyle name="스타일 39" xfId="1312" xr:uid="{00000000-0005-0000-0000-000020050000}"/>
    <cellStyle name="스타일 4" xfId="1313" xr:uid="{00000000-0005-0000-0000-000021050000}"/>
    <cellStyle name="스타일 40" xfId="1314" xr:uid="{00000000-0005-0000-0000-000022050000}"/>
    <cellStyle name="스타일 41" xfId="1315" xr:uid="{00000000-0005-0000-0000-000023050000}"/>
    <cellStyle name="스타일 42" xfId="1316" xr:uid="{00000000-0005-0000-0000-000024050000}"/>
    <cellStyle name="스타일 43" xfId="1317" xr:uid="{00000000-0005-0000-0000-000025050000}"/>
    <cellStyle name="스타일 44" xfId="1318" xr:uid="{00000000-0005-0000-0000-000026050000}"/>
    <cellStyle name="스타일 45" xfId="1319" xr:uid="{00000000-0005-0000-0000-000027050000}"/>
    <cellStyle name="스타일 46" xfId="1320" xr:uid="{00000000-0005-0000-0000-000028050000}"/>
    <cellStyle name="스타일 47" xfId="1321" xr:uid="{00000000-0005-0000-0000-000029050000}"/>
    <cellStyle name="스타일 48" xfId="1322" xr:uid="{00000000-0005-0000-0000-00002A050000}"/>
    <cellStyle name="스타일 49" xfId="1323" xr:uid="{00000000-0005-0000-0000-00002B050000}"/>
    <cellStyle name="스타일 5" xfId="1324" xr:uid="{00000000-0005-0000-0000-00002C050000}"/>
    <cellStyle name="스타일 50" xfId="1325" xr:uid="{00000000-0005-0000-0000-00002D050000}"/>
    <cellStyle name="스타일 51" xfId="1326" xr:uid="{00000000-0005-0000-0000-00002E050000}"/>
    <cellStyle name="스타일 52" xfId="1327" xr:uid="{00000000-0005-0000-0000-00002F050000}"/>
    <cellStyle name="스타일 53" xfId="1328" xr:uid="{00000000-0005-0000-0000-000030050000}"/>
    <cellStyle name="스타일 54" xfId="1329" xr:uid="{00000000-0005-0000-0000-000031050000}"/>
    <cellStyle name="스타일 55" xfId="1330" xr:uid="{00000000-0005-0000-0000-000032050000}"/>
    <cellStyle name="스타일 6" xfId="1331" xr:uid="{00000000-0005-0000-0000-000033050000}"/>
    <cellStyle name="스타일 7" xfId="1332" xr:uid="{00000000-0005-0000-0000-000034050000}"/>
    <cellStyle name="스타일 8" xfId="1333" xr:uid="{00000000-0005-0000-0000-000035050000}"/>
    <cellStyle name="스타일 9" xfId="1334" xr:uid="{00000000-0005-0000-0000-000036050000}"/>
    <cellStyle name="안건회계법인" xfId="1335" xr:uid="{00000000-0005-0000-0000-000037050000}"/>
    <cellStyle name="연결된 셀 2" xfId="1336" xr:uid="{00000000-0005-0000-0000-000038050000}"/>
    <cellStyle name="요약 2" xfId="1337" xr:uid="{00000000-0005-0000-0000-000039050000}"/>
    <cellStyle name="원" xfId="1338" xr:uid="{00000000-0005-0000-0000-00003A050000}"/>
    <cellStyle name="원_가월리배수펌프(04.23)" xfId="1339" xr:uid="{00000000-0005-0000-0000-00003B050000}"/>
    <cellStyle name="원_가월리배수펌프(04.23) 2" xfId="2404" xr:uid="{00000000-0005-0000-0000-000064090000}"/>
    <cellStyle name="원_입찰내역서갑지양식" xfId="1340" xr:uid="{00000000-0005-0000-0000-00003C050000}"/>
    <cellStyle name="원_흥한건설(주)_두창산업폐기물(하도급)" xfId="1341" xr:uid="{00000000-0005-0000-0000-00003D050000}"/>
    <cellStyle name="유1" xfId="1342" xr:uid="{00000000-0005-0000-0000-00003E050000}"/>
    <cellStyle name="윤1" xfId="1343" xr:uid="{00000000-0005-0000-0000-00003F050000}"/>
    <cellStyle name="일위대가" xfId="1344" xr:uid="{00000000-0005-0000-0000-000040050000}"/>
    <cellStyle name="입력 2" xfId="1345" xr:uid="{00000000-0005-0000-0000-000041050000}"/>
    <cellStyle name="자리수" xfId="1346" xr:uid="{00000000-0005-0000-0000-000042050000}"/>
    <cellStyle name="자리수 - 유형1" xfId="1347" xr:uid="{00000000-0005-0000-0000-000043050000}"/>
    <cellStyle name="자리수_거성토건도급계약내역(신일중고)" xfId="1348" xr:uid="{00000000-0005-0000-0000-000044050000}"/>
    <cellStyle name="자리수0" xfId="1349" xr:uid="{00000000-0005-0000-0000-000045050000}"/>
    <cellStyle name="제목 1 2" xfId="1350" xr:uid="{00000000-0005-0000-0000-000046050000}"/>
    <cellStyle name="제목 2 2" xfId="1351" xr:uid="{00000000-0005-0000-0000-000047050000}"/>
    <cellStyle name="제목 3 2" xfId="1352" xr:uid="{00000000-0005-0000-0000-000048050000}"/>
    <cellStyle name="제목 4 2" xfId="1353" xr:uid="{00000000-0005-0000-0000-000049050000}"/>
    <cellStyle name="제목 5" xfId="1354" xr:uid="{00000000-0005-0000-0000-00004A050000}"/>
    <cellStyle name="좋음 2" xfId="1355" xr:uid="{00000000-0005-0000-0000-00004B050000}"/>
    <cellStyle name="지정되지 않음" xfId="1356" xr:uid="{00000000-0005-0000-0000-00004C050000}"/>
    <cellStyle name="출력 2" xfId="1357" xr:uid="{00000000-0005-0000-0000-00004D050000}"/>
    <cellStyle name="콤" xfId="1358" xr:uid="{00000000-0005-0000-0000-00004E050000}"/>
    <cellStyle name="콤 2" xfId="2405" xr:uid="{00000000-0005-0000-0000-000065090000}"/>
    <cellStyle name="콤_3.우수" xfId="1359" xr:uid="{00000000-0005-0000-0000-00004F050000}"/>
    <cellStyle name="콤_3.우수_1" xfId="1360" xr:uid="{00000000-0005-0000-0000-000050050000}"/>
    <cellStyle name="콤_4.오수" xfId="1361" xr:uid="{00000000-0005-0000-0000-000051050000}"/>
    <cellStyle name="콤_거성토건도급계약내역(신일중고)" xfId="1362" xr:uid="{00000000-0005-0000-0000-000052050000}"/>
    <cellStyle name="콤_거성토건도급계약내역(신일중고) 2" xfId="2406" xr:uid="{00000000-0005-0000-0000-000066090000}"/>
    <cellStyle name="콤_도로" xfId="1363" xr:uid="{00000000-0005-0000-0000-000053050000}"/>
    <cellStyle name="콤_부대초안" xfId="1364" xr:uid="{00000000-0005-0000-0000-000054050000}"/>
    <cellStyle name="콤_부대초안 2" xfId="2407" xr:uid="{00000000-0005-0000-0000-000067090000}"/>
    <cellStyle name="콤_부대초안_견적의뢰" xfId="1365" xr:uid="{00000000-0005-0000-0000-000055050000}"/>
    <cellStyle name="콤_부대초안_견적의뢰 2" xfId="2408" xr:uid="{00000000-0005-0000-0000-000068090000}"/>
    <cellStyle name="콤_부대초안_김포투찰" xfId="1366" xr:uid="{00000000-0005-0000-0000-000056050000}"/>
    <cellStyle name="콤_부대초안_김포투찰_견적의뢰" xfId="1367" xr:uid="{00000000-0005-0000-0000-000057050000}"/>
    <cellStyle name="콤_부대초안_김포투찰_견적의뢰 2" xfId="2409" xr:uid="{00000000-0005-0000-0000-000069090000}"/>
    <cellStyle name="콤_실행예산" xfId="1368" xr:uid="{00000000-0005-0000-0000-000058050000}"/>
    <cellStyle name="콤_토목내역서" xfId="1369" xr:uid="{00000000-0005-0000-0000-000059050000}"/>
    <cellStyle name="콤_토목내역서 2" xfId="2410" xr:uid="{00000000-0005-0000-0000-00006A090000}"/>
    <cellStyle name="콤_토목내역서_도로" xfId="1370" xr:uid="{00000000-0005-0000-0000-00005A050000}"/>
    <cellStyle name="콤_토목내역서_부대초안" xfId="1371" xr:uid="{00000000-0005-0000-0000-00005B050000}"/>
    <cellStyle name="콤_토목내역서_부대초안 2" xfId="2411" xr:uid="{00000000-0005-0000-0000-00006B090000}"/>
    <cellStyle name="콤_토목내역서_부대초안_견적의뢰" xfId="1372" xr:uid="{00000000-0005-0000-0000-00005C050000}"/>
    <cellStyle name="콤_토목내역서_부대초안_견적의뢰 2" xfId="2412" xr:uid="{00000000-0005-0000-0000-00006C090000}"/>
    <cellStyle name="콤_토목내역서_부대초안_김포투찰" xfId="1373" xr:uid="{00000000-0005-0000-0000-00005D050000}"/>
    <cellStyle name="콤_토목내역서_부대초안_김포투찰_견적의뢰" xfId="1374" xr:uid="{00000000-0005-0000-0000-00005E050000}"/>
    <cellStyle name="콤_토목내역서_부대초안_김포투찰_견적의뢰 2" xfId="2413" xr:uid="{00000000-0005-0000-0000-00006D090000}"/>
    <cellStyle name="콤마" xfId="1375" xr:uid="{00000000-0005-0000-0000-00005F050000}"/>
    <cellStyle name="콤마 [" xfId="1376" xr:uid="{00000000-0005-0000-0000-000060050000}"/>
    <cellStyle name="콤마 [ 2" xfId="2414" xr:uid="{00000000-0005-0000-0000-00006E090000}"/>
    <cellStyle name="콤마 [#]" xfId="1377" xr:uid="{00000000-0005-0000-0000-000061050000}"/>
    <cellStyle name="콤마 [#] 2" xfId="2415" xr:uid="{00000000-0005-0000-0000-00006F090000}"/>
    <cellStyle name="콤마 []" xfId="1378" xr:uid="{00000000-0005-0000-0000-000062050000}"/>
    <cellStyle name="콤마 [_거성토건도급계약내역(신일중고)" xfId="1379" xr:uid="{00000000-0005-0000-0000-000063050000}"/>
    <cellStyle name="콤마 [0]" xfId="1380" xr:uid="{00000000-0005-0000-0000-000064050000}"/>
    <cellStyle name="콤마 [0] 2" xfId="2416" xr:uid="{00000000-0005-0000-0000-000070090000}"/>
    <cellStyle name="콤마 [2]" xfId="1381" xr:uid="{00000000-0005-0000-0000-000065050000}"/>
    <cellStyle name="콤마 [2] 2" xfId="1382" xr:uid="{00000000-0005-0000-0000-000066050000}"/>
    <cellStyle name="콤마 [금액]" xfId="1383" xr:uid="{00000000-0005-0000-0000-000067050000}"/>
    <cellStyle name="콤마 [소수]" xfId="1384" xr:uid="{00000000-0005-0000-0000-000068050000}"/>
    <cellStyle name="콤마 [소수] 2" xfId="2417" xr:uid="{00000000-0005-0000-0000-000071090000}"/>
    <cellStyle name="콤마 [수량]" xfId="1385" xr:uid="{00000000-0005-0000-0000-000069050000}"/>
    <cellStyle name="콤마 [수량] 2" xfId="2418" xr:uid="{00000000-0005-0000-0000-000072090000}"/>
    <cellStyle name="콤마[ ]" xfId="1386" xr:uid="{00000000-0005-0000-0000-00006A050000}"/>
    <cellStyle name="콤마[*]" xfId="1387" xr:uid="{00000000-0005-0000-0000-00006B050000}"/>
    <cellStyle name="콤마[.]" xfId="1388" xr:uid="{00000000-0005-0000-0000-00006C050000}"/>
    <cellStyle name="콤마[0]" xfId="1389" xr:uid="{00000000-0005-0000-0000-00006D050000}"/>
    <cellStyle name="콤마_   1997   " xfId="1390" xr:uid="{00000000-0005-0000-0000-00006E050000}"/>
    <cellStyle name="통" xfId="1391" xr:uid="{00000000-0005-0000-0000-00006F050000}"/>
    <cellStyle name="통 2" xfId="2419" xr:uid="{00000000-0005-0000-0000-000073090000}"/>
    <cellStyle name="통_3.우수" xfId="1392" xr:uid="{00000000-0005-0000-0000-000070050000}"/>
    <cellStyle name="통_3.우수_1" xfId="1393" xr:uid="{00000000-0005-0000-0000-000071050000}"/>
    <cellStyle name="통_4.오수" xfId="1394" xr:uid="{00000000-0005-0000-0000-000072050000}"/>
    <cellStyle name="통_거성토건도급계약내역(신일중고)" xfId="1395" xr:uid="{00000000-0005-0000-0000-000073050000}"/>
    <cellStyle name="통_거성토건도급계약내역(신일중고) 2" xfId="2420" xr:uid="{00000000-0005-0000-0000-000074090000}"/>
    <cellStyle name="통_도로" xfId="1396" xr:uid="{00000000-0005-0000-0000-000074050000}"/>
    <cellStyle name="통_부대초안" xfId="1397" xr:uid="{00000000-0005-0000-0000-000075050000}"/>
    <cellStyle name="통_부대초안 2" xfId="2421" xr:uid="{00000000-0005-0000-0000-000075090000}"/>
    <cellStyle name="통_부대초안_견적의뢰" xfId="1398" xr:uid="{00000000-0005-0000-0000-000076050000}"/>
    <cellStyle name="통_부대초안_견적의뢰 2" xfId="2422" xr:uid="{00000000-0005-0000-0000-000076090000}"/>
    <cellStyle name="통_부대초안_김포투찰" xfId="1399" xr:uid="{00000000-0005-0000-0000-000077050000}"/>
    <cellStyle name="통_부대초안_김포투찰_견적의뢰" xfId="1400" xr:uid="{00000000-0005-0000-0000-000078050000}"/>
    <cellStyle name="통_부대초안_김포투찰_견적의뢰 2" xfId="2423" xr:uid="{00000000-0005-0000-0000-000077090000}"/>
    <cellStyle name="통_실행예산" xfId="1401" xr:uid="{00000000-0005-0000-0000-000079050000}"/>
    <cellStyle name="통_토목내역서" xfId="1402" xr:uid="{00000000-0005-0000-0000-00007A050000}"/>
    <cellStyle name="통_토목내역서 2" xfId="2424" xr:uid="{00000000-0005-0000-0000-000078090000}"/>
    <cellStyle name="통_토목내역서_도로" xfId="1403" xr:uid="{00000000-0005-0000-0000-00007B050000}"/>
    <cellStyle name="통_토목내역서_부대초안" xfId="1404" xr:uid="{00000000-0005-0000-0000-00007C050000}"/>
    <cellStyle name="통_토목내역서_부대초안 2" xfId="2425" xr:uid="{00000000-0005-0000-0000-000079090000}"/>
    <cellStyle name="통_토목내역서_부대초안_견적의뢰" xfId="1405" xr:uid="{00000000-0005-0000-0000-00007D050000}"/>
    <cellStyle name="통_토목내역서_부대초안_견적의뢰 2" xfId="2426" xr:uid="{00000000-0005-0000-0000-00007A090000}"/>
    <cellStyle name="통_토목내역서_부대초안_김포투찰" xfId="1406" xr:uid="{00000000-0005-0000-0000-00007E050000}"/>
    <cellStyle name="통_토목내역서_부대초안_김포투찰_견적의뢰" xfId="1407" xr:uid="{00000000-0005-0000-0000-00007F050000}"/>
    <cellStyle name="통_토목내역서_부대초안_김포투찰_견적의뢰 2" xfId="2427" xr:uid="{00000000-0005-0000-0000-00007B090000}"/>
    <cellStyle name="통화 [" xfId="1408" xr:uid="{00000000-0005-0000-0000-000080050000}"/>
    <cellStyle name="통화 [ 2" xfId="2428" xr:uid="{00000000-0005-0000-0000-00007C090000}"/>
    <cellStyle name="통화 [0] 2" xfId="1409" xr:uid="{00000000-0005-0000-0000-000081050000}"/>
    <cellStyle name="통화 [0] 2 2" xfId="2429" xr:uid="{00000000-0005-0000-0000-00007D090000}"/>
    <cellStyle name="통화 [0] 3" xfId="1410" xr:uid="{00000000-0005-0000-0000-000082050000}"/>
    <cellStyle name="통화 [0] 3 2" xfId="2430" xr:uid="{00000000-0005-0000-0000-00007E090000}"/>
    <cellStyle name="퍼센트" xfId="1411" xr:uid="{00000000-0005-0000-0000-000083050000}"/>
    <cellStyle name="표" xfId="1412" xr:uid="{00000000-0005-0000-0000-000084050000}"/>
    <cellStyle name="표 2" xfId="2431" xr:uid="{00000000-0005-0000-0000-00007F090000}"/>
    <cellStyle name="표_3.우수" xfId="1413" xr:uid="{00000000-0005-0000-0000-000085050000}"/>
    <cellStyle name="표_3.우수_1" xfId="1414" xr:uid="{00000000-0005-0000-0000-000086050000}"/>
    <cellStyle name="표_4.오수" xfId="1415" xr:uid="{00000000-0005-0000-0000-000087050000}"/>
    <cellStyle name="표_거성토건도급계약내역(신일중고)" xfId="1416" xr:uid="{00000000-0005-0000-0000-000088050000}"/>
    <cellStyle name="표_거성토건도급계약내역(신일중고) 2" xfId="2432" xr:uid="{00000000-0005-0000-0000-000080090000}"/>
    <cellStyle name="표_도로" xfId="1417" xr:uid="{00000000-0005-0000-0000-000089050000}"/>
    <cellStyle name="표_부대초안" xfId="1418" xr:uid="{00000000-0005-0000-0000-00008A050000}"/>
    <cellStyle name="표_부대초안 2" xfId="2433" xr:uid="{00000000-0005-0000-0000-000081090000}"/>
    <cellStyle name="표_부대초안_견적의뢰" xfId="1419" xr:uid="{00000000-0005-0000-0000-00008B050000}"/>
    <cellStyle name="표_부대초안_견적의뢰 2" xfId="2434" xr:uid="{00000000-0005-0000-0000-000082090000}"/>
    <cellStyle name="표_부대초안_김포투찰" xfId="1420" xr:uid="{00000000-0005-0000-0000-00008C050000}"/>
    <cellStyle name="표_부대초안_김포투찰_견적의뢰" xfId="1421" xr:uid="{00000000-0005-0000-0000-00008D050000}"/>
    <cellStyle name="표_부대초안_김포투찰_견적의뢰 2" xfId="2435" xr:uid="{00000000-0005-0000-0000-000083090000}"/>
    <cellStyle name="표_실행예산" xfId="1422" xr:uid="{00000000-0005-0000-0000-00008E050000}"/>
    <cellStyle name="표_토목내역서" xfId="1423" xr:uid="{00000000-0005-0000-0000-00008F050000}"/>
    <cellStyle name="표_토목내역서 2" xfId="2436" xr:uid="{00000000-0005-0000-0000-000084090000}"/>
    <cellStyle name="표_토목내역서_도로" xfId="1424" xr:uid="{00000000-0005-0000-0000-000090050000}"/>
    <cellStyle name="표_토목내역서_부대초안" xfId="1425" xr:uid="{00000000-0005-0000-0000-000091050000}"/>
    <cellStyle name="표_토목내역서_부대초안 2" xfId="2437" xr:uid="{00000000-0005-0000-0000-000085090000}"/>
    <cellStyle name="표_토목내역서_부대초안_견적의뢰" xfId="1426" xr:uid="{00000000-0005-0000-0000-000092050000}"/>
    <cellStyle name="표_토목내역서_부대초안_견적의뢰 2" xfId="2438" xr:uid="{00000000-0005-0000-0000-000086090000}"/>
    <cellStyle name="표_토목내역서_부대초안_김포투찰" xfId="1427" xr:uid="{00000000-0005-0000-0000-000093050000}"/>
    <cellStyle name="표_토목내역서_부대초안_김포투찰_견적의뢰" xfId="1428" xr:uid="{00000000-0005-0000-0000-000094050000}"/>
    <cellStyle name="표_토목내역서_부대초안_김포투찰_견적의뢰 2" xfId="2439" xr:uid="{00000000-0005-0000-0000-000087090000}"/>
    <cellStyle name="표준" xfId="0" builtinId="0"/>
    <cellStyle name="표준 10" xfId="1429" xr:uid="{00000000-0005-0000-0000-000095050000}"/>
    <cellStyle name="표준 10 2" xfId="2440" xr:uid="{00000000-0005-0000-0000-000088090000}"/>
    <cellStyle name="표준 11" xfId="1430" xr:uid="{00000000-0005-0000-0000-000096050000}"/>
    <cellStyle name="표준 11 2" xfId="2441" xr:uid="{00000000-0005-0000-0000-000089090000}"/>
    <cellStyle name="표준 12" xfId="1431" xr:uid="{00000000-0005-0000-0000-000097050000}"/>
    <cellStyle name="표준 13" xfId="1432" xr:uid="{00000000-0005-0000-0000-000098050000}"/>
    <cellStyle name="표준 13 2" xfId="2442" xr:uid="{00000000-0005-0000-0000-00008A090000}"/>
    <cellStyle name="표준 14" xfId="1433" xr:uid="{00000000-0005-0000-0000-000099050000}"/>
    <cellStyle name="표준 14 2" xfId="2443" xr:uid="{00000000-0005-0000-0000-00008B090000}"/>
    <cellStyle name="표준 15" xfId="1434" xr:uid="{00000000-0005-0000-0000-00009A050000}"/>
    <cellStyle name="표준 15 2" xfId="2444" xr:uid="{00000000-0005-0000-0000-00008C090000}"/>
    <cellStyle name="표준 16" xfId="1435" xr:uid="{00000000-0005-0000-0000-00009B050000}"/>
    <cellStyle name="표준 16 2" xfId="2445" xr:uid="{00000000-0005-0000-0000-00008D090000}"/>
    <cellStyle name="표준 17" xfId="1469" xr:uid="{00000000-0005-0000-0000-0000BD050000}"/>
    <cellStyle name="표준 18" xfId="1472" xr:uid="{00000000-0005-0000-0000-0000C0050000}"/>
    <cellStyle name="표준 18 2" xfId="2464" xr:uid="{00000000-0005-0000-0000-0000A0090000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2 2" xfId="2447" xr:uid="{00000000-0005-0000-0000-00008F090000}"/>
    <cellStyle name="표준 2 2 3" xfId="1439" xr:uid="{00000000-0005-0000-0000-00009F050000}"/>
    <cellStyle name="표준 2 2 3 2" xfId="2448" xr:uid="{00000000-0005-0000-0000-000090090000}"/>
    <cellStyle name="표준 2 2 4" xfId="2446" xr:uid="{00000000-0005-0000-0000-00008E090000}"/>
    <cellStyle name="표준 2 3" xfId="1440" xr:uid="{00000000-0005-0000-0000-0000A0050000}"/>
    <cellStyle name="표준 2 3 2" xfId="2449" xr:uid="{00000000-0005-0000-0000-000091090000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2 2 2" xfId="2452" xr:uid="{00000000-0005-0000-0000-000094090000}"/>
    <cellStyle name="표준 3 2 3" xfId="2451" xr:uid="{00000000-0005-0000-0000-000093090000}"/>
    <cellStyle name="표준 3 3" xfId="1447" xr:uid="{00000000-0005-0000-0000-0000A7050000}"/>
    <cellStyle name="표준 3 4" xfId="1448" xr:uid="{00000000-0005-0000-0000-0000A8050000}"/>
    <cellStyle name="표준 3 5" xfId="2450" xr:uid="{00000000-0005-0000-0000-000092090000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2 2" xfId="2454" xr:uid="{00000000-0005-0000-0000-000096090000}"/>
    <cellStyle name="표준 4 3" xfId="1452" xr:uid="{00000000-0005-0000-0000-0000AC050000}"/>
    <cellStyle name="표준 4 4" xfId="1453" xr:uid="{00000000-0005-0000-0000-0000AD050000}"/>
    <cellStyle name="표준 4 5" xfId="2453" xr:uid="{00000000-0005-0000-0000-000095090000}"/>
    <cellStyle name="표준 5" xfId="1454" xr:uid="{00000000-0005-0000-0000-0000AE050000}"/>
    <cellStyle name="표준 5 2" xfId="1455" xr:uid="{00000000-0005-0000-0000-0000AF050000}"/>
    <cellStyle name="표준 5 2 2" xfId="2456" xr:uid="{00000000-0005-0000-0000-000098090000}"/>
    <cellStyle name="표준 5 3" xfId="1456" xr:uid="{00000000-0005-0000-0000-0000B0050000}"/>
    <cellStyle name="표준 5 4" xfId="2455" xr:uid="{00000000-0005-0000-0000-000097090000}"/>
    <cellStyle name="표준 6" xfId="1457" xr:uid="{00000000-0005-0000-0000-0000B1050000}"/>
    <cellStyle name="표준 6 2" xfId="1458" xr:uid="{00000000-0005-0000-0000-0000B2050000}"/>
    <cellStyle name="표준 6 2 2" xfId="2458" xr:uid="{00000000-0005-0000-0000-00009A090000}"/>
    <cellStyle name="표준 6 3" xfId="2457" xr:uid="{00000000-0005-0000-0000-000099090000}"/>
    <cellStyle name="표준 7" xfId="1459" xr:uid="{00000000-0005-0000-0000-0000B3050000}"/>
    <cellStyle name="표준 7 2" xfId="1460" xr:uid="{00000000-0005-0000-0000-0000B4050000}"/>
    <cellStyle name="표준 7 2 2" xfId="2460" xr:uid="{00000000-0005-0000-0000-00009C090000}"/>
    <cellStyle name="표준 7 3" xfId="1474" xr:uid="{00000000-0005-0000-0000-0000C2050000}"/>
    <cellStyle name="표준 7 4" xfId="2459" xr:uid="{00000000-0005-0000-0000-00009B090000}"/>
    <cellStyle name="표준 8" xfId="1461" xr:uid="{00000000-0005-0000-0000-0000B5050000}"/>
    <cellStyle name="표준 8 2" xfId="1462" xr:uid="{00000000-0005-0000-0000-0000B6050000}"/>
    <cellStyle name="표준 8 2 2" xfId="2462" xr:uid="{00000000-0005-0000-0000-00009E090000}"/>
    <cellStyle name="표준 8 3" xfId="2461" xr:uid="{00000000-0005-0000-0000-00009D090000}"/>
    <cellStyle name="표준 9" xfId="1463" xr:uid="{00000000-0005-0000-0000-0000B7050000}"/>
    <cellStyle name="標準_Akia(F）-8" xfId="1464" xr:uid="{00000000-0005-0000-0000-0000B8050000}"/>
    <cellStyle name="하이퍼링크 2" xfId="1476" xr:uid="{00000000-0005-0000-0000-0000C4050000}"/>
    <cellStyle name="합산" xfId="1465" xr:uid="{00000000-0005-0000-0000-0000B9050000}"/>
    <cellStyle name="화폐기호" xfId="1466" xr:uid="{00000000-0005-0000-0000-0000BA050000}"/>
    <cellStyle name="화폐기호0" xfId="1467" xr:uid="{00000000-0005-0000-0000-0000BB050000}"/>
    <cellStyle name="ㅣ" xfId="1468" xr:uid="{00000000-0005-0000-0000-0000BC05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64190</xdr:colOff>
      <xdr:row>20</xdr:row>
      <xdr:rowOff>9525</xdr:rowOff>
    </xdr:from>
    <xdr:to>
      <xdr:col>6</xdr:col>
      <xdr:colOff>649640</xdr:colOff>
      <xdr:row>21</xdr:row>
      <xdr:rowOff>301875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78740" y="7629525"/>
          <a:ext cx="2700000" cy="5400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1714</xdr:colOff>
      <xdr:row>0</xdr:row>
      <xdr:rowOff>117100</xdr:rowOff>
    </xdr:from>
    <xdr:to>
      <xdr:col>9</xdr:col>
      <xdr:colOff>695433</xdr:colOff>
      <xdr:row>2</xdr:row>
      <xdr:rowOff>19708</xdr:rowOff>
    </xdr:to>
    <xdr:pic>
      <xdr:nvPicPr>
        <xdr:cNvPr id="3" name="그림 2" descr="맑은 파란 하늘을 배경으로 하는 건물 외관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4" y="117100"/>
          <a:ext cx="7019633" cy="66460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488156</xdr:colOff>
      <xdr:row>4</xdr:row>
      <xdr:rowOff>11906</xdr:rowOff>
    </xdr:from>
    <xdr:to>
      <xdr:col>27</xdr:col>
      <xdr:colOff>0</xdr:colOff>
      <xdr:row>6</xdr:row>
      <xdr:rowOff>214312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4097" y="2096200"/>
          <a:ext cx="4151079" cy="95320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24</xdr:col>
      <xdr:colOff>495085</xdr:colOff>
      <xdr:row>6</xdr:row>
      <xdr:rowOff>229228</xdr:rowOff>
    </xdr:from>
    <xdr:to>
      <xdr:col>27</xdr:col>
      <xdr:colOff>75676</xdr:colOff>
      <xdr:row>9</xdr:row>
      <xdr:rowOff>261478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1631" t="20458" r="18715" b="25296"/>
        <a:stretch>
          <a:fillRect/>
        </a:stretch>
      </xdr:blipFill>
      <xdr:spPr>
        <a:xfrm>
          <a:off x="10333049" y="2869014"/>
          <a:ext cx="1063770" cy="108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35</xdr:row>
      <xdr:rowOff>32755</xdr:rowOff>
    </xdr:from>
    <xdr:to>
      <xdr:col>6</xdr:col>
      <xdr:colOff>1024575</xdr:colOff>
      <xdr:row>1048576</xdr:row>
      <xdr:rowOff>11755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09850" y="990065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35</xdr:row>
      <xdr:rowOff>38100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35</xdr:row>
      <xdr:rowOff>38100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"/>
  <sheetViews>
    <sheetView zoomScaleNormal="7" zoomScaleSheetLayoutView="4" workbookViewId="0"/>
  </sheetViews>
  <sheetFormatPr defaultRowHeight="13.5"/>
  <sheetData/>
  <phoneticPr fontId="2" type="noConversion"/>
  <pageMargins left="0.2" right="0.2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pageSetUpPr fitToPage="1"/>
  </sheetPr>
  <dimension ref="A1:J35"/>
  <sheetViews>
    <sheetView showGridLines="0" tabSelected="1" zoomScaleNormal="100" zoomScaleSheetLayoutView="145" workbookViewId="0">
      <selection activeCell="A10" sqref="A10:E10"/>
    </sheetView>
  </sheetViews>
  <sheetFormatPr defaultColWidth="0" defaultRowHeight="30" customHeight="1" zeroHeight="1"/>
  <cols>
    <col min="1" max="10" width="8.21875" customWidth="1"/>
    <col min="11" max="11" width="8.88671875" hidden="1" customWidth="1"/>
    <col min="12" max="16384" width="8.88671875" hidden="1"/>
  </cols>
  <sheetData>
    <row r="1" spans="1:10" ht="30" customHeight="1"/>
    <row r="2" spans="1:10" ht="30" customHeight="1"/>
    <row r="3" spans="1:10" ht="30" customHeight="1">
      <c r="A3" s="345" t="s">
        <v>0</v>
      </c>
      <c r="B3" s="342"/>
      <c r="C3" s="342"/>
      <c r="D3" s="342"/>
      <c r="E3" s="342"/>
      <c r="F3" s="342"/>
      <c r="G3" s="342"/>
      <c r="H3" s="342"/>
      <c r="I3" s="342"/>
      <c r="J3" s="342"/>
    </row>
    <row r="4" spans="1:10" ht="30" customHeight="1">
      <c r="A4" s="342"/>
      <c r="B4" s="342"/>
      <c r="C4" s="342"/>
      <c r="D4" s="342"/>
      <c r="E4" s="342"/>
      <c r="F4" s="342"/>
      <c r="G4" s="342"/>
      <c r="H4" s="342"/>
      <c r="I4" s="342"/>
      <c r="J4" s="342"/>
    </row>
    <row r="5" spans="1:10" ht="30" customHeight="1">
      <c r="A5" s="342"/>
      <c r="B5" s="342"/>
      <c r="C5" s="342"/>
      <c r="D5" s="342"/>
      <c r="E5" s="342"/>
      <c r="F5" s="342"/>
      <c r="G5" s="342"/>
      <c r="H5" s="342"/>
      <c r="I5" s="342"/>
      <c r="J5" s="342"/>
    </row>
    <row r="6" spans="1:10" ht="30" customHeight="1">
      <c r="A6" s="341" t="s">
        <v>1</v>
      </c>
      <c r="B6" s="342"/>
      <c r="C6" s="342"/>
      <c r="D6" s="342"/>
      <c r="E6" s="342"/>
      <c r="F6" s="342"/>
      <c r="G6" s="342"/>
      <c r="H6" s="342"/>
      <c r="I6" s="342"/>
      <c r="J6" s="342"/>
    </row>
    <row r="7" spans="1:10" ht="30" customHeight="1">
      <c r="A7" s="344" t="s">
        <v>2</v>
      </c>
      <c r="B7" s="342"/>
      <c r="C7" s="342"/>
      <c r="D7" s="342"/>
      <c r="E7" s="342"/>
      <c r="F7" s="342"/>
      <c r="G7" s="342"/>
      <c r="H7" s="342"/>
      <c r="I7" s="342"/>
      <c r="J7" s="342"/>
    </row>
    <row r="8" spans="1:10" ht="30" customHeight="1">
      <c r="A8" s="79"/>
      <c r="B8" s="79"/>
      <c r="C8" s="79"/>
      <c r="D8" s="79"/>
      <c r="E8" s="79"/>
      <c r="F8" s="79"/>
      <c r="G8" s="79"/>
      <c r="H8" s="79"/>
      <c r="I8" s="79"/>
      <c r="J8" s="79"/>
    </row>
    <row r="9" spans="1:10" ht="30" customHeight="1">
      <c r="A9" s="79"/>
      <c r="B9" s="79"/>
      <c r="C9" s="79"/>
      <c r="D9" s="79"/>
      <c r="E9" s="79"/>
      <c r="F9" s="79"/>
      <c r="G9" s="79"/>
      <c r="H9" s="79"/>
      <c r="I9" s="79"/>
      <c r="J9" s="79"/>
    </row>
    <row r="10" spans="1:10" ht="30" customHeight="1">
      <c r="A10" s="531" t="s">
        <v>16</v>
      </c>
      <c r="B10" s="531"/>
      <c r="C10" s="531"/>
      <c r="D10" s="531"/>
      <c r="E10" s="531"/>
      <c r="F10" s="532"/>
      <c r="G10" s="532"/>
      <c r="H10" s="532"/>
      <c r="I10" s="532"/>
      <c r="J10" s="532"/>
    </row>
    <row r="11" spans="1:10" ht="30" customHeight="1">
      <c r="A11" s="79"/>
      <c r="B11" s="79"/>
      <c r="C11" s="79"/>
      <c r="D11" s="79"/>
      <c r="E11" s="79"/>
      <c r="F11" s="79"/>
      <c r="G11" s="79"/>
      <c r="H11" s="79"/>
      <c r="I11" s="79"/>
      <c r="J11" s="79"/>
    </row>
    <row r="12" spans="1:10" ht="30" customHeight="1">
      <c r="A12" s="79"/>
      <c r="B12" s="79"/>
      <c r="C12" s="79"/>
      <c r="D12" s="79"/>
      <c r="E12" s="79"/>
      <c r="F12" s="79"/>
      <c r="G12" s="79"/>
      <c r="H12" s="79"/>
      <c r="I12" s="79"/>
      <c r="J12" s="79"/>
    </row>
    <row r="13" spans="1:10" ht="30" customHeight="1">
      <c r="A13" s="79"/>
      <c r="B13" s="79"/>
      <c r="C13" s="79"/>
      <c r="D13" s="79"/>
      <c r="E13" s="79"/>
      <c r="F13" s="79"/>
      <c r="G13" s="79"/>
      <c r="H13" s="79"/>
      <c r="I13" s="79"/>
      <c r="J13" s="79"/>
    </row>
    <row r="14" spans="1:10" ht="30" customHeight="1">
      <c r="A14" s="79"/>
      <c r="B14" s="79"/>
      <c r="C14" s="79"/>
      <c r="D14" s="79"/>
      <c r="E14" s="79"/>
      <c r="F14" s="79"/>
      <c r="G14" s="79"/>
      <c r="H14" s="79"/>
      <c r="I14" s="79"/>
      <c r="J14" s="79"/>
    </row>
    <row r="15" spans="1:10" ht="30" customHeight="1">
      <c r="A15" s="79"/>
      <c r="B15" s="79"/>
      <c r="C15" s="79"/>
      <c r="D15" s="79"/>
      <c r="E15" s="79"/>
      <c r="F15" s="79"/>
      <c r="G15" s="79"/>
      <c r="H15" s="79"/>
      <c r="I15" s="79"/>
      <c r="J15" s="79"/>
    </row>
    <row r="16" spans="1:10" ht="30" customHeight="1">
      <c r="A16" s="79"/>
      <c r="B16" s="79"/>
      <c r="C16" s="79"/>
      <c r="D16" s="79"/>
      <c r="E16" s="79"/>
      <c r="F16" s="79"/>
      <c r="G16" s="79"/>
      <c r="H16" s="79"/>
      <c r="I16" s="79"/>
      <c r="J16" s="79"/>
    </row>
    <row r="17" spans="1:10" ht="30" customHeight="1"/>
    <row r="18" spans="1:10" ht="30" customHeight="1">
      <c r="A18" s="343">
        <f ca="1">TODAY()</f>
        <v>46104</v>
      </c>
      <c r="B18" s="342"/>
      <c r="C18" s="342"/>
      <c r="D18" s="342"/>
      <c r="E18" s="342"/>
      <c r="F18" s="342"/>
      <c r="G18" s="342"/>
      <c r="H18" s="342"/>
      <c r="I18" s="342"/>
      <c r="J18" s="342"/>
    </row>
    <row r="19" spans="1:10" ht="24" customHeight="1"/>
    <row r="20" spans="1:10" ht="30" customHeight="1"/>
    <row r="21" spans="1:10" ht="20.100000000000001" customHeight="1"/>
    <row r="22" spans="1:10" ht="24.95" customHeight="1"/>
    <row r="23" spans="1:10" ht="9.9499999999999993" customHeight="1">
      <c r="A23" s="81"/>
      <c r="B23" s="81"/>
      <c r="C23" s="81"/>
      <c r="D23" s="81"/>
      <c r="E23" s="81"/>
      <c r="F23" s="81"/>
      <c r="G23" s="81"/>
      <c r="H23" s="81"/>
      <c r="I23" s="81"/>
      <c r="J23" s="81"/>
    </row>
    <row r="24" spans="1:10" s="80" customFormat="1" ht="17.100000000000001" customHeight="1">
      <c r="A24" s="197" t="s">
        <v>3</v>
      </c>
      <c r="B24" s="81"/>
      <c r="C24" s="81"/>
      <c r="D24" s="81"/>
      <c r="E24" s="81"/>
      <c r="F24" s="81"/>
      <c r="G24" s="81"/>
      <c r="H24" s="81"/>
      <c r="I24" s="81"/>
      <c r="J24" s="81"/>
    </row>
    <row r="25" spans="1:10" s="80" customFormat="1" ht="17.100000000000001" customHeight="1">
      <c r="A25" s="339" t="s">
        <v>4</v>
      </c>
      <c r="B25" s="340"/>
      <c r="C25" s="340"/>
      <c r="D25" s="340"/>
      <c r="E25" s="340"/>
      <c r="F25" s="340"/>
      <c r="G25" s="340"/>
      <c r="H25" s="195"/>
      <c r="I25" s="195"/>
      <c r="J25" s="196" t="s">
        <v>5</v>
      </c>
    </row>
    <row r="26" spans="1:10" s="80" customFormat="1" ht="17.100000000000001" customHeight="1">
      <c r="A26" s="339" t="s">
        <v>6</v>
      </c>
      <c r="B26" s="340"/>
      <c r="C26" s="340"/>
      <c r="D26" s="340"/>
      <c r="E26" s="340"/>
      <c r="F26" s="340"/>
      <c r="G26" s="340"/>
      <c r="H26" s="195"/>
      <c r="I26" s="195"/>
      <c r="J26" s="196" t="s">
        <v>7</v>
      </c>
    </row>
    <row r="27" spans="1:10" s="80" customFormat="1" ht="13.5" customHeight="1">
      <c r="A27" s="339" t="s">
        <v>8</v>
      </c>
      <c r="B27" s="340"/>
      <c r="C27" s="340"/>
      <c r="D27" s="340"/>
      <c r="E27" s="340"/>
      <c r="F27" s="340"/>
      <c r="G27" s="340"/>
      <c r="H27" s="195"/>
      <c r="I27" s="195"/>
      <c r="J27" s="196" t="s">
        <v>9</v>
      </c>
    </row>
    <row r="28" spans="1:10" ht="13.5" customHeight="1">
      <c r="A28" s="81"/>
      <c r="B28" s="81"/>
      <c r="C28" s="81"/>
      <c r="D28" s="81"/>
      <c r="E28" s="81"/>
      <c r="F28" s="81"/>
      <c r="G28" s="81"/>
      <c r="H28" s="81"/>
      <c r="I28" s="81"/>
      <c r="J28" s="81"/>
    </row>
    <row r="29" spans="1:10" ht="13.5" hidden="1" customHeight="1"/>
    <row r="30" spans="1:10" ht="13.5" hidden="1" customHeight="1"/>
    <row r="31" spans="1:10" ht="13.5" hidden="1" customHeight="1"/>
    <row r="32" spans="1:10" ht="13.5" hidden="1" customHeight="1"/>
    <row r="33" ht="13.5" hidden="1" customHeight="1"/>
    <row r="34" ht="13.5" hidden="1" customHeight="1"/>
    <row r="35" ht="34.5" hidden="1" customHeight="1"/>
  </sheetData>
  <mergeCells count="9">
    <mergeCell ref="A3:J5"/>
    <mergeCell ref="A25:G25"/>
    <mergeCell ref="A10:E10"/>
    <mergeCell ref="F10:J10"/>
    <mergeCell ref="A27:G27"/>
    <mergeCell ref="A6:J6"/>
    <mergeCell ref="A18:J18"/>
    <mergeCell ref="A26:G26"/>
    <mergeCell ref="A7:J7"/>
  </mergeCells>
  <phoneticPr fontId="2" type="noConversion"/>
  <printOptions horizontalCentered="1"/>
  <pageMargins left="0.2" right="0.2" top="0.70866141732283472" bottom="0.70866141732283472" header="0.31496062992125978" footer="0.31496062992125978"/>
  <pageSetup paperSize="9"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8"/>
    <pageSetUpPr fitToPage="1"/>
  </sheetPr>
  <dimension ref="A1:AL36"/>
  <sheetViews>
    <sheetView showGridLines="0" showZeros="0" zoomScale="70" zoomScaleNormal="70" zoomScaleSheetLayoutView="85" zoomScalePageLayoutView="55" workbookViewId="0"/>
  </sheetViews>
  <sheetFormatPr defaultColWidth="0" defaultRowHeight="13.5" zeroHeight="1"/>
  <cols>
    <col min="1" max="1" width="2.77734375" style="4" customWidth="1"/>
    <col min="2" max="2" width="0.88671875" style="4" customWidth="1"/>
    <col min="3" max="3" width="5.77734375" style="4" customWidth="1"/>
    <col min="4" max="5" width="5.6640625" style="4" customWidth="1"/>
    <col min="6" max="6" width="5.44140625" style="4" customWidth="1"/>
    <col min="7" max="17" width="4.77734375" style="4" customWidth="1"/>
    <col min="18" max="19" width="5.88671875" style="4" customWidth="1"/>
    <col min="20" max="23" width="4.77734375" style="4" customWidth="1"/>
    <col min="24" max="25" width="5.88671875" style="4" customWidth="1"/>
    <col min="26" max="26" width="8.5546875" style="4" customWidth="1"/>
    <col min="27" max="28" width="2.77734375" style="4" customWidth="1"/>
    <col min="29" max="36" width="8.88671875" style="4" hidden="1" customWidth="1"/>
    <col min="37" max="38" width="0" style="4" hidden="1" customWidth="1"/>
    <col min="39" max="39" width="8.88671875" style="4" hidden="1" customWidth="1"/>
    <col min="40" max="16384" width="8.88671875" style="4" hidden="1"/>
  </cols>
  <sheetData>
    <row r="1" spans="1:28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28" s="6" customFormat="1" ht="48.75" customHeight="1">
      <c r="A2" s="359" t="s">
        <v>10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  <c r="V2" s="360"/>
      <c r="W2" s="360"/>
      <c r="X2" s="360"/>
      <c r="Y2" s="360"/>
      <c r="Z2" s="360"/>
      <c r="AA2" s="360"/>
      <c r="AB2" s="5"/>
    </row>
    <row r="3" spans="1:28" s="6" customFormat="1" ht="39.75" customHeight="1">
      <c r="A3" s="376" t="s">
        <v>11</v>
      </c>
      <c r="B3" s="360"/>
      <c r="C3" s="360"/>
      <c r="D3" s="360"/>
      <c r="E3" s="360"/>
      <c r="F3" s="360"/>
      <c r="G3" s="360"/>
      <c r="H3" s="360"/>
      <c r="I3" s="360"/>
      <c r="J3" s="360"/>
      <c r="K3" s="360"/>
      <c r="L3" s="360"/>
      <c r="M3" s="360"/>
      <c r="N3" s="360"/>
      <c r="O3" s="360"/>
      <c r="P3" s="360"/>
      <c r="Q3" s="360"/>
      <c r="R3" s="360"/>
      <c r="S3" s="360"/>
      <c r="T3" s="360"/>
      <c r="U3" s="360"/>
      <c r="V3" s="360"/>
      <c r="W3" s="360"/>
      <c r="X3" s="360"/>
      <c r="Y3" s="360"/>
      <c r="Z3" s="360"/>
      <c r="AA3" s="360"/>
      <c r="AB3" s="377"/>
    </row>
    <row r="4" spans="1:28" s="6" customFormat="1" ht="30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370"/>
      <c r="T4" s="360"/>
      <c r="U4" s="360"/>
      <c r="V4" s="360"/>
      <c r="W4" s="360"/>
      <c r="X4" s="360"/>
      <c r="Y4" s="360"/>
      <c r="Z4" s="360"/>
      <c r="AA4" s="360"/>
      <c r="AB4" s="9"/>
    </row>
    <row r="5" spans="1:28" s="6" customFormat="1" ht="39.75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63"/>
      <c r="T5" s="63"/>
      <c r="U5" s="63"/>
      <c r="V5" s="63"/>
      <c r="W5" s="63"/>
      <c r="X5" s="63"/>
      <c r="Y5" s="63"/>
      <c r="Z5" s="63"/>
      <c r="AA5" s="63"/>
      <c r="AB5" s="9"/>
    </row>
    <row r="6" spans="1:28" s="6" customFormat="1" ht="20.100000000000001" customHeight="1">
      <c r="A6" s="10"/>
      <c r="C6" s="232"/>
      <c r="D6" s="232"/>
      <c r="E6" s="232"/>
      <c r="F6" s="232"/>
      <c r="G6" s="232"/>
      <c r="H6" s="232"/>
      <c r="I6" s="232"/>
      <c r="J6" s="232"/>
      <c r="K6" s="232"/>
      <c r="L6" s="232"/>
      <c r="M6" s="233"/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  <c r="Y6" s="233"/>
      <c r="Z6" s="233"/>
      <c r="AA6" s="232"/>
      <c r="AB6" s="5"/>
    </row>
    <row r="7" spans="1:28" s="6" customFormat="1" ht="20.100000000000001" customHeight="1" thickBot="1">
      <c r="A7" s="10"/>
      <c r="C7" s="232"/>
      <c r="D7" s="232"/>
      <c r="E7" s="232"/>
      <c r="F7" s="232"/>
      <c r="G7" s="232"/>
      <c r="H7" s="232"/>
      <c r="I7" s="232"/>
      <c r="J7" s="232"/>
      <c r="K7" s="232"/>
      <c r="L7" s="232"/>
      <c r="M7" s="233"/>
      <c r="N7" s="233"/>
      <c r="O7" s="233"/>
      <c r="P7" s="233"/>
      <c r="Q7" s="233"/>
      <c r="R7" s="233"/>
      <c r="S7" s="233"/>
      <c r="T7" s="233"/>
      <c r="U7" s="233"/>
      <c r="V7" s="233"/>
      <c r="W7" s="233"/>
      <c r="X7" s="233"/>
      <c r="Y7" s="233"/>
      <c r="Z7" s="233"/>
      <c r="AA7" s="232"/>
      <c r="AB7" s="5"/>
    </row>
    <row r="8" spans="1:28" s="6" customFormat="1" ht="32.25" customHeight="1">
      <c r="A8" s="10"/>
      <c r="C8" s="219" t="s">
        <v>12</v>
      </c>
      <c r="D8" s="219"/>
      <c r="E8" s="388">
        <f ca="1">TODAY()</f>
        <v>46104</v>
      </c>
      <c r="F8" s="360"/>
      <c r="G8" s="360"/>
      <c r="H8" s="360"/>
      <c r="I8" s="360"/>
      <c r="J8" s="360"/>
      <c r="K8" s="360"/>
      <c r="L8" s="375"/>
      <c r="M8" s="411" t="s">
        <v>13</v>
      </c>
      <c r="N8" s="384" t="s">
        <v>14</v>
      </c>
      <c r="O8" s="385"/>
      <c r="P8" s="386"/>
      <c r="Q8" s="414" t="s">
        <v>15</v>
      </c>
      <c r="R8" s="385"/>
      <c r="S8" s="385"/>
      <c r="T8" s="385"/>
      <c r="U8" s="385"/>
      <c r="V8" s="385"/>
      <c r="W8" s="385"/>
      <c r="X8" s="385"/>
      <c r="Y8" s="385"/>
      <c r="Z8" s="385"/>
      <c r="AA8" s="415"/>
      <c r="AB8" s="5"/>
    </row>
    <row r="9" spans="1:28" s="6" customFormat="1" ht="32.1" customHeight="1">
      <c r="A9" s="11"/>
      <c r="B9" s="220"/>
      <c r="C9" s="219" t="s">
        <v>16</v>
      </c>
      <c r="D9" s="219"/>
      <c r="E9" s="23"/>
      <c r="F9" s="219"/>
      <c r="G9" s="219"/>
      <c r="H9" s="219"/>
      <c r="I9" s="219"/>
      <c r="J9" s="219"/>
      <c r="K9" s="219"/>
      <c r="L9" s="148"/>
      <c r="M9" s="412"/>
      <c r="N9" s="361" t="s">
        <v>17</v>
      </c>
      <c r="O9" s="356"/>
      <c r="P9" s="362"/>
      <c r="Q9" s="379" t="s">
        <v>18</v>
      </c>
      <c r="R9" s="356"/>
      <c r="S9" s="356"/>
      <c r="T9" s="362"/>
      <c r="U9" s="361" t="s">
        <v>19</v>
      </c>
      <c r="V9" s="356"/>
      <c r="W9" s="362"/>
      <c r="X9" s="355" t="s">
        <v>20</v>
      </c>
      <c r="Y9" s="356"/>
      <c r="Z9" s="356"/>
      <c r="AA9" s="357"/>
      <c r="AB9" s="5"/>
    </row>
    <row r="10" spans="1:28" s="6" customFormat="1" ht="32.1" customHeight="1">
      <c r="A10" s="11"/>
      <c r="B10" s="220"/>
      <c r="C10" s="219" t="s">
        <v>21</v>
      </c>
      <c r="D10" s="219"/>
      <c r="E10" s="393" t="s">
        <v>22</v>
      </c>
      <c r="F10" s="360"/>
      <c r="G10" s="360"/>
      <c r="H10" s="360"/>
      <c r="I10" s="360"/>
      <c r="J10" s="360"/>
      <c r="K10" s="360"/>
      <c r="L10" s="375"/>
      <c r="M10" s="412"/>
      <c r="N10" s="361" t="s">
        <v>23</v>
      </c>
      <c r="O10" s="356"/>
      <c r="P10" s="362"/>
      <c r="Q10" s="418" t="s">
        <v>24</v>
      </c>
      <c r="R10" s="356"/>
      <c r="S10" s="356"/>
      <c r="T10" s="356"/>
      <c r="U10" s="356"/>
      <c r="V10" s="356"/>
      <c r="W10" s="356"/>
      <c r="X10" s="356"/>
      <c r="Y10" s="356"/>
      <c r="Z10" s="356"/>
      <c r="AA10" s="357"/>
      <c r="AB10" s="5"/>
    </row>
    <row r="11" spans="1:28" s="6" customFormat="1" ht="32.1" customHeight="1">
      <c r="A11" s="11"/>
      <c r="B11" s="220"/>
      <c r="C11" s="219" t="s">
        <v>25</v>
      </c>
      <c r="D11" s="221"/>
      <c r="E11" s="219"/>
      <c r="F11" s="406" t="s">
        <v>26</v>
      </c>
      <c r="G11" s="360"/>
      <c r="H11" s="360"/>
      <c r="I11" s="360"/>
      <c r="J11" s="360"/>
      <c r="K11" s="360"/>
      <c r="L11" s="375"/>
      <c r="M11" s="412"/>
      <c r="N11" s="361" t="s">
        <v>27</v>
      </c>
      <c r="O11" s="356"/>
      <c r="P11" s="362"/>
      <c r="Q11" s="379" t="s">
        <v>28</v>
      </c>
      <c r="R11" s="356"/>
      <c r="S11" s="356"/>
      <c r="T11" s="362"/>
      <c r="U11" s="361" t="s">
        <v>29</v>
      </c>
      <c r="V11" s="356"/>
      <c r="W11" s="362"/>
      <c r="X11" s="363" t="s">
        <v>30</v>
      </c>
      <c r="Y11" s="356"/>
      <c r="Z11" s="356"/>
      <c r="AA11" s="357"/>
      <c r="AB11" s="5"/>
    </row>
    <row r="12" spans="1:28" s="6" customFormat="1" ht="32.1" customHeight="1" thickBot="1">
      <c r="A12" s="11" t="s">
        <v>31</v>
      </c>
      <c r="B12" s="220"/>
      <c r="C12" s="374" t="s">
        <v>32</v>
      </c>
      <c r="D12" s="360"/>
      <c r="E12" s="360"/>
      <c r="F12" s="360"/>
      <c r="G12" s="360"/>
      <c r="H12" s="360"/>
      <c r="I12" s="360"/>
      <c r="J12" s="360"/>
      <c r="K12" s="360"/>
      <c r="L12" s="375"/>
      <c r="M12" s="413"/>
      <c r="N12" s="389" t="s">
        <v>33</v>
      </c>
      <c r="O12" s="390"/>
      <c r="P12" s="391"/>
      <c r="Q12" s="394"/>
      <c r="R12" s="390"/>
      <c r="S12" s="390"/>
      <c r="T12" s="391"/>
      <c r="U12" s="389" t="s">
        <v>34</v>
      </c>
      <c r="V12" s="390"/>
      <c r="W12" s="391"/>
      <c r="X12" s="416"/>
      <c r="Y12" s="390"/>
      <c r="Z12" s="390"/>
      <c r="AA12" s="417"/>
      <c r="AB12" s="5"/>
    </row>
    <row r="13" spans="1:28" s="6" customFormat="1" ht="20.100000000000001" customHeight="1">
      <c r="A13" s="11" t="s">
        <v>31</v>
      </c>
      <c r="B13" s="220"/>
      <c r="C13" s="223"/>
      <c r="D13" s="221"/>
      <c r="E13" s="221"/>
      <c r="F13" s="421"/>
      <c r="G13" s="360"/>
      <c r="H13" s="360"/>
      <c r="I13" s="360"/>
      <c r="J13" s="360"/>
      <c r="K13" s="224"/>
      <c r="L13" s="224"/>
      <c r="M13" s="12"/>
      <c r="N13" s="352"/>
      <c r="O13" s="353"/>
      <c r="P13" s="353"/>
      <c r="Q13" s="358"/>
      <c r="R13" s="353"/>
      <c r="S13" s="353"/>
      <c r="T13" s="353"/>
      <c r="U13" s="352"/>
      <c r="V13" s="353"/>
      <c r="W13" s="353"/>
      <c r="X13" s="358"/>
      <c r="Y13" s="353"/>
      <c r="Z13" s="353"/>
      <c r="AA13" s="353"/>
      <c r="AB13" s="5"/>
    </row>
    <row r="14" spans="1:28" s="6" customFormat="1" ht="35.1" customHeight="1">
      <c r="A14" s="10"/>
      <c r="B14" s="225"/>
      <c r="C14" s="13"/>
      <c r="D14" s="349" t="s">
        <v>35</v>
      </c>
      <c r="E14" s="350"/>
      <c r="F14" s="350"/>
      <c r="G14" s="350"/>
      <c r="H14" s="351"/>
      <c r="I14" s="14"/>
      <c r="J14" s="69">
        <f>E9</f>
        <v>0</v>
      </c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70"/>
      <c r="AB14" s="15"/>
    </row>
    <row r="15" spans="1:28" s="17" customFormat="1" ht="35.1" customHeight="1">
      <c r="A15" s="16"/>
      <c r="B15" s="226"/>
      <c r="C15" s="13"/>
      <c r="D15" s="349" t="s">
        <v>36</v>
      </c>
      <c r="E15" s="350"/>
      <c r="F15" s="350"/>
      <c r="G15" s="350"/>
      <c r="H15" s="351"/>
      <c r="I15" s="14"/>
      <c r="J15" s="68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67"/>
      <c r="AB15" s="15"/>
    </row>
    <row r="16" spans="1:28" s="17" customFormat="1" ht="35.1" customHeight="1">
      <c r="A16" s="16"/>
      <c r="B16" s="226"/>
      <c r="C16" s="13"/>
      <c r="D16" s="349" t="s">
        <v>37</v>
      </c>
      <c r="E16" s="350"/>
      <c r="F16" s="350"/>
      <c r="G16" s="350"/>
      <c r="H16" s="351"/>
      <c r="I16" s="14"/>
      <c r="J16" s="405"/>
      <c r="K16" s="350"/>
      <c r="L16" s="350"/>
      <c r="M16" s="350"/>
      <c r="N16" s="350"/>
      <c r="O16" s="350"/>
      <c r="P16" s="350"/>
      <c r="Q16" s="350"/>
      <c r="R16" s="350"/>
      <c r="S16" s="350"/>
      <c r="T16" s="350"/>
      <c r="U16" s="350"/>
      <c r="V16" s="350"/>
      <c r="W16" s="350"/>
      <c r="X16" s="350"/>
      <c r="Y16" s="350"/>
      <c r="Z16" s="350"/>
      <c r="AA16" s="351"/>
      <c r="AB16" s="15"/>
    </row>
    <row r="17" spans="1:28" s="17" customFormat="1" ht="39.950000000000003" customHeight="1">
      <c r="A17" s="16"/>
      <c r="B17" s="226"/>
      <c r="C17" s="13"/>
      <c r="D17" s="349" t="s">
        <v>38</v>
      </c>
      <c r="E17" s="350"/>
      <c r="F17" s="350"/>
      <c r="G17" s="350"/>
      <c r="H17" s="351"/>
      <c r="I17" s="14"/>
      <c r="J17" s="378"/>
      <c r="K17" s="350"/>
      <c r="L17" s="350"/>
      <c r="M17" s="350"/>
      <c r="N17" s="350"/>
      <c r="O17" s="350"/>
      <c r="P17" s="350"/>
      <c r="Q17" s="351"/>
      <c r="R17" s="395" t="s">
        <v>39</v>
      </c>
      <c r="S17" s="350"/>
      <c r="T17" s="350"/>
      <c r="U17" s="350"/>
      <c r="V17" s="351"/>
      <c r="W17" s="419"/>
      <c r="X17" s="350"/>
      <c r="Y17" s="350"/>
      <c r="Z17" s="251" t="s">
        <v>40</v>
      </c>
      <c r="AA17" s="252"/>
      <c r="AB17" s="15"/>
    </row>
    <row r="18" spans="1:28" s="6" customFormat="1" ht="35.1" customHeight="1">
      <c r="A18" s="10"/>
      <c r="B18" s="225"/>
      <c r="C18" s="18"/>
      <c r="D18" s="408" t="s">
        <v>41</v>
      </c>
      <c r="E18" s="365"/>
      <c r="F18" s="365"/>
      <c r="G18" s="365"/>
      <c r="H18" s="366"/>
      <c r="I18" s="19"/>
      <c r="J18" s="378"/>
      <c r="K18" s="350"/>
      <c r="L18" s="350"/>
      <c r="M18" s="350"/>
      <c r="N18" s="350"/>
      <c r="O18" s="350"/>
      <c r="P18" s="350"/>
      <c r="Q18" s="351"/>
      <c r="R18" s="395" t="s">
        <v>42</v>
      </c>
      <c r="S18" s="350"/>
      <c r="T18" s="350"/>
      <c r="U18" s="350"/>
      <c r="V18" s="351"/>
      <c r="W18" s="371"/>
      <c r="X18" s="350"/>
      <c r="Y18" s="350"/>
      <c r="Z18" s="350"/>
      <c r="AA18" s="351"/>
      <c r="AB18" s="15"/>
    </row>
    <row r="19" spans="1:28" s="6" customFormat="1" ht="24" customHeight="1">
      <c r="A19" s="10"/>
      <c r="B19" s="225"/>
      <c r="C19" s="13"/>
      <c r="D19" s="349" t="s">
        <v>43</v>
      </c>
      <c r="E19" s="350"/>
      <c r="F19" s="350"/>
      <c r="G19" s="350"/>
      <c r="H19" s="351"/>
      <c r="I19" s="14"/>
      <c r="J19" s="422" t="s">
        <v>44</v>
      </c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1"/>
      <c r="AB19" s="15"/>
    </row>
    <row r="20" spans="1:28" s="6" customFormat="1" ht="20.100000000000001" customHeight="1">
      <c r="A20" s="10"/>
      <c r="C20" s="227"/>
      <c r="D20" s="227"/>
      <c r="E20" s="227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15"/>
    </row>
    <row r="21" spans="1:28" s="23" customFormat="1" ht="47.1" customHeight="1">
      <c r="A21" s="20"/>
      <c r="B21" s="21"/>
      <c r="C21" s="404" t="s">
        <v>45</v>
      </c>
      <c r="D21" s="347"/>
      <c r="E21" s="347"/>
      <c r="F21" s="347"/>
      <c r="G21" s="347"/>
      <c r="H21" s="347"/>
      <c r="I21" s="347"/>
      <c r="J21" s="347"/>
      <c r="K21" s="348"/>
      <c r="L21" s="420" t="s">
        <v>46</v>
      </c>
      <c r="M21" s="347"/>
      <c r="N21" s="347"/>
      <c r="O21" s="368">
        <f>V21</f>
        <v>0</v>
      </c>
      <c r="P21" s="347"/>
      <c r="Q21" s="347"/>
      <c r="R21" s="347"/>
      <c r="S21" s="347"/>
      <c r="T21" s="72" t="s">
        <v>47</v>
      </c>
      <c r="U21" s="72" t="s">
        <v>48</v>
      </c>
      <c r="V21" s="380">
        <f>T27</f>
        <v>0</v>
      </c>
      <c r="W21" s="347"/>
      <c r="X21" s="347"/>
      <c r="Y21" s="347"/>
      <c r="Z21" s="347"/>
      <c r="AA21" s="73" t="s">
        <v>49</v>
      </c>
      <c r="AB21" s="22"/>
    </row>
    <row r="22" spans="1:28" s="6" customFormat="1" ht="35.1" customHeight="1">
      <c r="A22" s="10"/>
      <c r="B22" s="24"/>
      <c r="C22" s="222" t="s">
        <v>50</v>
      </c>
      <c r="D22" s="367" t="s">
        <v>51</v>
      </c>
      <c r="E22" s="347"/>
      <c r="F22" s="347"/>
      <c r="G22" s="347"/>
      <c r="H22" s="347"/>
      <c r="I22" s="347"/>
      <c r="J22" s="347"/>
      <c r="K22" s="348"/>
      <c r="L22" s="367" t="s">
        <v>52</v>
      </c>
      <c r="M22" s="347"/>
      <c r="N22" s="347"/>
      <c r="O22" s="348"/>
      <c r="P22" s="367" t="s">
        <v>53</v>
      </c>
      <c r="Q22" s="347"/>
      <c r="R22" s="347"/>
      <c r="S22" s="348"/>
      <c r="T22" s="367" t="s">
        <v>54</v>
      </c>
      <c r="U22" s="347"/>
      <c r="V22" s="347"/>
      <c r="W22" s="347"/>
      <c r="X22" s="348"/>
      <c r="Y22" s="367" t="s">
        <v>55</v>
      </c>
      <c r="Z22" s="347"/>
      <c r="AA22" s="348"/>
      <c r="AB22" s="5"/>
    </row>
    <row r="23" spans="1:28" s="6" customFormat="1" ht="35.1" customHeight="1">
      <c r="A23" s="10"/>
      <c r="B23" s="24"/>
      <c r="C23" s="65">
        <v>1</v>
      </c>
      <c r="D23" s="372" t="s">
        <v>56</v>
      </c>
      <c r="E23" s="347"/>
      <c r="F23" s="347"/>
      <c r="G23" s="347"/>
      <c r="H23" s="347"/>
      <c r="I23" s="347"/>
      <c r="J23" s="347"/>
      <c r="K23" s="348"/>
      <c r="L23" s="367" t="s">
        <v>57</v>
      </c>
      <c r="M23" s="347"/>
      <c r="N23" s="347"/>
      <c r="O23" s="348"/>
      <c r="P23" s="387">
        <v>1</v>
      </c>
      <c r="Q23" s="347"/>
      <c r="R23" s="347"/>
      <c r="S23" s="348"/>
      <c r="T23" s="346"/>
      <c r="U23" s="347"/>
      <c r="V23" s="347"/>
      <c r="W23" s="347"/>
      <c r="X23" s="348"/>
      <c r="Y23" s="354" t="s">
        <v>58</v>
      </c>
      <c r="Z23" s="347"/>
      <c r="AA23" s="348"/>
      <c r="AB23" s="5"/>
    </row>
    <row r="24" spans="1:28" s="6" customFormat="1" ht="35.1" customHeight="1">
      <c r="A24" s="10"/>
      <c r="B24" s="24"/>
      <c r="C24" s="64">
        <v>2</v>
      </c>
      <c r="D24" s="372" t="s">
        <v>59</v>
      </c>
      <c r="E24" s="347"/>
      <c r="F24" s="347"/>
      <c r="G24" s="347"/>
      <c r="H24" s="347"/>
      <c r="I24" s="347"/>
      <c r="J24" s="347"/>
      <c r="K24" s="348"/>
      <c r="L24" s="367" t="s">
        <v>57</v>
      </c>
      <c r="M24" s="347"/>
      <c r="N24" s="347"/>
      <c r="O24" s="348"/>
      <c r="P24" s="387">
        <v>1</v>
      </c>
      <c r="Q24" s="347"/>
      <c r="R24" s="347"/>
      <c r="S24" s="348"/>
      <c r="T24" s="346"/>
      <c r="U24" s="347"/>
      <c r="V24" s="347"/>
      <c r="W24" s="347"/>
      <c r="X24" s="348"/>
      <c r="Y24" s="354" t="s">
        <v>60</v>
      </c>
      <c r="Z24" s="347"/>
      <c r="AA24" s="348"/>
      <c r="AB24" s="5"/>
    </row>
    <row r="25" spans="1:28" s="6" customFormat="1" ht="35.1" customHeight="1">
      <c r="A25" s="10"/>
      <c r="B25" s="24"/>
      <c r="C25" s="64">
        <v>3</v>
      </c>
      <c r="D25" s="372" t="s">
        <v>61</v>
      </c>
      <c r="E25" s="347"/>
      <c r="F25" s="347"/>
      <c r="G25" s="347"/>
      <c r="H25" s="347"/>
      <c r="I25" s="347"/>
      <c r="J25" s="347"/>
      <c r="K25" s="348"/>
      <c r="L25" s="367" t="s">
        <v>57</v>
      </c>
      <c r="M25" s="347"/>
      <c r="N25" s="347"/>
      <c r="O25" s="348"/>
      <c r="P25" s="387">
        <v>1</v>
      </c>
      <c r="Q25" s="347"/>
      <c r="R25" s="347"/>
      <c r="S25" s="348"/>
      <c r="T25" s="346"/>
      <c r="U25" s="347"/>
      <c r="V25" s="347"/>
      <c r="W25" s="347"/>
      <c r="X25" s="348"/>
      <c r="Y25" s="354"/>
      <c r="Z25" s="347"/>
      <c r="AA25" s="348"/>
      <c r="AB25" s="5"/>
    </row>
    <row r="26" spans="1:28" s="28" customFormat="1" ht="35.1" customHeight="1">
      <c r="A26" s="25"/>
      <c r="B26" s="26"/>
      <c r="C26" s="410" t="s">
        <v>62</v>
      </c>
      <c r="D26" s="347"/>
      <c r="E26" s="347"/>
      <c r="F26" s="347"/>
      <c r="G26" s="347"/>
      <c r="H26" s="347"/>
      <c r="I26" s="347"/>
      <c r="J26" s="347"/>
      <c r="K26" s="348"/>
      <c r="L26" s="409"/>
      <c r="M26" s="347"/>
      <c r="N26" s="347"/>
      <c r="O26" s="348"/>
      <c r="P26" s="392"/>
      <c r="Q26" s="347"/>
      <c r="R26" s="347"/>
      <c r="S26" s="348"/>
      <c r="T26" s="407"/>
      <c r="U26" s="347"/>
      <c r="V26" s="347"/>
      <c r="W26" s="347"/>
      <c r="X26" s="348"/>
      <c r="Y26" s="354"/>
      <c r="Z26" s="347"/>
      <c r="AA26" s="348"/>
      <c r="AB26" s="27"/>
    </row>
    <row r="27" spans="1:28" s="28" customFormat="1" ht="39.75" customHeight="1">
      <c r="A27" s="25"/>
      <c r="B27" s="26"/>
      <c r="C27" s="403" t="s">
        <v>63</v>
      </c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8"/>
      <c r="T27" s="373"/>
      <c r="U27" s="347"/>
      <c r="V27" s="347"/>
      <c r="W27" s="347"/>
      <c r="X27" s="348"/>
      <c r="Y27" s="396" t="s">
        <v>64</v>
      </c>
      <c r="Z27" s="397"/>
      <c r="AA27" s="398"/>
      <c r="AB27" s="27"/>
    </row>
    <row r="28" spans="1:28" s="28" customFormat="1" ht="39.75" customHeight="1">
      <c r="A28" s="25"/>
      <c r="B28" s="26"/>
      <c r="C28" s="403" t="s">
        <v>65</v>
      </c>
      <c r="D28" s="347"/>
      <c r="E28" s="347"/>
      <c r="F28" s="347"/>
      <c r="G28" s="347"/>
      <c r="H28" s="347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8"/>
      <c r="T28" s="373"/>
      <c r="U28" s="347"/>
      <c r="V28" s="347"/>
      <c r="W28" s="347"/>
      <c r="X28" s="348"/>
      <c r="Y28" s="399"/>
      <c r="Z28" s="400"/>
      <c r="AA28" s="401"/>
      <c r="AB28" s="27"/>
    </row>
    <row r="29" spans="1:28" s="6" customFormat="1" ht="24" customHeight="1">
      <c r="A29" s="10"/>
      <c r="C29" s="369"/>
      <c r="D29" s="360"/>
      <c r="E29" s="369"/>
      <c r="F29" s="360"/>
      <c r="G29" s="360"/>
      <c r="H29" s="360"/>
      <c r="I29" s="360"/>
      <c r="J29" s="360"/>
      <c r="K29" s="360"/>
      <c r="L29" s="402"/>
      <c r="M29" s="382"/>
      <c r="N29" s="382"/>
      <c r="O29" s="382"/>
      <c r="P29" s="402"/>
      <c r="Q29" s="382"/>
      <c r="R29" s="382"/>
      <c r="S29" s="382"/>
      <c r="T29" s="383"/>
      <c r="U29" s="382"/>
      <c r="V29" s="382"/>
      <c r="W29" s="382"/>
      <c r="X29" s="382"/>
      <c r="Y29" s="381"/>
      <c r="Z29" s="382"/>
      <c r="AA29" s="382"/>
      <c r="AB29" s="5"/>
    </row>
    <row r="30" spans="1:28" s="6" customFormat="1" ht="39.75" customHeight="1">
      <c r="A30" s="10"/>
      <c r="B30" s="225"/>
      <c r="C30" s="364" t="s">
        <v>66</v>
      </c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  <c r="P30" s="365"/>
      <c r="Q30" s="365"/>
      <c r="R30" s="365"/>
      <c r="S30" s="365"/>
      <c r="T30" s="365"/>
      <c r="U30" s="365"/>
      <c r="V30" s="365"/>
      <c r="W30" s="365"/>
      <c r="X30" s="365"/>
      <c r="Y30" s="365"/>
      <c r="Z30" s="365"/>
      <c r="AA30" s="366"/>
      <c r="AB30" s="5"/>
    </row>
    <row r="31" spans="1:28" s="31" customFormat="1" ht="39.75" customHeight="1">
      <c r="A31" s="29"/>
      <c r="B31" s="228"/>
      <c r="C31" s="239" t="s">
        <v>67</v>
      </c>
      <c r="D31" s="242"/>
      <c r="E31" s="242"/>
      <c r="F31" s="242"/>
      <c r="G31" s="242"/>
      <c r="H31" s="242"/>
      <c r="I31" s="242"/>
      <c r="J31" s="243"/>
      <c r="K31" s="243"/>
      <c r="L31" s="243"/>
      <c r="M31" s="243"/>
      <c r="N31" s="243"/>
      <c r="O31" s="243"/>
      <c r="P31" s="244" t="s">
        <v>68</v>
      </c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0"/>
      <c r="AB31" s="30"/>
    </row>
    <row r="32" spans="1:28" s="31" customFormat="1" ht="39.75" customHeight="1">
      <c r="A32" s="29"/>
      <c r="B32" s="228"/>
      <c r="C32" s="239" t="s">
        <v>69</v>
      </c>
      <c r="D32" s="242"/>
      <c r="E32" s="242"/>
      <c r="F32" s="242"/>
      <c r="G32" s="242"/>
      <c r="H32" s="242"/>
      <c r="I32" s="242"/>
      <c r="J32" s="243"/>
      <c r="K32" s="243"/>
      <c r="L32" s="243"/>
      <c r="M32" s="243"/>
      <c r="N32" s="243"/>
      <c r="O32" s="243"/>
      <c r="P32" s="244" t="s">
        <v>70</v>
      </c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0"/>
      <c r="AB32" s="30"/>
    </row>
    <row r="33" spans="1:28" s="31" customFormat="1" ht="39.75" customHeight="1">
      <c r="A33" s="29"/>
      <c r="B33" s="228"/>
      <c r="C33" s="241" t="s">
        <v>71</v>
      </c>
      <c r="D33" s="242"/>
      <c r="E33" s="242"/>
      <c r="F33" s="242"/>
      <c r="G33" s="242"/>
      <c r="H33" s="242"/>
      <c r="I33" s="242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0"/>
      <c r="AB33" s="30"/>
    </row>
    <row r="34" spans="1:28" s="31" customFormat="1" ht="39.75" customHeight="1">
      <c r="A34" s="29"/>
      <c r="B34" s="228"/>
      <c r="C34" s="241" t="s">
        <v>72</v>
      </c>
      <c r="D34" s="242"/>
      <c r="E34" s="242"/>
      <c r="F34" s="242"/>
      <c r="G34" s="242"/>
      <c r="H34" s="242"/>
      <c r="I34" s="242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0"/>
      <c r="AB34" s="30"/>
    </row>
    <row r="35" spans="1:28" s="31" customFormat="1" ht="39.75" customHeight="1">
      <c r="A35" s="29"/>
      <c r="B35" s="228"/>
      <c r="C35" s="245" t="s">
        <v>73</v>
      </c>
      <c r="D35" s="246"/>
      <c r="E35" s="246"/>
      <c r="F35" s="246"/>
      <c r="G35" s="246"/>
      <c r="H35" s="246"/>
      <c r="I35" s="246"/>
      <c r="J35" s="247"/>
      <c r="K35" s="247"/>
      <c r="L35" s="247"/>
      <c r="M35" s="247"/>
      <c r="N35" s="247"/>
      <c r="O35" s="247"/>
      <c r="P35" s="247"/>
      <c r="Q35" s="247"/>
      <c r="R35" s="247"/>
      <c r="S35" s="247"/>
      <c r="T35" s="247"/>
      <c r="U35" s="247"/>
      <c r="V35" s="247"/>
      <c r="W35" s="247"/>
      <c r="X35" s="247"/>
      <c r="Y35" s="247"/>
      <c r="Z35" s="247"/>
      <c r="AA35" s="248"/>
      <c r="AB35" s="30"/>
    </row>
    <row r="36" spans="1:28" s="31" customFormat="1" ht="27.95" customHeight="1" thickBot="1">
      <c r="A36" s="32"/>
      <c r="B36" s="33"/>
      <c r="C36" s="231"/>
      <c r="D36" s="229"/>
      <c r="E36" s="230"/>
      <c r="F36" s="230"/>
      <c r="G36" s="230"/>
      <c r="H36" s="230"/>
      <c r="I36" s="230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4"/>
    </row>
  </sheetData>
  <mergeCells count="84">
    <mergeCell ref="P29:S29"/>
    <mergeCell ref="Q10:AA10"/>
    <mergeCell ref="W17:Y17"/>
    <mergeCell ref="L21:N21"/>
    <mergeCell ref="U9:W9"/>
    <mergeCell ref="L23:O23"/>
    <mergeCell ref="P23:S23"/>
    <mergeCell ref="J19:AA19"/>
    <mergeCell ref="D23:K23"/>
    <mergeCell ref="R18:V18"/>
    <mergeCell ref="C26:K26"/>
    <mergeCell ref="T27:X27"/>
    <mergeCell ref="L25:O25"/>
    <mergeCell ref="M8:M12"/>
    <mergeCell ref="Q8:AA8"/>
    <mergeCell ref="T25:X25"/>
    <mergeCell ref="N13:P13"/>
    <mergeCell ref="X12:AA12"/>
    <mergeCell ref="F13:J13"/>
    <mergeCell ref="D15:H15"/>
    <mergeCell ref="Y27:AA28"/>
    <mergeCell ref="D14:H14"/>
    <mergeCell ref="L29:O29"/>
    <mergeCell ref="C28:S28"/>
    <mergeCell ref="J18:Q18"/>
    <mergeCell ref="L22:O22"/>
    <mergeCell ref="Y25:AA25"/>
    <mergeCell ref="C21:K21"/>
    <mergeCell ref="C29:D29"/>
    <mergeCell ref="J16:AA16"/>
    <mergeCell ref="D16:H16"/>
    <mergeCell ref="T26:X26"/>
    <mergeCell ref="T23:X23"/>
    <mergeCell ref="L24:O24"/>
    <mergeCell ref="C27:S27"/>
    <mergeCell ref="D18:H18"/>
    <mergeCell ref="Y29:AA29"/>
    <mergeCell ref="T29:X29"/>
    <mergeCell ref="Q11:T11"/>
    <mergeCell ref="N8:P8"/>
    <mergeCell ref="D22:K22"/>
    <mergeCell ref="Y22:AA22"/>
    <mergeCell ref="P24:S24"/>
    <mergeCell ref="E8:L8"/>
    <mergeCell ref="U12:W12"/>
    <mergeCell ref="N10:P10"/>
    <mergeCell ref="P26:S26"/>
    <mergeCell ref="E10:L10"/>
    <mergeCell ref="Q12:T12"/>
    <mergeCell ref="D17:H17"/>
    <mergeCell ref="P25:S25"/>
    <mergeCell ref="Y23:AA23"/>
    <mergeCell ref="A2:AA2"/>
    <mergeCell ref="N9:P9"/>
    <mergeCell ref="X11:AA11"/>
    <mergeCell ref="C30:AA30"/>
    <mergeCell ref="P22:S22"/>
    <mergeCell ref="O21:S21"/>
    <mergeCell ref="E29:K29"/>
    <mergeCell ref="S4:AA4"/>
    <mergeCell ref="T22:X22"/>
    <mergeCell ref="W18:AA18"/>
    <mergeCell ref="D25:K25"/>
    <mergeCell ref="T28:X28"/>
    <mergeCell ref="C12:L12"/>
    <mergeCell ref="A3:AB3"/>
    <mergeCell ref="U11:W11"/>
    <mergeCell ref="J17:Q17"/>
    <mergeCell ref="T24:X24"/>
    <mergeCell ref="D19:H19"/>
    <mergeCell ref="U13:W13"/>
    <mergeCell ref="Y26:AA26"/>
    <mergeCell ref="X9:AA9"/>
    <mergeCell ref="Q13:T13"/>
    <mergeCell ref="Q9:T9"/>
    <mergeCell ref="V21:Z21"/>
    <mergeCell ref="R17:V17"/>
    <mergeCell ref="Y24:AA24"/>
    <mergeCell ref="N12:P12"/>
    <mergeCell ref="F11:L11"/>
    <mergeCell ref="X13:AA13"/>
    <mergeCell ref="N11:P11"/>
    <mergeCell ref="L26:O26"/>
    <mergeCell ref="D24:K24"/>
  </mergeCells>
  <phoneticPr fontId="2" type="noConversion"/>
  <printOptions horizontalCentered="1"/>
  <pageMargins left="0.2" right="0.2" top="0.84" bottom="0.34" header="0.31496062992125978" footer="0.31496062992125978"/>
  <pageSetup paperSize="9" scale="61"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8"/>
    <pageSetUpPr fitToPage="1"/>
  </sheetPr>
  <dimension ref="A1:XFC36"/>
  <sheetViews>
    <sheetView showGridLine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/>
    <col min="42" max="16383" width="8.88671875" style="35" hidden="1" customWidth="1"/>
    <col min="16384" max="16384" width="23.5546875" style="35" hidden="1" customWidth="1"/>
  </cols>
  <sheetData>
    <row r="1" spans="1:10" ht="35.25" customHeight="1">
      <c r="A1" s="455" t="s">
        <v>74</v>
      </c>
      <c r="B1" s="447"/>
      <c r="C1" s="447"/>
      <c r="D1" s="447"/>
      <c r="E1" s="447"/>
      <c r="F1" s="447"/>
      <c r="G1" s="447"/>
      <c r="H1" s="447"/>
      <c r="I1" s="447"/>
      <c r="J1" s="447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32" t="s">
        <v>75</v>
      </c>
      <c r="B3" s="433"/>
      <c r="C3" s="434"/>
      <c r="D3" s="38"/>
      <c r="E3" s="38"/>
      <c r="F3" s="38"/>
      <c r="G3" s="38"/>
      <c r="H3" s="38"/>
      <c r="I3" s="38"/>
    </row>
    <row r="4" spans="1:10" ht="27.95" customHeight="1">
      <c r="A4" s="320" t="s">
        <v>76</v>
      </c>
      <c r="B4" s="39"/>
      <c r="C4" s="40" t="s">
        <v>77</v>
      </c>
      <c r="D4" s="41" t="s">
        <v>78</v>
      </c>
      <c r="E4" s="443" t="s">
        <v>79</v>
      </c>
      <c r="F4" s="434"/>
      <c r="G4" s="42" t="s">
        <v>80</v>
      </c>
      <c r="H4" s="43" t="s">
        <v>81</v>
      </c>
      <c r="I4" s="466" t="s">
        <v>55</v>
      </c>
      <c r="J4" s="467"/>
    </row>
    <row r="5" spans="1:10" ht="27.95" customHeight="1">
      <c r="A5" s="321" t="s">
        <v>82</v>
      </c>
      <c r="B5" s="44"/>
      <c r="C5" s="66" t="s">
        <v>83</v>
      </c>
      <c r="D5" s="45"/>
      <c r="E5" s="468"/>
      <c r="F5" s="347"/>
      <c r="G5" s="347"/>
      <c r="H5" s="347"/>
      <c r="I5" s="347"/>
      <c r="J5" s="426"/>
    </row>
    <row r="6" spans="1:10" ht="27.95" customHeight="1">
      <c r="A6" s="322"/>
      <c r="B6" s="249" t="s">
        <v>84</v>
      </c>
      <c r="C6" s="82" t="s">
        <v>85</v>
      </c>
      <c r="D6" s="45" t="s">
        <v>86</v>
      </c>
      <c r="E6" s="439"/>
      <c r="F6" s="348"/>
      <c r="G6" s="47"/>
      <c r="H6" s="47" t="str">
        <f>IF(E6*G6=0, "", E6*G6)</f>
        <v/>
      </c>
      <c r="I6" s="425"/>
      <c r="J6" s="426"/>
    </row>
    <row r="7" spans="1:10" ht="27.95" customHeight="1">
      <c r="A7" s="322"/>
      <c r="B7" s="249" t="s">
        <v>87</v>
      </c>
      <c r="C7" s="82" t="s">
        <v>85</v>
      </c>
      <c r="D7" s="45" t="s">
        <v>86</v>
      </c>
      <c r="E7" s="439"/>
      <c r="F7" s="348"/>
      <c r="G7" s="47"/>
      <c r="H7" s="47" t="str">
        <f>IF(E7*G7=0, "", E7*G7)</f>
        <v/>
      </c>
      <c r="I7" s="425"/>
      <c r="J7" s="426"/>
    </row>
    <row r="8" spans="1:10" ht="27.95" customHeight="1">
      <c r="A8" s="322"/>
      <c r="B8" s="249" t="s">
        <v>88</v>
      </c>
      <c r="C8" s="82" t="s">
        <v>85</v>
      </c>
      <c r="D8" s="45" t="s">
        <v>86</v>
      </c>
      <c r="E8" s="439"/>
      <c r="F8" s="348"/>
      <c r="G8" s="47"/>
      <c r="H8" s="47" t="str">
        <f>IF(E8*G8=0, "", E8*G8)</f>
        <v/>
      </c>
      <c r="I8" s="425"/>
      <c r="J8" s="426"/>
    </row>
    <row r="9" spans="1:10" ht="27.95" customHeight="1">
      <c r="A9" s="322"/>
      <c r="B9" s="249" t="s">
        <v>89</v>
      </c>
      <c r="C9" s="82" t="s">
        <v>85</v>
      </c>
      <c r="D9" s="58" t="s">
        <v>86</v>
      </c>
      <c r="E9" s="439"/>
      <c r="F9" s="348"/>
      <c r="G9" s="47"/>
      <c r="H9" s="47" t="str">
        <f>IF(E9*G9=0, "", E9*G9)</f>
        <v/>
      </c>
      <c r="I9" s="425"/>
      <c r="J9" s="426"/>
    </row>
    <row r="10" spans="1:10" ht="27.95" customHeight="1">
      <c r="A10" s="454" t="s">
        <v>90</v>
      </c>
      <c r="B10" s="347"/>
      <c r="C10" s="348"/>
      <c r="D10" s="58"/>
      <c r="E10" s="444"/>
      <c r="F10" s="347"/>
      <c r="G10" s="46"/>
      <c r="H10" s="47"/>
      <c r="I10" s="425"/>
      <c r="J10" s="426"/>
    </row>
    <row r="11" spans="1:10" ht="27.95" customHeight="1">
      <c r="A11" s="321" t="s">
        <v>91</v>
      </c>
      <c r="B11" s="44"/>
      <c r="C11" s="66" t="s">
        <v>92</v>
      </c>
      <c r="D11" s="48" t="s">
        <v>57</v>
      </c>
      <c r="E11" s="423" t="s">
        <v>93</v>
      </c>
      <c r="F11" s="347"/>
      <c r="G11" s="49">
        <v>0.1</v>
      </c>
      <c r="H11" s="50"/>
      <c r="I11" s="431" t="s">
        <v>94</v>
      </c>
      <c r="J11" s="426"/>
    </row>
    <row r="12" spans="1:10" ht="27.95" customHeight="1">
      <c r="A12" s="321" t="s">
        <v>95</v>
      </c>
      <c r="B12" s="44"/>
      <c r="C12" s="66" t="s">
        <v>96</v>
      </c>
      <c r="D12" s="48" t="s">
        <v>57</v>
      </c>
      <c r="E12" s="423" t="s">
        <v>93</v>
      </c>
      <c r="F12" s="347"/>
      <c r="G12" s="49">
        <v>1.1000000000000001</v>
      </c>
      <c r="H12" s="50"/>
      <c r="I12" s="456" t="s">
        <v>97</v>
      </c>
      <c r="J12" s="426"/>
    </row>
    <row r="13" spans="1:10" ht="27.95" customHeight="1">
      <c r="A13" s="321" t="s">
        <v>98</v>
      </c>
      <c r="B13" s="44"/>
      <c r="C13" s="66" t="s">
        <v>99</v>
      </c>
      <c r="D13" s="48" t="s">
        <v>57</v>
      </c>
      <c r="E13" s="423" t="s">
        <v>100</v>
      </c>
      <c r="F13" s="347"/>
      <c r="G13" s="49">
        <v>0.2</v>
      </c>
      <c r="H13" s="50"/>
      <c r="I13" s="456" t="s">
        <v>101</v>
      </c>
      <c r="J13" s="426"/>
    </row>
    <row r="14" spans="1:10" ht="27.95" customHeight="1">
      <c r="A14" s="321" t="s">
        <v>102</v>
      </c>
      <c r="B14" s="44"/>
      <c r="C14" s="66" t="s">
        <v>103</v>
      </c>
      <c r="D14" s="48"/>
      <c r="E14" s="423" t="s">
        <v>104</v>
      </c>
      <c r="F14" s="347"/>
      <c r="G14" s="49"/>
      <c r="H14" s="71"/>
      <c r="I14" s="430"/>
      <c r="J14" s="426"/>
    </row>
    <row r="15" spans="1:10" ht="27.95" customHeight="1">
      <c r="A15" s="321" t="s">
        <v>105</v>
      </c>
      <c r="B15" s="44"/>
      <c r="C15" s="66" t="s">
        <v>106</v>
      </c>
      <c r="D15" s="48"/>
      <c r="E15" s="438"/>
      <c r="F15" s="347"/>
      <c r="G15" s="348"/>
      <c r="H15" s="71"/>
      <c r="I15" s="430"/>
      <c r="J15" s="426"/>
    </row>
    <row r="16" spans="1:10" ht="7.5" customHeight="1">
      <c r="A16" s="324"/>
      <c r="B16" s="52"/>
      <c r="C16" s="52"/>
      <c r="D16" s="53"/>
      <c r="E16" s="52"/>
      <c r="F16" s="52"/>
      <c r="G16" s="52"/>
      <c r="H16" s="52"/>
      <c r="I16" s="52"/>
      <c r="J16" s="323"/>
    </row>
    <row r="17" spans="1:10" s="36" customFormat="1" ht="27.95" customHeight="1" thickBot="1">
      <c r="A17" s="325" t="s">
        <v>107</v>
      </c>
      <c r="B17" s="54"/>
      <c r="C17" s="83" t="s">
        <v>108</v>
      </c>
      <c r="D17" s="84"/>
      <c r="E17" s="85"/>
      <c r="F17" s="85"/>
      <c r="G17" s="55"/>
      <c r="H17" s="56"/>
      <c r="I17" s="462"/>
      <c r="J17" s="463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40" t="s">
        <v>109</v>
      </c>
      <c r="B19" s="441"/>
      <c r="C19" s="441"/>
      <c r="D19" s="441"/>
      <c r="E19" s="441"/>
      <c r="F19" s="441"/>
      <c r="G19" s="441"/>
      <c r="H19" s="441"/>
      <c r="I19" s="441"/>
      <c r="J19" s="442"/>
    </row>
    <row r="20" spans="1:10" ht="20.100000000000001" customHeight="1">
      <c r="A20" s="108"/>
      <c r="B20" s="109" t="s">
        <v>110</v>
      </c>
      <c r="C20" s="74"/>
      <c r="D20" s="74"/>
      <c r="E20" s="74"/>
      <c r="F20" s="74"/>
      <c r="G20" s="74"/>
      <c r="H20" s="74"/>
      <c r="I20" s="74"/>
      <c r="J20" s="110"/>
    </row>
    <row r="21" spans="1:10" ht="20.100000000000001" customHeight="1">
      <c r="A21" s="111"/>
      <c r="B21" s="112" t="s">
        <v>111</v>
      </c>
      <c r="C21" s="74"/>
      <c r="D21" s="74"/>
      <c r="E21" s="74"/>
      <c r="F21" s="74"/>
      <c r="G21" s="74"/>
      <c r="H21" s="74"/>
      <c r="I21" s="74"/>
      <c r="J21" s="110"/>
    </row>
    <row r="22" spans="1:10" ht="20.100000000000001" customHeight="1">
      <c r="A22" s="111"/>
      <c r="B22" s="112" t="s">
        <v>112</v>
      </c>
      <c r="C22" s="74"/>
      <c r="D22" s="74"/>
      <c r="E22" s="74"/>
      <c r="F22" s="74"/>
      <c r="G22" s="74"/>
      <c r="H22" s="74"/>
      <c r="I22" s="74"/>
      <c r="J22" s="110"/>
    </row>
    <row r="23" spans="1:10" ht="20.100000000000001" customHeight="1">
      <c r="A23" s="111"/>
      <c r="B23" s="112" t="s">
        <v>113</v>
      </c>
      <c r="C23" s="74"/>
      <c r="D23" s="74"/>
      <c r="E23" s="74"/>
      <c r="F23" s="74"/>
      <c r="G23" s="74"/>
      <c r="H23" s="74"/>
      <c r="I23" s="74"/>
      <c r="J23" s="110"/>
    </row>
    <row r="24" spans="1:10" ht="20.100000000000001" customHeight="1">
      <c r="A24" s="111"/>
      <c r="B24" s="112" t="s">
        <v>114</v>
      </c>
      <c r="C24" s="74"/>
      <c r="D24" s="74"/>
      <c r="E24" s="74"/>
      <c r="F24" s="74"/>
      <c r="G24" s="74"/>
      <c r="H24" s="74"/>
      <c r="I24" s="74"/>
      <c r="J24" s="110"/>
    </row>
    <row r="25" spans="1:10" ht="20.100000000000001" customHeight="1">
      <c r="A25" s="113"/>
      <c r="B25" s="114"/>
      <c r="C25" s="74"/>
      <c r="D25" s="74"/>
      <c r="E25" s="74"/>
      <c r="F25" s="74"/>
      <c r="G25" s="74"/>
      <c r="H25" s="74"/>
      <c r="I25" s="74"/>
      <c r="J25" s="110"/>
    </row>
    <row r="26" spans="1:10" ht="20.100000000000001" customHeight="1">
      <c r="A26" s="108"/>
      <c r="B26" s="109" t="s">
        <v>115</v>
      </c>
      <c r="C26" s="74"/>
      <c r="D26" s="74"/>
      <c r="E26" s="74"/>
      <c r="F26" s="74"/>
      <c r="G26" s="74"/>
      <c r="H26" s="74"/>
      <c r="I26" s="74"/>
      <c r="J26" s="110"/>
    </row>
    <row r="27" spans="1:10">
      <c r="A27" s="115"/>
      <c r="B27" s="437" t="s">
        <v>116</v>
      </c>
      <c r="C27" s="348"/>
      <c r="D27" s="424" t="s">
        <v>117</v>
      </c>
      <c r="E27" s="347"/>
      <c r="F27" s="347"/>
      <c r="G27" s="347"/>
      <c r="H27" s="347"/>
      <c r="I27" s="348"/>
      <c r="J27" s="116"/>
    </row>
    <row r="28" spans="1:10">
      <c r="A28" s="117"/>
      <c r="B28" s="460" t="s">
        <v>118</v>
      </c>
      <c r="C28" s="398"/>
      <c r="D28" s="445" t="s">
        <v>119</v>
      </c>
      <c r="E28" s="397"/>
      <c r="F28" s="397"/>
      <c r="G28" s="397"/>
      <c r="H28" s="397"/>
      <c r="I28" s="398"/>
      <c r="J28" s="118"/>
    </row>
    <row r="29" spans="1:10">
      <c r="A29" s="117"/>
      <c r="B29" s="461"/>
      <c r="C29" s="448"/>
      <c r="D29" s="446"/>
      <c r="E29" s="447"/>
      <c r="F29" s="447"/>
      <c r="G29" s="447"/>
      <c r="H29" s="447"/>
      <c r="I29" s="448"/>
      <c r="J29" s="118"/>
    </row>
    <row r="30" spans="1:10">
      <c r="A30" s="117"/>
      <c r="B30" s="452"/>
      <c r="C30" s="451"/>
      <c r="D30" s="449"/>
      <c r="E30" s="450"/>
      <c r="F30" s="450"/>
      <c r="G30" s="450"/>
      <c r="H30" s="450"/>
      <c r="I30" s="451"/>
      <c r="J30" s="118"/>
    </row>
    <row r="31" spans="1:10">
      <c r="A31" s="117"/>
      <c r="B31" s="435" t="s">
        <v>120</v>
      </c>
      <c r="C31" s="436"/>
      <c r="D31" s="469" t="s">
        <v>121</v>
      </c>
      <c r="E31" s="470"/>
      <c r="F31" s="470"/>
      <c r="G31" s="470"/>
      <c r="H31" s="470"/>
      <c r="I31" s="436"/>
      <c r="J31" s="119"/>
    </row>
    <row r="32" spans="1:10">
      <c r="A32" s="117"/>
      <c r="B32" s="435" t="s">
        <v>122</v>
      </c>
      <c r="C32" s="429"/>
      <c r="D32" s="427" t="s">
        <v>123</v>
      </c>
      <c r="E32" s="428"/>
      <c r="F32" s="428"/>
      <c r="G32" s="428"/>
      <c r="H32" s="428"/>
      <c r="I32" s="429"/>
      <c r="J32" s="119"/>
    </row>
    <row r="33" spans="1:10">
      <c r="A33" s="117"/>
      <c r="B33" s="452"/>
      <c r="C33" s="451"/>
      <c r="D33" s="453" t="s">
        <v>124</v>
      </c>
      <c r="E33" s="450"/>
      <c r="F33" s="450"/>
      <c r="G33" s="450"/>
      <c r="H33" s="450"/>
      <c r="I33" s="451"/>
      <c r="J33" s="119"/>
    </row>
    <row r="34" spans="1:10">
      <c r="A34" s="117"/>
      <c r="B34" s="458" t="s">
        <v>125</v>
      </c>
      <c r="C34" s="459"/>
      <c r="D34" s="464" t="s">
        <v>126</v>
      </c>
      <c r="E34" s="465"/>
      <c r="F34" s="465"/>
      <c r="G34" s="465"/>
      <c r="H34" s="465"/>
      <c r="I34" s="459"/>
      <c r="J34" s="119"/>
    </row>
    <row r="35" spans="1:10" ht="34.5" customHeight="1" thickBot="1">
      <c r="A35" s="120"/>
      <c r="B35" s="121"/>
      <c r="C35" s="121"/>
      <c r="D35" s="121"/>
      <c r="E35" s="121"/>
      <c r="F35" s="121"/>
      <c r="G35" s="121"/>
      <c r="H35" s="121"/>
      <c r="I35" s="121"/>
      <c r="J35" s="122"/>
    </row>
    <row r="36" spans="1:10" ht="30" customHeight="1">
      <c r="A36" s="457"/>
      <c r="B36" s="441"/>
      <c r="C36" s="441"/>
      <c r="D36" s="441"/>
      <c r="E36" s="441"/>
      <c r="F36" s="441"/>
      <c r="G36" s="441"/>
      <c r="H36" s="441"/>
      <c r="I36" s="441"/>
      <c r="J36" s="441"/>
    </row>
  </sheetData>
  <mergeCells count="40">
    <mergeCell ref="A36:J36"/>
    <mergeCell ref="B34:C34"/>
    <mergeCell ref="E11:F11"/>
    <mergeCell ref="B28:C30"/>
    <mergeCell ref="I14:J14"/>
    <mergeCell ref="I17:J17"/>
    <mergeCell ref="D34:I34"/>
    <mergeCell ref="D31:I31"/>
    <mergeCell ref="I13:J13"/>
    <mergeCell ref="B32:C33"/>
    <mergeCell ref="E9:F9"/>
    <mergeCell ref="D33:I33"/>
    <mergeCell ref="A10:C10"/>
    <mergeCell ref="A1:J1"/>
    <mergeCell ref="I12:J12"/>
    <mergeCell ref="E6:F6"/>
    <mergeCell ref="I8:J8"/>
    <mergeCell ref="I4:J4"/>
    <mergeCell ref="E7:F7"/>
    <mergeCell ref="I10:J10"/>
    <mergeCell ref="E5:J5"/>
    <mergeCell ref="I9:J9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E12:F12"/>
    <mergeCell ref="D27:I27"/>
    <mergeCell ref="I6:J6"/>
    <mergeCell ref="D32:I32"/>
    <mergeCell ref="I15:J15"/>
    <mergeCell ref="I11:J11"/>
  </mergeCells>
  <phoneticPr fontId="2" type="noConversion"/>
  <printOptions horizontalCentered="1"/>
  <pageMargins left="0.2" right="0.2" top="0.78740157480314965" bottom="0.39370078740157483" header="0.31496062992125978" footer="0.47244094488188981"/>
  <pageSetup paperSize="9" scale="89"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  <pageSetUpPr fitToPage="1"/>
  </sheetPr>
  <dimension ref="A1:AO36"/>
  <sheetViews>
    <sheetView showGridLine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42" width="8.88671875" style="35" hidden="1" customWidth="1"/>
    <col min="43" max="16384" width="8.88671875" style="35" hidden="1"/>
  </cols>
  <sheetData>
    <row r="1" spans="1:10" ht="35.25" customHeight="1">
      <c r="A1" s="455" t="s">
        <v>127</v>
      </c>
      <c r="B1" s="447"/>
      <c r="C1" s="447"/>
      <c r="D1" s="447"/>
      <c r="E1" s="447"/>
      <c r="F1" s="447"/>
      <c r="G1" s="447"/>
      <c r="H1" s="447"/>
      <c r="I1" s="447"/>
      <c r="J1" s="447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71" t="s">
        <v>128</v>
      </c>
      <c r="B3" s="433"/>
      <c r="C3" s="434"/>
      <c r="D3" s="38"/>
      <c r="E3" s="38"/>
      <c r="F3" s="38"/>
      <c r="G3" s="38"/>
      <c r="H3" s="38"/>
      <c r="I3" s="38"/>
    </row>
    <row r="4" spans="1:10" ht="27.95" customHeight="1">
      <c r="A4" s="326" t="s">
        <v>76</v>
      </c>
      <c r="B4" s="86"/>
      <c r="C4" s="87" t="s">
        <v>77</v>
      </c>
      <c r="D4" s="88" t="s">
        <v>78</v>
      </c>
      <c r="E4" s="474" t="s">
        <v>79</v>
      </c>
      <c r="F4" s="434"/>
      <c r="G4" s="89" t="s">
        <v>80</v>
      </c>
      <c r="H4" s="89" t="s">
        <v>81</v>
      </c>
      <c r="I4" s="478" t="s">
        <v>55</v>
      </c>
      <c r="J4" s="467"/>
    </row>
    <row r="5" spans="1:10" ht="27.95" customHeight="1">
      <c r="A5" s="327" t="s">
        <v>82</v>
      </c>
      <c r="B5" s="90"/>
      <c r="C5" s="91" t="s">
        <v>83</v>
      </c>
      <c r="D5" s="92"/>
      <c r="E5" s="479"/>
      <c r="F5" s="347"/>
      <c r="G5" s="347"/>
      <c r="H5" s="347"/>
      <c r="I5" s="347"/>
      <c r="J5" s="426"/>
    </row>
    <row r="6" spans="1:10" ht="27.95" customHeight="1">
      <c r="A6" s="328"/>
      <c r="B6" s="93" t="s">
        <v>84</v>
      </c>
      <c r="C6" s="94" t="s">
        <v>85</v>
      </c>
      <c r="D6" s="95" t="s">
        <v>86</v>
      </c>
      <c r="E6" s="472"/>
      <c r="F6" s="348"/>
      <c r="G6" s="46"/>
      <c r="H6" s="47" t="str">
        <f>IF(E6*G6=0, "", E6*G6)</f>
        <v/>
      </c>
      <c r="I6" s="425"/>
      <c r="J6" s="426"/>
    </row>
    <row r="7" spans="1:10" ht="27.95" customHeight="1">
      <c r="A7" s="329"/>
      <c r="B7" s="96" t="s">
        <v>87</v>
      </c>
      <c r="C7" s="97" t="s">
        <v>85</v>
      </c>
      <c r="D7" s="95" t="s">
        <v>86</v>
      </c>
      <c r="E7" s="472"/>
      <c r="F7" s="348"/>
      <c r="G7" s="46"/>
      <c r="H7" s="47" t="str">
        <f>IF(E7*G7=0, "", E7*G7)</f>
        <v/>
      </c>
      <c r="I7" s="425"/>
      <c r="J7" s="426"/>
    </row>
    <row r="8" spans="1:10" ht="27.95" customHeight="1">
      <c r="A8" s="329"/>
      <c r="B8" s="96" t="s">
        <v>88</v>
      </c>
      <c r="C8" s="97" t="s">
        <v>85</v>
      </c>
      <c r="D8" s="95" t="s">
        <v>86</v>
      </c>
      <c r="E8" s="472"/>
      <c r="F8" s="348"/>
      <c r="G8" s="46"/>
      <c r="H8" s="47" t="str">
        <f>IF(E8*G8=0, "", E8*G8)</f>
        <v/>
      </c>
      <c r="I8" s="425"/>
      <c r="J8" s="426"/>
    </row>
    <row r="9" spans="1:10" ht="27.95" customHeight="1">
      <c r="A9" s="329"/>
      <c r="B9" s="96" t="s">
        <v>89</v>
      </c>
      <c r="C9" s="97" t="s">
        <v>85</v>
      </c>
      <c r="D9" s="95" t="s">
        <v>86</v>
      </c>
      <c r="E9" s="472"/>
      <c r="F9" s="348"/>
      <c r="G9" s="46"/>
      <c r="H9" s="47" t="str">
        <f>IF(E9*G9=0, "", E9*G9)</f>
        <v/>
      </c>
      <c r="I9" s="425"/>
      <c r="J9" s="426"/>
    </row>
    <row r="10" spans="1:10" ht="27.95" customHeight="1">
      <c r="A10" s="476" t="s">
        <v>90</v>
      </c>
      <c r="B10" s="347"/>
      <c r="C10" s="348"/>
      <c r="D10" s="95"/>
      <c r="E10" s="475"/>
      <c r="F10" s="347"/>
      <c r="G10" s="59"/>
      <c r="H10" s="57"/>
      <c r="I10" s="425"/>
      <c r="J10" s="426"/>
    </row>
    <row r="11" spans="1:10" ht="27.95" customHeight="1">
      <c r="A11" s="327" t="s">
        <v>91</v>
      </c>
      <c r="B11" s="90"/>
      <c r="C11" s="91" t="s">
        <v>92</v>
      </c>
      <c r="D11" s="250" t="s">
        <v>57</v>
      </c>
      <c r="E11" s="423" t="s">
        <v>93</v>
      </c>
      <c r="F11" s="347"/>
      <c r="G11" s="49">
        <v>0.1</v>
      </c>
      <c r="H11" s="50"/>
      <c r="I11" s="431" t="s">
        <v>94</v>
      </c>
      <c r="J11" s="426"/>
    </row>
    <row r="12" spans="1:10" ht="27.95" customHeight="1">
      <c r="A12" s="327" t="s">
        <v>95</v>
      </c>
      <c r="B12" s="90"/>
      <c r="C12" s="91" t="s">
        <v>96</v>
      </c>
      <c r="D12" s="250" t="s">
        <v>57</v>
      </c>
      <c r="E12" s="423" t="s">
        <v>93</v>
      </c>
      <c r="F12" s="347"/>
      <c r="G12" s="49">
        <v>1.1000000000000001</v>
      </c>
      <c r="H12" s="50"/>
      <c r="I12" s="456" t="s">
        <v>97</v>
      </c>
      <c r="J12" s="426"/>
    </row>
    <row r="13" spans="1:10" ht="27.95" customHeight="1">
      <c r="A13" s="327" t="s">
        <v>98</v>
      </c>
      <c r="B13" s="90"/>
      <c r="C13" s="91" t="s">
        <v>99</v>
      </c>
      <c r="D13" s="250" t="s">
        <v>57</v>
      </c>
      <c r="E13" s="423" t="s">
        <v>100</v>
      </c>
      <c r="F13" s="347"/>
      <c r="G13" s="49">
        <v>0.2</v>
      </c>
      <c r="H13" s="50"/>
      <c r="I13" s="456" t="s">
        <v>101</v>
      </c>
      <c r="J13" s="426"/>
    </row>
    <row r="14" spans="1:10" ht="27.95" customHeight="1">
      <c r="A14" s="330" t="s">
        <v>102</v>
      </c>
      <c r="B14" s="98"/>
      <c r="C14" s="99" t="s">
        <v>129</v>
      </c>
      <c r="D14" s="92"/>
      <c r="E14" s="423" t="s">
        <v>104</v>
      </c>
      <c r="F14" s="347"/>
      <c r="G14" s="49"/>
      <c r="H14" s="71"/>
      <c r="I14" s="430"/>
      <c r="J14" s="426"/>
    </row>
    <row r="15" spans="1:10" ht="27.95" customHeight="1">
      <c r="A15" s="330" t="s">
        <v>105</v>
      </c>
      <c r="B15" s="98"/>
      <c r="C15" s="100" t="s">
        <v>106</v>
      </c>
      <c r="D15" s="92"/>
      <c r="E15" s="438"/>
      <c r="F15" s="347"/>
      <c r="G15" s="348"/>
      <c r="H15" s="51"/>
      <c r="I15" s="430"/>
      <c r="J15" s="426"/>
    </row>
    <row r="16" spans="1:10" ht="7.5" customHeight="1">
      <c r="A16" s="331"/>
      <c r="B16" s="60"/>
      <c r="C16" s="61"/>
      <c r="D16" s="62"/>
      <c r="E16" s="52"/>
      <c r="F16" s="52"/>
      <c r="G16" s="52"/>
      <c r="H16" s="52"/>
      <c r="I16" s="52"/>
      <c r="J16" s="323"/>
    </row>
    <row r="17" spans="1:10" s="36" customFormat="1" ht="27.95" customHeight="1" thickBot="1">
      <c r="A17" s="332" t="s">
        <v>107</v>
      </c>
      <c r="B17" s="101"/>
      <c r="C17" s="102" t="s">
        <v>108</v>
      </c>
      <c r="D17" s="103"/>
      <c r="E17" s="103"/>
      <c r="F17" s="103"/>
      <c r="G17" s="104"/>
      <c r="H17" s="105"/>
      <c r="I17" s="477"/>
      <c r="J17" s="463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73" t="s">
        <v>109</v>
      </c>
      <c r="B19" s="441"/>
      <c r="C19" s="441"/>
      <c r="D19" s="441"/>
      <c r="E19" s="441"/>
      <c r="F19" s="441"/>
      <c r="G19" s="441"/>
      <c r="H19" s="441"/>
      <c r="I19" s="441"/>
      <c r="J19" s="442"/>
    </row>
    <row r="20" spans="1:10" ht="20.100000000000001" customHeight="1">
      <c r="A20" s="108"/>
      <c r="B20" s="109" t="s">
        <v>110</v>
      </c>
      <c r="C20" s="74"/>
      <c r="D20" s="74"/>
      <c r="E20" s="74"/>
      <c r="F20" s="74"/>
      <c r="G20" s="74"/>
      <c r="H20" s="74"/>
      <c r="I20" s="74"/>
      <c r="J20" s="110"/>
    </row>
    <row r="21" spans="1:10" ht="20.100000000000001" customHeight="1">
      <c r="A21" s="111"/>
      <c r="B21" s="112" t="s">
        <v>111</v>
      </c>
      <c r="C21" s="74"/>
      <c r="D21" s="74"/>
      <c r="E21" s="74"/>
      <c r="F21" s="74"/>
      <c r="G21" s="74"/>
      <c r="H21" s="74"/>
      <c r="I21" s="74"/>
      <c r="J21" s="110"/>
    </row>
    <row r="22" spans="1:10" ht="20.100000000000001" customHeight="1">
      <c r="A22" s="111"/>
      <c r="B22" s="112" t="s">
        <v>112</v>
      </c>
      <c r="C22" s="74"/>
      <c r="D22" s="74"/>
      <c r="E22" s="74"/>
      <c r="F22" s="74"/>
      <c r="G22" s="74"/>
      <c r="H22" s="74"/>
      <c r="I22" s="74"/>
      <c r="J22" s="110"/>
    </row>
    <row r="23" spans="1:10" ht="20.100000000000001" customHeight="1">
      <c r="A23" s="111"/>
      <c r="B23" s="112" t="s">
        <v>113</v>
      </c>
      <c r="C23" s="74"/>
      <c r="D23" s="74"/>
      <c r="E23" s="74"/>
      <c r="F23" s="74"/>
      <c r="G23" s="74"/>
      <c r="H23" s="74"/>
      <c r="I23" s="74"/>
      <c r="J23" s="110"/>
    </row>
    <row r="24" spans="1:10" ht="20.100000000000001" customHeight="1">
      <c r="A24" s="111"/>
      <c r="B24" s="112" t="s">
        <v>114</v>
      </c>
      <c r="C24" s="74"/>
      <c r="D24" s="74"/>
      <c r="E24" s="74"/>
      <c r="F24" s="74"/>
      <c r="G24" s="74"/>
      <c r="H24" s="74"/>
      <c r="I24" s="74"/>
      <c r="J24" s="110"/>
    </row>
    <row r="25" spans="1:10" ht="20.100000000000001" customHeight="1">
      <c r="A25" s="113"/>
      <c r="B25" s="114"/>
      <c r="C25" s="74"/>
      <c r="D25" s="74"/>
      <c r="E25" s="74"/>
      <c r="F25" s="74"/>
      <c r="G25" s="74"/>
      <c r="H25" s="74"/>
      <c r="I25" s="74"/>
      <c r="J25" s="110"/>
    </row>
    <row r="26" spans="1:10" ht="20.100000000000001" customHeight="1">
      <c r="A26" s="108"/>
      <c r="B26" s="109" t="s">
        <v>130</v>
      </c>
      <c r="C26" s="74"/>
      <c r="D26" s="74"/>
      <c r="E26" s="74"/>
      <c r="F26" s="74"/>
      <c r="G26" s="74"/>
      <c r="H26" s="74"/>
      <c r="I26" s="74"/>
      <c r="J26" s="110"/>
    </row>
    <row r="27" spans="1:10">
      <c r="A27" s="115"/>
      <c r="B27" s="437" t="s">
        <v>116</v>
      </c>
      <c r="C27" s="348"/>
      <c r="D27" s="424" t="s">
        <v>131</v>
      </c>
      <c r="E27" s="347"/>
      <c r="F27" s="347"/>
      <c r="G27" s="347"/>
      <c r="H27" s="347"/>
      <c r="I27" s="348"/>
      <c r="J27" s="116"/>
    </row>
    <row r="28" spans="1:10">
      <c r="A28" s="117"/>
      <c r="B28" s="460" t="s">
        <v>118</v>
      </c>
      <c r="C28" s="398"/>
      <c r="D28" s="445" t="s">
        <v>132</v>
      </c>
      <c r="E28" s="397"/>
      <c r="F28" s="397"/>
      <c r="G28" s="397"/>
      <c r="H28" s="397"/>
      <c r="I28" s="398"/>
      <c r="J28" s="118"/>
    </row>
    <row r="29" spans="1:10">
      <c r="A29" s="117"/>
      <c r="B29" s="461"/>
      <c r="C29" s="448"/>
      <c r="D29" s="446"/>
      <c r="E29" s="447"/>
      <c r="F29" s="447"/>
      <c r="G29" s="447"/>
      <c r="H29" s="447"/>
      <c r="I29" s="448"/>
      <c r="J29" s="118"/>
    </row>
    <row r="30" spans="1:10">
      <c r="A30" s="117"/>
      <c r="B30" s="452"/>
      <c r="C30" s="451"/>
      <c r="D30" s="449"/>
      <c r="E30" s="450"/>
      <c r="F30" s="450"/>
      <c r="G30" s="450"/>
      <c r="H30" s="450"/>
      <c r="I30" s="451"/>
      <c r="J30" s="118"/>
    </row>
    <row r="31" spans="1:10">
      <c r="A31" s="117"/>
      <c r="B31" s="435" t="s">
        <v>120</v>
      </c>
      <c r="C31" s="436"/>
      <c r="D31" s="469" t="s">
        <v>133</v>
      </c>
      <c r="E31" s="470"/>
      <c r="F31" s="470"/>
      <c r="G31" s="470"/>
      <c r="H31" s="470"/>
      <c r="I31" s="436"/>
      <c r="J31" s="119"/>
    </row>
    <row r="32" spans="1:10">
      <c r="A32" s="117"/>
      <c r="B32" s="435" t="s">
        <v>122</v>
      </c>
      <c r="C32" s="429"/>
      <c r="D32" s="427" t="s">
        <v>134</v>
      </c>
      <c r="E32" s="428"/>
      <c r="F32" s="428"/>
      <c r="G32" s="428"/>
      <c r="H32" s="428"/>
      <c r="I32" s="429"/>
      <c r="J32" s="119"/>
    </row>
    <row r="33" spans="1:10">
      <c r="A33" s="117"/>
      <c r="B33" s="452"/>
      <c r="C33" s="451"/>
      <c r="D33" s="453" t="s">
        <v>135</v>
      </c>
      <c r="E33" s="450"/>
      <c r="F33" s="450"/>
      <c r="G33" s="450"/>
      <c r="H33" s="450"/>
      <c r="I33" s="451"/>
      <c r="J33" s="119"/>
    </row>
    <row r="34" spans="1:10">
      <c r="A34" s="117"/>
      <c r="B34" s="458" t="s">
        <v>125</v>
      </c>
      <c r="C34" s="459"/>
      <c r="D34" s="464" t="s">
        <v>136</v>
      </c>
      <c r="E34" s="465"/>
      <c r="F34" s="465"/>
      <c r="G34" s="465"/>
      <c r="H34" s="465"/>
      <c r="I34" s="459"/>
      <c r="J34" s="119"/>
    </row>
    <row r="35" spans="1:10" ht="34.5" customHeight="1" thickBot="1">
      <c r="A35" s="120"/>
      <c r="B35" s="121"/>
      <c r="C35" s="121"/>
      <c r="D35" s="121"/>
      <c r="E35" s="121"/>
      <c r="F35" s="121"/>
      <c r="G35" s="121"/>
      <c r="H35" s="121"/>
      <c r="I35" s="121"/>
      <c r="J35" s="122"/>
    </row>
    <row r="36" spans="1:10" ht="30" customHeight="1">
      <c r="A36" s="457"/>
      <c r="B36" s="441"/>
      <c r="C36" s="441"/>
      <c r="D36" s="441"/>
      <c r="E36" s="441"/>
      <c r="F36" s="441"/>
      <c r="G36" s="441"/>
      <c r="H36" s="441"/>
      <c r="I36" s="441"/>
      <c r="J36" s="441"/>
    </row>
  </sheetData>
  <mergeCells count="40">
    <mergeCell ref="A36:J36"/>
    <mergeCell ref="B34:C34"/>
    <mergeCell ref="E11:F11"/>
    <mergeCell ref="B28:C30"/>
    <mergeCell ref="I14:J14"/>
    <mergeCell ref="I17:J17"/>
    <mergeCell ref="D34:I34"/>
    <mergeCell ref="D31:I31"/>
    <mergeCell ref="I13:J13"/>
    <mergeCell ref="B32:C33"/>
    <mergeCell ref="E9:F9"/>
    <mergeCell ref="D33:I33"/>
    <mergeCell ref="A10:C10"/>
    <mergeCell ref="A1:J1"/>
    <mergeCell ref="I12:J12"/>
    <mergeCell ref="E6:F6"/>
    <mergeCell ref="I8:J8"/>
    <mergeCell ref="I4:J4"/>
    <mergeCell ref="E7:F7"/>
    <mergeCell ref="I10:J10"/>
    <mergeCell ref="E5:J5"/>
    <mergeCell ref="I9:J9"/>
    <mergeCell ref="A3:C3"/>
    <mergeCell ref="E14:F14"/>
    <mergeCell ref="B31:C31"/>
    <mergeCell ref="B27:C27"/>
    <mergeCell ref="E15:G15"/>
    <mergeCell ref="E8:F8"/>
    <mergeCell ref="A19:J19"/>
    <mergeCell ref="E4:F4"/>
    <mergeCell ref="E10:F10"/>
    <mergeCell ref="I7:J7"/>
    <mergeCell ref="D28:I30"/>
    <mergeCell ref="E13:F13"/>
    <mergeCell ref="E12:F12"/>
    <mergeCell ref="D27:I27"/>
    <mergeCell ref="I6:J6"/>
    <mergeCell ref="D32:I32"/>
    <mergeCell ref="I15:J15"/>
    <mergeCell ref="I11:J11"/>
  </mergeCells>
  <phoneticPr fontId="2" type="noConversion"/>
  <printOptions horizontalCentered="1"/>
  <pageMargins left="0.2" right="0.2" top="0.78740157480314965" bottom="0.39370078740157483" header="0.31496062992125978" footer="0.47244094488188981"/>
  <pageSetup paperSize="9" scale="89"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  <pageSetUpPr fitToPage="1"/>
  </sheetPr>
  <dimension ref="A1:AO36"/>
  <sheetViews>
    <sheetView showGridLines="0" showZero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42" width="8.88671875" style="35" hidden="1" customWidth="1"/>
    <col min="43" max="16384" width="8.88671875" style="35" hidden="1"/>
  </cols>
  <sheetData>
    <row r="1" spans="1:10" ht="35.25" customHeight="1">
      <c r="A1" s="455" t="s">
        <v>137</v>
      </c>
      <c r="B1" s="447"/>
      <c r="C1" s="447"/>
      <c r="D1" s="447"/>
      <c r="E1" s="447"/>
      <c r="F1" s="447"/>
      <c r="G1" s="447"/>
      <c r="H1" s="447"/>
      <c r="I1" s="447"/>
      <c r="J1" s="447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82" t="s">
        <v>138</v>
      </c>
      <c r="B3" s="433"/>
      <c r="C3" s="434"/>
      <c r="D3" s="38"/>
      <c r="E3" s="38"/>
      <c r="F3" s="38"/>
      <c r="G3" s="38"/>
      <c r="H3" s="38"/>
      <c r="I3" s="38"/>
    </row>
    <row r="4" spans="1:10" ht="27.95" customHeight="1">
      <c r="A4" s="333" t="s">
        <v>76</v>
      </c>
      <c r="B4" s="144"/>
      <c r="C4" s="125" t="s">
        <v>77</v>
      </c>
      <c r="D4" s="126" t="s">
        <v>78</v>
      </c>
      <c r="E4" s="126" t="s">
        <v>139</v>
      </c>
      <c r="F4" s="126" t="s">
        <v>140</v>
      </c>
      <c r="G4" s="127" t="s">
        <v>80</v>
      </c>
      <c r="H4" s="127" t="s">
        <v>81</v>
      </c>
      <c r="I4" s="491" t="s">
        <v>55</v>
      </c>
      <c r="J4" s="467"/>
    </row>
    <row r="5" spans="1:10" ht="27.95" customHeight="1">
      <c r="A5" s="334" t="s">
        <v>82</v>
      </c>
      <c r="B5" s="128"/>
      <c r="C5" s="129" t="s">
        <v>83</v>
      </c>
      <c r="D5" s="130"/>
      <c r="E5" s="479"/>
      <c r="F5" s="347"/>
      <c r="G5" s="347"/>
      <c r="H5" s="347"/>
      <c r="I5" s="347"/>
      <c r="J5" s="426"/>
    </row>
    <row r="6" spans="1:10" ht="27.95" customHeight="1">
      <c r="A6" s="335"/>
      <c r="B6" s="131" t="s">
        <v>84</v>
      </c>
      <c r="C6" s="132" t="s">
        <v>85</v>
      </c>
      <c r="D6" s="133" t="s">
        <v>86</v>
      </c>
      <c r="E6" s="124"/>
      <c r="F6" s="124" t="str">
        <f>IF(E6=1,12,"")</f>
        <v/>
      </c>
      <c r="G6" s="46"/>
      <c r="H6" s="47" t="str">
        <f>IFERROR(E6*F6*G6,"")</f>
        <v/>
      </c>
      <c r="I6" s="425"/>
      <c r="J6" s="426"/>
    </row>
    <row r="7" spans="1:10" ht="27.95" customHeight="1">
      <c r="A7" s="336"/>
      <c r="B7" s="134" t="s">
        <v>87</v>
      </c>
      <c r="C7" s="135" t="s">
        <v>85</v>
      </c>
      <c r="D7" s="133" t="s">
        <v>86</v>
      </c>
      <c r="E7" s="124"/>
      <c r="F7" s="124" t="str">
        <f>IF(E7=1,12,"")</f>
        <v/>
      </c>
      <c r="G7" s="46"/>
      <c r="H7" s="47" t="str">
        <f>IFERROR(E7*F7*G7,"")</f>
        <v/>
      </c>
      <c r="I7" s="425"/>
      <c r="J7" s="426"/>
    </row>
    <row r="8" spans="1:10" ht="27.95" customHeight="1">
      <c r="A8" s="336"/>
      <c r="B8" s="134" t="s">
        <v>88</v>
      </c>
      <c r="C8" s="135" t="s">
        <v>85</v>
      </c>
      <c r="D8" s="133" t="s">
        <v>86</v>
      </c>
      <c r="E8" s="124"/>
      <c r="F8" s="124" t="str">
        <f>IF(E8=1,12,"")</f>
        <v/>
      </c>
      <c r="G8" s="46"/>
      <c r="H8" s="47" t="str">
        <f>IFERROR(E8*F8*G8,"")</f>
        <v/>
      </c>
      <c r="I8" s="425"/>
      <c r="J8" s="426"/>
    </row>
    <row r="9" spans="1:10" ht="27.95" customHeight="1">
      <c r="A9" s="336"/>
      <c r="B9" s="134" t="s">
        <v>89</v>
      </c>
      <c r="C9" s="135" t="s">
        <v>85</v>
      </c>
      <c r="D9" s="133" t="s">
        <v>86</v>
      </c>
      <c r="E9" s="124"/>
      <c r="F9" s="124" t="str">
        <f>IF(E9=1,12,"")</f>
        <v/>
      </c>
      <c r="G9" s="46"/>
      <c r="H9" s="47" t="str">
        <f>IFERROR(E9*F9*G9,"")</f>
        <v/>
      </c>
      <c r="I9" s="425"/>
      <c r="J9" s="426"/>
    </row>
    <row r="10" spans="1:10" ht="27.95" customHeight="1">
      <c r="A10" s="486" t="s">
        <v>90</v>
      </c>
      <c r="B10" s="347"/>
      <c r="C10" s="348"/>
      <c r="D10" s="133"/>
      <c r="E10" s="475"/>
      <c r="F10" s="347"/>
      <c r="G10" s="59"/>
      <c r="H10" s="57"/>
      <c r="I10" s="425"/>
      <c r="J10" s="426"/>
    </row>
    <row r="11" spans="1:10" ht="27.95" customHeight="1">
      <c r="A11" s="334" t="s">
        <v>91</v>
      </c>
      <c r="B11" s="128"/>
      <c r="C11" s="129" t="s">
        <v>92</v>
      </c>
      <c r="D11" s="130"/>
      <c r="E11" s="423" t="s">
        <v>93</v>
      </c>
      <c r="F11" s="347"/>
      <c r="G11" s="49">
        <v>0</v>
      </c>
      <c r="H11" s="50"/>
      <c r="I11" s="431"/>
      <c r="J11" s="426"/>
    </row>
    <row r="12" spans="1:10" ht="27.95" customHeight="1">
      <c r="A12" s="334" t="s">
        <v>95</v>
      </c>
      <c r="B12" s="128"/>
      <c r="C12" s="129" t="s">
        <v>96</v>
      </c>
      <c r="D12" s="130"/>
      <c r="E12" s="423" t="s">
        <v>93</v>
      </c>
      <c r="F12" s="347"/>
      <c r="G12" s="49">
        <v>0</v>
      </c>
      <c r="H12" s="50"/>
      <c r="I12" s="456"/>
      <c r="J12" s="426"/>
    </row>
    <row r="13" spans="1:10" ht="27.95" customHeight="1">
      <c r="A13" s="334" t="s">
        <v>98</v>
      </c>
      <c r="B13" s="128"/>
      <c r="C13" s="129" t="s">
        <v>99</v>
      </c>
      <c r="D13" s="130"/>
      <c r="E13" s="423" t="s">
        <v>100</v>
      </c>
      <c r="F13" s="347"/>
      <c r="G13" s="49">
        <v>0</v>
      </c>
      <c r="H13" s="50"/>
      <c r="I13" s="456"/>
      <c r="J13" s="426"/>
    </row>
    <row r="14" spans="1:10" ht="27.95" customHeight="1">
      <c r="A14" s="337" t="s">
        <v>102</v>
      </c>
      <c r="B14" s="136"/>
      <c r="C14" s="137" t="s">
        <v>129</v>
      </c>
      <c r="D14" s="130"/>
      <c r="E14" s="423" t="s">
        <v>104</v>
      </c>
      <c r="F14" s="347"/>
      <c r="G14" s="49"/>
      <c r="H14" s="50"/>
      <c r="I14" s="430"/>
      <c r="J14" s="426"/>
    </row>
    <row r="15" spans="1:10" ht="27.95" customHeight="1">
      <c r="A15" s="337" t="s">
        <v>105</v>
      </c>
      <c r="B15" s="136"/>
      <c r="C15" s="138" t="s">
        <v>106</v>
      </c>
      <c r="D15" s="130"/>
      <c r="E15" s="438"/>
      <c r="F15" s="347"/>
      <c r="G15" s="348"/>
      <c r="H15" s="51"/>
      <c r="I15" s="430"/>
      <c r="J15" s="426"/>
    </row>
    <row r="16" spans="1:10" ht="7.5" customHeight="1">
      <c r="A16" s="331"/>
      <c r="B16" s="60"/>
      <c r="C16" s="61"/>
      <c r="D16" s="62"/>
      <c r="E16" s="52"/>
      <c r="F16" s="52"/>
      <c r="G16" s="52"/>
      <c r="H16" s="52"/>
      <c r="I16" s="52"/>
      <c r="J16" s="323"/>
    </row>
    <row r="17" spans="1:10" s="36" customFormat="1" ht="27.95" customHeight="1" thickBot="1">
      <c r="A17" s="338" t="s">
        <v>107</v>
      </c>
      <c r="B17" s="139"/>
      <c r="C17" s="140" t="s">
        <v>108</v>
      </c>
      <c r="D17" s="141"/>
      <c r="E17" s="141"/>
      <c r="F17" s="141"/>
      <c r="G17" s="142"/>
      <c r="H17" s="143"/>
      <c r="I17" s="490"/>
      <c r="J17" s="463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83" t="s">
        <v>109</v>
      </c>
      <c r="B19" s="441"/>
      <c r="C19" s="441"/>
      <c r="D19" s="441"/>
      <c r="E19" s="441"/>
      <c r="F19" s="441"/>
      <c r="G19" s="441"/>
      <c r="H19" s="441"/>
      <c r="I19" s="441"/>
      <c r="J19" s="442"/>
    </row>
    <row r="20" spans="1:10" ht="20.100000000000001" customHeight="1">
      <c r="A20" s="108"/>
      <c r="B20" s="109" t="s">
        <v>110</v>
      </c>
      <c r="C20" s="74"/>
      <c r="D20" s="74"/>
      <c r="E20" s="74"/>
      <c r="F20" s="74"/>
      <c r="G20" s="74"/>
      <c r="H20" s="74"/>
      <c r="I20" s="74"/>
      <c r="J20" s="110"/>
    </row>
    <row r="21" spans="1:10" ht="20.100000000000001" customHeight="1">
      <c r="A21" s="111"/>
      <c r="B21" s="112" t="s">
        <v>111</v>
      </c>
      <c r="C21" s="74"/>
      <c r="D21" s="74"/>
      <c r="E21" s="74"/>
      <c r="F21" s="74"/>
      <c r="G21" s="74"/>
      <c r="H21" s="74"/>
      <c r="I21" s="74"/>
      <c r="J21" s="110"/>
    </row>
    <row r="22" spans="1:10" ht="20.100000000000001" customHeight="1">
      <c r="A22" s="111"/>
      <c r="B22" s="112" t="s">
        <v>112</v>
      </c>
      <c r="C22" s="74"/>
      <c r="D22" s="74"/>
      <c r="E22" s="74"/>
      <c r="F22" s="74"/>
      <c r="G22" s="74"/>
      <c r="H22" s="74"/>
      <c r="I22" s="74"/>
      <c r="J22" s="110"/>
    </row>
    <row r="23" spans="1:10" ht="20.100000000000001" customHeight="1">
      <c r="A23" s="111"/>
      <c r="B23" s="112" t="s">
        <v>113</v>
      </c>
      <c r="C23" s="74"/>
      <c r="D23" s="74"/>
      <c r="E23" s="74"/>
      <c r="F23" s="74"/>
      <c r="G23" s="74"/>
      <c r="H23" s="74"/>
      <c r="I23" s="74"/>
      <c r="J23" s="110"/>
    </row>
    <row r="24" spans="1:10" ht="20.100000000000001" customHeight="1">
      <c r="A24" s="111"/>
      <c r="B24" s="112" t="s">
        <v>114</v>
      </c>
      <c r="C24" s="74"/>
      <c r="D24" s="74"/>
      <c r="E24" s="74"/>
      <c r="F24" s="74"/>
      <c r="G24" s="74"/>
      <c r="H24" s="74"/>
      <c r="I24" s="74"/>
      <c r="J24" s="110"/>
    </row>
    <row r="25" spans="1:10" ht="20.100000000000001" customHeight="1">
      <c r="A25" s="113"/>
      <c r="B25" s="114"/>
      <c r="C25" s="74"/>
      <c r="D25" s="74"/>
      <c r="E25" s="74"/>
      <c r="F25" s="74"/>
      <c r="G25" s="74"/>
      <c r="H25" s="74"/>
      <c r="I25" s="74"/>
      <c r="J25" s="110"/>
    </row>
    <row r="26" spans="1:10" ht="20.100000000000001" customHeight="1">
      <c r="A26" s="108"/>
      <c r="B26" s="109" t="s">
        <v>141</v>
      </c>
      <c r="C26" s="74"/>
      <c r="D26" s="74"/>
      <c r="E26" s="74"/>
      <c r="F26" s="74"/>
      <c r="G26" s="74"/>
      <c r="H26" s="74"/>
      <c r="I26" s="74"/>
      <c r="J26" s="110"/>
    </row>
    <row r="27" spans="1:10">
      <c r="A27" s="115"/>
      <c r="B27" s="487" t="s">
        <v>142</v>
      </c>
      <c r="C27" s="347"/>
      <c r="D27" s="347"/>
      <c r="E27" s="348"/>
      <c r="F27" s="489" t="s">
        <v>143</v>
      </c>
      <c r="G27" s="348"/>
      <c r="H27" s="202" t="s">
        <v>144</v>
      </c>
      <c r="I27" s="202" t="s">
        <v>145</v>
      </c>
      <c r="J27" s="116"/>
    </row>
    <row r="28" spans="1:10">
      <c r="A28" s="117"/>
      <c r="B28" s="492" t="s">
        <v>146</v>
      </c>
      <c r="C28" s="450"/>
      <c r="D28" s="450"/>
      <c r="E28" s="451"/>
      <c r="F28" s="488" t="s">
        <v>147</v>
      </c>
      <c r="G28" s="451"/>
      <c r="H28" s="145" t="s">
        <v>148</v>
      </c>
      <c r="I28" s="200">
        <v>46040</v>
      </c>
      <c r="J28" s="118"/>
    </row>
    <row r="29" spans="1:10">
      <c r="A29" s="117"/>
      <c r="B29" s="481" t="s">
        <v>149</v>
      </c>
      <c r="C29" s="470"/>
      <c r="D29" s="470"/>
      <c r="E29" s="436"/>
      <c r="F29" s="480" t="s">
        <v>150</v>
      </c>
      <c r="G29" s="436"/>
      <c r="H29" s="146" t="s">
        <v>148</v>
      </c>
      <c r="I29" s="201">
        <v>46040</v>
      </c>
      <c r="J29" s="118"/>
    </row>
    <row r="30" spans="1:10">
      <c r="A30" s="117"/>
      <c r="B30" s="481" t="s">
        <v>151</v>
      </c>
      <c r="C30" s="470"/>
      <c r="D30" s="470"/>
      <c r="E30" s="436"/>
      <c r="F30" s="480" t="s">
        <v>152</v>
      </c>
      <c r="G30" s="436"/>
      <c r="H30" s="146" t="s">
        <v>148</v>
      </c>
      <c r="I30" s="201">
        <v>46252</v>
      </c>
      <c r="J30" s="118"/>
    </row>
    <row r="31" spans="1:10">
      <c r="A31" s="117"/>
      <c r="B31" s="481" t="s">
        <v>153</v>
      </c>
      <c r="C31" s="470"/>
      <c r="D31" s="470"/>
      <c r="E31" s="436"/>
      <c r="F31" s="480" t="s">
        <v>154</v>
      </c>
      <c r="G31" s="436"/>
      <c r="H31" s="146" t="s">
        <v>148</v>
      </c>
      <c r="I31" s="201">
        <v>46252</v>
      </c>
      <c r="J31" s="119"/>
    </row>
    <row r="32" spans="1:10">
      <c r="A32" s="117"/>
      <c r="B32" s="484" t="s">
        <v>155</v>
      </c>
      <c r="C32" s="465"/>
      <c r="D32" s="465"/>
      <c r="E32" s="459"/>
      <c r="F32" s="485" t="s">
        <v>154</v>
      </c>
      <c r="G32" s="459"/>
      <c r="H32" s="203" t="s">
        <v>148</v>
      </c>
      <c r="I32" s="204">
        <v>46617</v>
      </c>
      <c r="J32" s="119"/>
    </row>
    <row r="33" spans="1:10">
      <c r="A33" s="117"/>
      <c r="B33" s="147" t="s">
        <v>156</v>
      </c>
      <c r="C33" s="107"/>
      <c r="D33" s="107"/>
      <c r="E33" s="107"/>
      <c r="F33" s="107"/>
      <c r="G33" s="107"/>
      <c r="H33" s="107"/>
      <c r="I33" s="107"/>
      <c r="J33" s="119"/>
    </row>
    <row r="34" spans="1:10">
      <c r="A34" s="117"/>
      <c r="B34" s="147" t="s">
        <v>157</v>
      </c>
      <c r="C34" s="107"/>
      <c r="D34" s="107"/>
      <c r="E34" s="107"/>
      <c r="F34" s="107"/>
      <c r="G34" s="107"/>
      <c r="H34" s="107"/>
      <c r="I34" s="107"/>
      <c r="J34" s="119"/>
    </row>
    <row r="35" spans="1:10" ht="34.5" customHeight="1" thickBot="1">
      <c r="A35" s="120"/>
      <c r="B35" s="121"/>
      <c r="C35" s="121"/>
      <c r="D35" s="121"/>
      <c r="E35" s="121"/>
      <c r="F35" s="121"/>
      <c r="G35" s="121"/>
      <c r="H35" s="121"/>
      <c r="I35" s="121"/>
      <c r="J35" s="122"/>
    </row>
    <row r="36" spans="1:10" ht="30" customHeight="1">
      <c r="A36" s="457"/>
      <c r="B36" s="441"/>
      <c r="C36" s="441"/>
      <c r="D36" s="441"/>
      <c r="E36" s="441"/>
      <c r="F36" s="441"/>
      <c r="G36" s="441"/>
      <c r="H36" s="441"/>
      <c r="I36" s="441"/>
      <c r="J36" s="441"/>
    </row>
  </sheetData>
  <mergeCells count="36">
    <mergeCell ref="A1:J1"/>
    <mergeCell ref="B27:E27"/>
    <mergeCell ref="I12:J12"/>
    <mergeCell ref="A36:J36"/>
    <mergeCell ref="E11:F11"/>
    <mergeCell ref="F31:G31"/>
    <mergeCell ref="F28:G28"/>
    <mergeCell ref="I14:J14"/>
    <mergeCell ref="I8:J8"/>
    <mergeCell ref="F27:G27"/>
    <mergeCell ref="I17:J17"/>
    <mergeCell ref="I4:J4"/>
    <mergeCell ref="I10:J10"/>
    <mergeCell ref="E5:J5"/>
    <mergeCell ref="B29:E29"/>
    <mergeCell ref="I13:J13"/>
    <mergeCell ref="A3:C3"/>
    <mergeCell ref="E14:F14"/>
    <mergeCell ref="E15:G15"/>
    <mergeCell ref="A19:J19"/>
    <mergeCell ref="B32:E32"/>
    <mergeCell ref="F30:G30"/>
    <mergeCell ref="E10:F10"/>
    <mergeCell ref="I7:J7"/>
    <mergeCell ref="E13:F13"/>
    <mergeCell ref="F32:G32"/>
    <mergeCell ref="A10:C10"/>
    <mergeCell ref="B31:E31"/>
    <mergeCell ref="B28:E28"/>
    <mergeCell ref="I9:J9"/>
    <mergeCell ref="E12:F12"/>
    <mergeCell ref="I6:J6"/>
    <mergeCell ref="F29:G29"/>
    <mergeCell ref="I15:J15"/>
    <mergeCell ref="B30:E30"/>
    <mergeCell ref="I11:J11"/>
  </mergeCells>
  <phoneticPr fontId="2" type="noConversion"/>
  <printOptions horizontalCentered="1"/>
  <pageMargins left="0.2" right="0.2" top="0.78740157480314965" bottom="0.39370078740157483" header="0.31496062992125978" footer="0.47244094488188981"/>
  <pageSetup paperSize="9" scale="89"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  <pageSetUpPr fitToPage="1"/>
  </sheetPr>
  <dimension ref="A1:Z40"/>
  <sheetViews>
    <sheetView showGridLines="0" showZeros="0" view="pageBreakPreview" zoomScale="85" zoomScaleNormal="85" zoomScaleSheetLayoutView="85" workbookViewId="0">
      <selection sqref="A1:Y1"/>
    </sheetView>
  </sheetViews>
  <sheetFormatPr defaultColWidth="3.77734375" defaultRowHeight="20.100000000000001" customHeight="1"/>
  <cols>
    <col min="1" max="11" width="4" style="35" customWidth="1"/>
    <col min="12" max="14" width="2.77734375" style="35" customWidth="1"/>
    <col min="15" max="25" width="4" style="35" customWidth="1"/>
    <col min="26" max="26" width="3.77734375" style="35" customWidth="1"/>
    <col min="27" max="16384" width="3.77734375" style="35"/>
  </cols>
  <sheetData>
    <row r="1" spans="1:26" ht="35.1" customHeight="1">
      <c r="A1" s="508" t="s">
        <v>158</v>
      </c>
      <c r="B1" s="441"/>
      <c r="C1" s="441"/>
      <c r="D1" s="441"/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441"/>
      <c r="T1" s="441"/>
      <c r="U1" s="441"/>
      <c r="V1" s="441"/>
      <c r="W1" s="441"/>
      <c r="X1" s="441"/>
      <c r="Y1" s="442"/>
    </row>
    <row r="2" spans="1:26" s="157" customFormat="1" ht="21" customHeight="1">
      <c r="A2" s="180"/>
      <c r="B2" s="149"/>
      <c r="C2" s="149"/>
      <c r="D2" s="149"/>
      <c r="E2" s="149"/>
      <c r="F2" s="149"/>
      <c r="G2" s="149"/>
      <c r="H2" s="149"/>
      <c r="Y2" s="181"/>
    </row>
    <row r="3" spans="1:26" s="157" customFormat="1" ht="21" customHeight="1" thickBot="1">
      <c r="A3" s="180"/>
      <c r="B3" s="149"/>
      <c r="C3" s="149"/>
      <c r="D3" s="149"/>
      <c r="E3" s="149"/>
      <c r="F3" s="149"/>
      <c r="G3" s="149"/>
      <c r="H3" s="149"/>
      <c r="Y3" s="181"/>
    </row>
    <row r="4" spans="1:26" s="157" customFormat="1" ht="21" customHeight="1">
      <c r="A4" s="182"/>
      <c r="B4" s="503" t="s">
        <v>159</v>
      </c>
      <c r="C4" s="494"/>
      <c r="D4" s="494"/>
      <c r="E4" s="494"/>
      <c r="F4" s="494"/>
      <c r="G4" s="494"/>
      <c r="H4" s="494"/>
      <c r="I4" s="494"/>
      <c r="J4" s="494"/>
      <c r="K4" s="495"/>
      <c r="O4" s="503" t="s">
        <v>160</v>
      </c>
      <c r="P4" s="494"/>
      <c r="Q4" s="494"/>
      <c r="R4" s="494"/>
      <c r="S4" s="494"/>
      <c r="T4" s="494"/>
      <c r="U4" s="494"/>
      <c r="V4" s="494"/>
      <c r="W4" s="494"/>
      <c r="X4" s="495"/>
      <c r="Y4" s="181"/>
    </row>
    <row r="5" spans="1:26" s="157" customFormat="1" ht="21" customHeight="1" thickBot="1">
      <c r="A5" s="180"/>
      <c r="B5" s="498"/>
      <c r="C5" s="499"/>
      <c r="D5" s="499"/>
      <c r="E5" s="499"/>
      <c r="F5" s="499"/>
      <c r="G5" s="499"/>
      <c r="H5" s="499"/>
      <c r="I5" s="499"/>
      <c r="J5" s="499"/>
      <c r="K5" s="500"/>
      <c r="O5" s="498"/>
      <c r="P5" s="499"/>
      <c r="Q5" s="499"/>
      <c r="R5" s="499"/>
      <c r="S5" s="499"/>
      <c r="T5" s="499"/>
      <c r="U5" s="499"/>
      <c r="V5" s="499"/>
      <c r="W5" s="499"/>
      <c r="X5" s="500"/>
      <c r="Y5" s="181"/>
    </row>
    <row r="6" spans="1:26" s="157" customFormat="1" ht="21" customHeight="1" thickBot="1">
      <c r="A6" s="183"/>
      <c r="B6" s="38"/>
      <c r="C6" s="152"/>
      <c r="D6" s="38"/>
      <c r="E6" s="38"/>
      <c r="F6" s="38"/>
      <c r="G6" s="38"/>
      <c r="H6" s="38"/>
      <c r="I6" s="38"/>
      <c r="Y6" s="181"/>
    </row>
    <row r="7" spans="1:26" s="157" customFormat="1" ht="21" customHeight="1">
      <c r="A7" s="182"/>
      <c r="B7" s="38"/>
      <c r="C7" s="149"/>
      <c r="D7" s="153"/>
      <c r="E7" s="153"/>
      <c r="F7" s="154"/>
      <c r="G7" s="511" t="s">
        <v>161</v>
      </c>
      <c r="H7" s="494"/>
      <c r="I7" s="494"/>
      <c r="J7" s="494"/>
      <c r="K7" s="494"/>
      <c r="L7" s="494"/>
      <c r="M7" s="494"/>
      <c r="N7" s="494"/>
      <c r="O7" s="494"/>
      <c r="P7" s="494"/>
      <c r="Q7" s="494"/>
      <c r="R7" s="494"/>
      <c r="S7" s="495"/>
      <c r="T7" s="198"/>
      <c r="U7" s="158"/>
      <c r="V7" s="158"/>
      <c r="W7" s="158"/>
      <c r="X7" s="158"/>
      <c r="Y7" s="184"/>
      <c r="Z7" s="158"/>
    </row>
    <row r="8" spans="1:26" s="157" customFormat="1" ht="21" customHeight="1">
      <c r="A8" s="115"/>
      <c r="B8" s="106"/>
      <c r="C8" s="149"/>
      <c r="D8" s="153"/>
      <c r="E8" s="153"/>
      <c r="F8" s="154"/>
      <c r="G8" s="502"/>
      <c r="H8" s="497"/>
      <c r="I8" s="497"/>
      <c r="J8" s="497"/>
      <c r="K8" s="497"/>
      <c r="L8" s="497"/>
      <c r="M8" s="497"/>
      <c r="N8" s="497"/>
      <c r="O8" s="497"/>
      <c r="P8" s="497"/>
      <c r="Q8" s="497"/>
      <c r="R8" s="497"/>
      <c r="S8" s="375"/>
      <c r="T8" s="198"/>
      <c r="U8" s="158"/>
      <c r="V8" s="158"/>
      <c r="W8" s="158"/>
      <c r="X8" s="158"/>
      <c r="Y8" s="184"/>
      <c r="Z8" s="158"/>
    </row>
    <row r="9" spans="1:26" s="157" customFormat="1" ht="21" customHeight="1" thickBot="1">
      <c r="A9" s="115"/>
      <c r="B9" s="106"/>
      <c r="C9" s="149"/>
      <c r="D9" s="153"/>
      <c r="E9" s="153"/>
      <c r="F9" s="154"/>
      <c r="G9" s="498"/>
      <c r="H9" s="499"/>
      <c r="I9" s="499"/>
      <c r="J9" s="499"/>
      <c r="K9" s="499"/>
      <c r="L9" s="499"/>
      <c r="M9" s="499"/>
      <c r="N9" s="499"/>
      <c r="O9" s="499"/>
      <c r="P9" s="499"/>
      <c r="Q9" s="499"/>
      <c r="R9" s="499"/>
      <c r="S9" s="500"/>
      <c r="T9" s="198"/>
      <c r="U9" s="158"/>
      <c r="V9" s="158"/>
      <c r="W9" s="158"/>
      <c r="X9" s="158"/>
      <c r="Y9" s="184"/>
      <c r="Z9" s="158"/>
    </row>
    <row r="10" spans="1:26" s="157" customFormat="1" ht="21" customHeight="1">
      <c r="A10" s="115"/>
      <c r="B10" s="106"/>
      <c r="C10" s="149"/>
      <c r="D10" s="153"/>
      <c r="E10" s="153"/>
      <c r="F10" s="163"/>
      <c r="G10" s="154"/>
      <c r="H10" s="154"/>
      <c r="I10" s="154"/>
      <c r="R10" s="158"/>
      <c r="S10" s="199"/>
      <c r="T10" s="158"/>
      <c r="U10" s="158"/>
      <c r="V10" s="158"/>
      <c r="W10" s="158"/>
      <c r="X10" s="158"/>
      <c r="Y10" s="184"/>
      <c r="Z10" s="158"/>
    </row>
    <row r="11" spans="1:26" s="157" customFormat="1" ht="21" customHeight="1" thickBot="1">
      <c r="A11" s="115"/>
      <c r="B11" s="106"/>
      <c r="C11" s="149"/>
      <c r="D11" s="155"/>
      <c r="E11" s="155"/>
      <c r="F11" s="164"/>
      <c r="G11" s="156"/>
      <c r="H11" s="154"/>
      <c r="I11" s="154"/>
      <c r="R11" s="158"/>
      <c r="S11" s="165"/>
      <c r="T11" s="158"/>
      <c r="U11" s="158"/>
      <c r="V11" s="158"/>
      <c r="W11" s="158"/>
      <c r="X11" s="158"/>
      <c r="Y11" s="184"/>
      <c r="Z11" s="158"/>
    </row>
    <row r="12" spans="1:26" s="157" customFormat="1" ht="21" customHeight="1">
      <c r="A12" s="183"/>
      <c r="B12" s="493" t="s">
        <v>162</v>
      </c>
      <c r="C12" s="494"/>
      <c r="D12" s="494"/>
      <c r="E12" s="494"/>
      <c r="F12" s="494"/>
      <c r="G12" s="494"/>
      <c r="H12" s="494"/>
      <c r="I12" s="494"/>
      <c r="J12" s="494"/>
      <c r="K12" s="495"/>
      <c r="O12" s="493" t="s">
        <v>163</v>
      </c>
      <c r="P12" s="494"/>
      <c r="Q12" s="494"/>
      <c r="R12" s="494"/>
      <c r="S12" s="494"/>
      <c r="T12" s="494"/>
      <c r="U12" s="494"/>
      <c r="V12" s="494"/>
      <c r="W12" s="494"/>
      <c r="X12" s="495"/>
      <c r="Y12" s="184"/>
      <c r="Z12" s="158"/>
    </row>
    <row r="13" spans="1:26" s="157" customFormat="1" ht="21" customHeight="1" thickBot="1">
      <c r="A13" s="183"/>
      <c r="B13" s="504" t="s">
        <v>164</v>
      </c>
      <c r="C13" s="499"/>
      <c r="D13" s="499"/>
      <c r="E13" s="499"/>
      <c r="F13" s="499"/>
      <c r="G13" s="499"/>
      <c r="H13" s="499"/>
      <c r="I13" s="499"/>
      <c r="J13" s="499"/>
      <c r="K13" s="500"/>
      <c r="O13" s="504" t="s">
        <v>164</v>
      </c>
      <c r="P13" s="499"/>
      <c r="Q13" s="499"/>
      <c r="R13" s="499"/>
      <c r="S13" s="499"/>
      <c r="T13" s="499"/>
      <c r="U13" s="499"/>
      <c r="V13" s="499"/>
      <c r="W13" s="499"/>
      <c r="X13" s="500"/>
      <c r="Y13" s="184"/>
      <c r="Z13" s="158"/>
    </row>
    <row r="14" spans="1:26" s="157" customFormat="1" ht="21" customHeight="1" thickBot="1">
      <c r="A14" s="183"/>
      <c r="B14" s="38"/>
      <c r="C14" s="152"/>
      <c r="D14" s="38"/>
      <c r="E14" s="38"/>
      <c r="F14" s="168"/>
      <c r="G14" s="172"/>
      <c r="H14" s="151"/>
      <c r="I14" s="151"/>
      <c r="Q14" s="38"/>
      <c r="R14" s="38"/>
      <c r="S14" s="168"/>
      <c r="T14" s="172"/>
      <c r="U14" s="151"/>
      <c r="V14" s="151"/>
      <c r="W14" s="158"/>
      <c r="X14" s="158"/>
      <c r="Y14" s="184"/>
      <c r="Z14" s="158"/>
    </row>
    <row r="15" spans="1:26" s="157" customFormat="1" ht="21" customHeight="1" thickBot="1">
      <c r="A15" s="185"/>
      <c r="B15" s="109"/>
      <c r="C15" s="152"/>
      <c r="D15" s="166"/>
      <c r="E15" s="167"/>
      <c r="F15" s="168"/>
      <c r="G15" s="169"/>
      <c r="H15" s="170"/>
      <c r="I15" s="171"/>
      <c r="Q15" s="166"/>
      <c r="R15" s="167"/>
      <c r="S15" s="168"/>
      <c r="T15" s="169"/>
      <c r="U15" s="170"/>
      <c r="V15" s="171"/>
      <c r="W15" s="158"/>
      <c r="X15" s="158"/>
      <c r="Y15" s="184"/>
      <c r="Z15" s="158"/>
    </row>
    <row r="16" spans="1:26" s="157" customFormat="1" ht="21" customHeight="1">
      <c r="A16" s="185"/>
      <c r="B16" s="505" t="s">
        <v>165</v>
      </c>
      <c r="C16" s="506"/>
      <c r="D16" s="506"/>
      <c r="E16" s="507"/>
      <c r="F16" s="106"/>
      <c r="G16" s="150"/>
      <c r="H16" s="505" t="s">
        <v>166</v>
      </c>
      <c r="I16" s="506"/>
      <c r="J16" s="506"/>
      <c r="K16" s="507"/>
      <c r="O16" s="505" t="s">
        <v>167</v>
      </c>
      <c r="P16" s="506"/>
      <c r="Q16" s="506"/>
      <c r="R16" s="507"/>
      <c r="S16" s="158"/>
      <c r="T16" s="158"/>
      <c r="U16" s="505" t="s">
        <v>168</v>
      </c>
      <c r="V16" s="506"/>
      <c r="W16" s="506"/>
      <c r="X16" s="507"/>
      <c r="Y16" s="184"/>
      <c r="Z16" s="158"/>
    </row>
    <row r="17" spans="1:26" s="157" customFormat="1" ht="21" customHeight="1">
      <c r="A17" s="185"/>
      <c r="B17" s="496" t="s">
        <v>169</v>
      </c>
      <c r="C17" s="497"/>
      <c r="D17" s="497"/>
      <c r="E17" s="375"/>
      <c r="F17" s="38"/>
      <c r="G17" s="38"/>
      <c r="H17" s="496" t="s">
        <v>170</v>
      </c>
      <c r="I17" s="497"/>
      <c r="J17" s="497"/>
      <c r="K17" s="375"/>
      <c r="O17" s="509" t="s">
        <v>171</v>
      </c>
      <c r="P17" s="497"/>
      <c r="Q17" s="497"/>
      <c r="R17" s="375"/>
      <c r="S17" s="158"/>
      <c r="T17" s="158"/>
      <c r="U17" s="496" t="s">
        <v>172</v>
      </c>
      <c r="V17" s="497"/>
      <c r="W17" s="497"/>
      <c r="X17" s="375"/>
      <c r="Y17" s="184"/>
      <c r="Z17" s="158"/>
    </row>
    <row r="18" spans="1:26" s="157" customFormat="1" ht="21" customHeight="1" thickBot="1">
      <c r="A18" s="183"/>
      <c r="B18" s="498"/>
      <c r="C18" s="499"/>
      <c r="D18" s="499"/>
      <c r="E18" s="500"/>
      <c r="F18" s="152"/>
      <c r="G18" s="151"/>
      <c r="H18" s="498"/>
      <c r="I18" s="499"/>
      <c r="J18" s="499"/>
      <c r="K18" s="500"/>
      <c r="O18" s="502"/>
      <c r="P18" s="497"/>
      <c r="Q18" s="497"/>
      <c r="R18" s="375"/>
      <c r="S18" s="158"/>
      <c r="T18" s="158"/>
      <c r="U18" s="502"/>
      <c r="V18" s="497"/>
      <c r="W18" s="497"/>
      <c r="X18" s="375"/>
      <c r="Y18" s="184"/>
      <c r="Z18" s="158"/>
    </row>
    <row r="19" spans="1:26" s="157" customFormat="1" ht="24" customHeight="1" thickBot="1">
      <c r="A19" s="180"/>
      <c r="B19" s="149"/>
      <c r="C19" s="149"/>
      <c r="D19" s="173"/>
      <c r="E19" s="149"/>
      <c r="F19" s="149"/>
      <c r="G19" s="149"/>
      <c r="H19" s="149"/>
      <c r="J19" s="174"/>
      <c r="O19" s="496" t="s">
        <v>173</v>
      </c>
      <c r="P19" s="497"/>
      <c r="Q19" s="497"/>
      <c r="R19" s="375"/>
      <c r="S19" s="158"/>
      <c r="T19" s="158"/>
      <c r="U19" s="502"/>
      <c r="V19" s="497"/>
      <c r="W19" s="497"/>
      <c r="X19" s="375"/>
      <c r="Y19" s="184"/>
      <c r="Z19" s="158"/>
    </row>
    <row r="20" spans="1:26" s="157" customFormat="1" ht="21" customHeight="1" thickBot="1">
      <c r="A20" s="115"/>
      <c r="B20" s="510" t="s">
        <v>174</v>
      </c>
      <c r="C20" s="494"/>
      <c r="D20" s="494"/>
      <c r="E20" s="494"/>
      <c r="F20" s="494"/>
      <c r="G20" s="494"/>
      <c r="H20" s="494"/>
      <c r="I20" s="494"/>
      <c r="J20" s="494"/>
      <c r="K20" s="495"/>
      <c r="O20" s="498"/>
      <c r="P20" s="499"/>
      <c r="Q20" s="499"/>
      <c r="R20" s="500"/>
      <c r="U20" s="498"/>
      <c r="V20" s="499"/>
      <c r="W20" s="499"/>
      <c r="X20" s="500"/>
      <c r="Y20" s="181"/>
    </row>
    <row r="21" spans="1:26" s="157" customFormat="1" ht="21" customHeight="1" thickBot="1">
      <c r="A21" s="108"/>
      <c r="B21" s="498"/>
      <c r="C21" s="499"/>
      <c r="D21" s="499"/>
      <c r="E21" s="499"/>
      <c r="F21" s="499"/>
      <c r="G21" s="499"/>
      <c r="H21" s="499"/>
      <c r="I21" s="499"/>
      <c r="J21" s="499"/>
      <c r="K21" s="500"/>
      <c r="Q21" s="176"/>
      <c r="W21" s="176"/>
      <c r="Y21" s="181"/>
    </row>
    <row r="22" spans="1:26" s="157" customFormat="1" ht="21" customHeight="1">
      <c r="A22" s="186"/>
      <c r="B22" s="123"/>
      <c r="C22" s="123"/>
      <c r="D22" s="123"/>
      <c r="E22" s="123"/>
      <c r="F22" s="123"/>
      <c r="G22" s="175"/>
      <c r="H22" s="123"/>
      <c r="I22" s="123"/>
      <c r="Q22" s="177"/>
      <c r="W22" s="177"/>
      <c r="Y22" s="181"/>
    </row>
    <row r="23" spans="1:26" s="157" customFormat="1" ht="21" customHeight="1" thickBot="1">
      <c r="A23" s="186"/>
      <c r="B23" s="123"/>
      <c r="C23" s="123"/>
      <c r="D23" s="123"/>
      <c r="E23" s="123"/>
      <c r="F23" s="123"/>
      <c r="G23" s="161"/>
      <c r="H23" s="123"/>
      <c r="I23" s="123"/>
      <c r="Q23" s="178"/>
      <c r="W23" s="178"/>
      <c r="Y23" s="181"/>
    </row>
    <row r="24" spans="1:26" s="157" customFormat="1" ht="21" customHeight="1">
      <c r="A24" s="186"/>
      <c r="B24" s="501" t="s">
        <v>175</v>
      </c>
      <c r="C24" s="494"/>
      <c r="D24" s="494"/>
      <c r="E24" s="494"/>
      <c r="F24" s="494"/>
      <c r="G24" s="494"/>
      <c r="H24" s="494"/>
      <c r="I24" s="494"/>
      <c r="J24" s="494"/>
      <c r="K24" s="495"/>
      <c r="O24" s="501" t="s">
        <v>176</v>
      </c>
      <c r="P24" s="494"/>
      <c r="Q24" s="494"/>
      <c r="R24" s="494"/>
      <c r="S24" s="494"/>
      <c r="T24" s="494"/>
      <c r="U24" s="494"/>
      <c r="V24" s="494"/>
      <c r="W24" s="494"/>
      <c r="X24" s="495"/>
      <c r="Y24" s="181"/>
    </row>
    <row r="25" spans="1:26" s="157" customFormat="1" ht="21" customHeight="1">
      <c r="A25" s="187"/>
      <c r="B25" s="502"/>
      <c r="C25" s="497"/>
      <c r="D25" s="497"/>
      <c r="E25" s="497"/>
      <c r="F25" s="497"/>
      <c r="G25" s="497"/>
      <c r="H25" s="497"/>
      <c r="I25" s="497"/>
      <c r="J25" s="497"/>
      <c r="K25" s="375"/>
      <c r="O25" s="502"/>
      <c r="P25" s="497"/>
      <c r="Q25" s="497"/>
      <c r="R25" s="497"/>
      <c r="S25" s="497"/>
      <c r="T25" s="497"/>
      <c r="U25" s="497"/>
      <c r="V25" s="497"/>
      <c r="W25" s="497"/>
      <c r="X25" s="375"/>
      <c r="Y25" s="181"/>
    </row>
    <row r="26" spans="1:26" s="157" customFormat="1" ht="21" customHeight="1" thickBot="1">
      <c r="A26" s="108"/>
      <c r="B26" s="504" t="s">
        <v>177</v>
      </c>
      <c r="C26" s="499"/>
      <c r="D26" s="499"/>
      <c r="E26" s="499"/>
      <c r="F26" s="499"/>
      <c r="G26" s="499"/>
      <c r="H26" s="499"/>
      <c r="I26" s="499"/>
      <c r="J26" s="499"/>
      <c r="K26" s="500"/>
      <c r="O26" s="504" t="s">
        <v>177</v>
      </c>
      <c r="P26" s="499"/>
      <c r="Q26" s="499"/>
      <c r="R26" s="499"/>
      <c r="S26" s="499"/>
      <c r="T26" s="499"/>
      <c r="U26" s="499"/>
      <c r="V26" s="499"/>
      <c r="W26" s="499"/>
      <c r="X26" s="500"/>
      <c r="Y26" s="181"/>
    </row>
    <row r="27" spans="1:26" s="157" customFormat="1" ht="12" customHeight="1">
      <c r="A27" s="115"/>
      <c r="B27" s="106"/>
      <c r="C27" s="106"/>
      <c r="D27" s="106"/>
      <c r="E27" s="106"/>
      <c r="F27" s="106"/>
      <c r="G27" s="175"/>
      <c r="H27" s="123"/>
      <c r="I27" s="106"/>
      <c r="T27" s="176"/>
      <c r="Y27" s="181"/>
    </row>
    <row r="28" spans="1:26" s="157" customFormat="1" ht="12.75" customHeight="1" thickBot="1">
      <c r="A28" s="115"/>
      <c r="B28" s="106"/>
      <c r="C28" s="106"/>
      <c r="D28" s="106"/>
      <c r="E28" s="159"/>
      <c r="F28" s="159"/>
      <c r="G28" s="162"/>
      <c r="H28" s="160"/>
      <c r="I28" s="159"/>
      <c r="T28" s="178"/>
      <c r="Y28" s="181"/>
    </row>
    <row r="29" spans="1:26" s="157" customFormat="1" ht="12" customHeight="1">
      <c r="A29" s="115"/>
      <c r="B29" s="501" t="s">
        <v>178</v>
      </c>
      <c r="C29" s="494"/>
      <c r="D29" s="494"/>
      <c r="E29" s="494"/>
      <c r="F29" s="494"/>
      <c r="G29" s="494"/>
      <c r="H29" s="494"/>
      <c r="I29" s="494"/>
      <c r="J29" s="494"/>
      <c r="K29" s="495"/>
      <c r="O29" s="501" t="s">
        <v>179</v>
      </c>
      <c r="P29" s="494"/>
      <c r="Q29" s="494"/>
      <c r="R29" s="494"/>
      <c r="S29" s="494"/>
      <c r="T29" s="494"/>
      <c r="U29" s="494"/>
      <c r="V29" s="494"/>
      <c r="W29" s="494"/>
      <c r="X29" s="495"/>
      <c r="Y29" s="181"/>
    </row>
    <row r="30" spans="1:26" s="157" customFormat="1" ht="23.25" customHeight="1" thickBot="1">
      <c r="A30" s="115"/>
      <c r="B30" s="502"/>
      <c r="C30" s="497"/>
      <c r="D30" s="497"/>
      <c r="E30" s="497"/>
      <c r="F30" s="497"/>
      <c r="G30" s="497"/>
      <c r="H30" s="497"/>
      <c r="I30" s="497"/>
      <c r="J30" s="497"/>
      <c r="K30" s="375"/>
      <c r="O30" s="504" t="s">
        <v>180</v>
      </c>
      <c r="P30" s="499"/>
      <c r="Q30" s="499"/>
      <c r="R30" s="499"/>
      <c r="S30" s="499"/>
      <c r="T30" s="499"/>
      <c r="U30" s="499"/>
      <c r="V30" s="499"/>
      <c r="W30" s="499"/>
      <c r="X30" s="500"/>
      <c r="Y30" s="181"/>
    </row>
    <row r="31" spans="1:26" s="157" customFormat="1" ht="12.75" customHeight="1" thickBot="1">
      <c r="A31" s="115"/>
      <c r="B31" s="504" t="s">
        <v>181</v>
      </c>
      <c r="C31" s="499"/>
      <c r="D31" s="499"/>
      <c r="E31" s="499"/>
      <c r="F31" s="499"/>
      <c r="G31" s="499"/>
      <c r="H31" s="499"/>
      <c r="I31" s="499"/>
      <c r="J31" s="499"/>
      <c r="K31" s="500"/>
      <c r="O31" s="38"/>
      <c r="P31" s="38"/>
      <c r="Q31" s="38"/>
      <c r="R31" s="38"/>
      <c r="S31" s="38"/>
      <c r="T31" s="166"/>
      <c r="U31" s="38"/>
      <c r="V31" s="38"/>
      <c r="W31" s="38"/>
      <c r="X31" s="38"/>
      <c r="Y31" s="181"/>
    </row>
    <row r="32" spans="1:26" s="157" customFormat="1" ht="12.75" customHeight="1" thickBot="1">
      <c r="A32" s="115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T32" s="178"/>
      <c r="Y32" s="181"/>
    </row>
    <row r="33" spans="1:25" s="157" customFormat="1" ht="12" customHeight="1">
      <c r="A33" s="115"/>
      <c r="B33" s="106"/>
      <c r="C33" s="106"/>
      <c r="D33" s="106"/>
      <c r="E33" s="106"/>
      <c r="F33" s="106"/>
      <c r="G33" s="106"/>
      <c r="H33" s="106"/>
      <c r="I33" s="106"/>
      <c r="O33" s="501" t="s">
        <v>182</v>
      </c>
      <c r="P33" s="494"/>
      <c r="Q33" s="494"/>
      <c r="R33" s="494"/>
      <c r="S33" s="494"/>
      <c r="T33" s="494"/>
      <c r="U33" s="494"/>
      <c r="V33" s="494"/>
      <c r="W33" s="494"/>
      <c r="X33" s="495"/>
      <c r="Y33" s="181"/>
    </row>
    <row r="34" spans="1:25" s="157" customFormat="1" ht="21" customHeight="1" thickBot="1">
      <c r="A34" s="115"/>
      <c r="B34" s="106"/>
      <c r="C34" s="106"/>
      <c r="D34" s="106"/>
      <c r="E34" s="106"/>
      <c r="F34" s="106"/>
      <c r="G34" s="106"/>
      <c r="H34" s="106"/>
      <c r="I34" s="106"/>
      <c r="O34" s="504" t="s">
        <v>183</v>
      </c>
      <c r="P34" s="499"/>
      <c r="Q34" s="499"/>
      <c r="R34" s="499"/>
      <c r="S34" s="499"/>
      <c r="T34" s="499"/>
      <c r="U34" s="499"/>
      <c r="V34" s="499"/>
      <c r="W34" s="499"/>
      <c r="X34" s="500"/>
      <c r="Y34" s="181"/>
    </row>
    <row r="35" spans="1:25" s="157" customFormat="1" ht="34.5" customHeight="1">
      <c r="A35" s="188"/>
      <c r="T35" s="176"/>
      <c r="Y35" s="181"/>
    </row>
    <row r="36" spans="1:25" s="36" customFormat="1" ht="21" customHeight="1" thickBot="1">
      <c r="A36" s="189"/>
      <c r="T36" s="179"/>
      <c r="Y36" s="190"/>
    </row>
    <row r="37" spans="1:25" s="36" customFormat="1" ht="21" customHeight="1">
      <c r="A37" s="189"/>
      <c r="O37" s="501" t="s">
        <v>184</v>
      </c>
      <c r="P37" s="494"/>
      <c r="Q37" s="494"/>
      <c r="R37" s="494"/>
      <c r="S37" s="494"/>
      <c r="T37" s="494"/>
      <c r="U37" s="494"/>
      <c r="V37" s="494"/>
      <c r="W37" s="494"/>
      <c r="X37" s="495"/>
      <c r="Y37" s="190"/>
    </row>
    <row r="38" spans="1:25" s="36" customFormat="1" ht="21" customHeight="1" thickBot="1">
      <c r="A38" s="189"/>
      <c r="O38" s="504" t="s">
        <v>185</v>
      </c>
      <c r="P38" s="499"/>
      <c r="Q38" s="499"/>
      <c r="R38" s="499"/>
      <c r="S38" s="499"/>
      <c r="T38" s="499"/>
      <c r="U38" s="499"/>
      <c r="V38" s="499"/>
      <c r="W38" s="499"/>
      <c r="X38" s="500"/>
      <c r="Y38" s="190"/>
    </row>
    <row r="39" spans="1:25" s="36" customFormat="1" ht="15" customHeight="1">
      <c r="A39" s="189"/>
      <c r="O39" s="193" t="s">
        <v>186</v>
      </c>
      <c r="P39" s="192"/>
      <c r="Q39" s="192"/>
      <c r="R39" s="192"/>
      <c r="S39" s="192"/>
      <c r="T39" s="192"/>
      <c r="U39" s="192"/>
      <c r="V39" s="192"/>
      <c r="W39" s="192"/>
      <c r="X39" s="192"/>
      <c r="Y39" s="190"/>
    </row>
    <row r="40" spans="1:25" ht="26.25" customHeight="1" thickBot="1">
      <c r="A40" s="120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91"/>
      <c r="P40" s="121"/>
      <c r="Q40" s="121"/>
      <c r="R40" s="121"/>
      <c r="S40" s="121"/>
      <c r="T40" s="121"/>
      <c r="U40" s="121"/>
      <c r="V40" s="121"/>
      <c r="W40" s="121"/>
      <c r="X40" s="121"/>
      <c r="Y40" s="122"/>
    </row>
  </sheetData>
  <mergeCells count="30">
    <mergeCell ref="O30:X30"/>
    <mergeCell ref="A1:Y1"/>
    <mergeCell ref="O17:R18"/>
    <mergeCell ref="B12:K12"/>
    <mergeCell ref="O29:X29"/>
    <mergeCell ref="B20:K21"/>
    <mergeCell ref="U16:X16"/>
    <mergeCell ref="O19:R20"/>
    <mergeCell ref="O26:X26"/>
    <mergeCell ref="B4:K5"/>
    <mergeCell ref="B13:K13"/>
    <mergeCell ref="O16:R16"/>
    <mergeCell ref="G7:S9"/>
    <mergeCell ref="H16:K16"/>
    <mergeCell ref="O12:X12"/>
    <mergeCell ref="B17:E18"/>
    <mergeCell ref="O24:X25"/>
    <mergeCell ref="O4:X5"/>
    <mergeCell ref="O38:X38"/>
    <mergeCell ref="B29:K30"/>
    <mergeCell ref="B26:K26"/>
    <mergeCell ref="O37:X37"/>
    <mergeCell ref="O13:X13"/>
    <mergeCell ref="H17:K18"/>
    <mergeCell ref="U17:X20"/>
    <mergeCell ref="B16:E16"/>
    <mergeCell ref="O34:X34"/>
    <mergeCell ref="O33:X33"/>
    <mergeCell ref="B31:K31"/>
    <mergeCell ref="B24:K25"/>
  </mergeCells>
  <phoneticPr fontId="2" type="noConversion"/>
  <printOptions horizontalCentered="1"/>
  <pageMargins left="0.2" right="0.2" top="0.78740157480314965" bottom="0.39370078740157483" header="0.31496062992125978" footer="0.47244094488188981"/>
  <pageSetup paperSize="9" scale="90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  <pageSetUpPr fitToPage="1"/>
  </sheetPr>
  <dimension ref="B1:G20"/>
  <sheetViews>
    <sheetView workbookViewId="0">
      <selection activeCell="K19" sqref="K19"/>
    </sheetView>
  </sheetViews>
  <sheetFormatPr defaultColWidth="8.88671875" defaultRowHeight="24.95" customHeight="1"/>
  <cols>
    <col min="1" max="1" width="8.88671875" style="205" customWidth="1"/>
    <col min="2" max="7" width="11.88671875" style="205" customWidth="1"/>
    <col min="8" max="8" width="8.88671875" style="205" customWidth="1"/>
    <col min="9" max="16384" width="8.88671875" style="205"/>
  </cols>
  <sheetData>
    <row r="1" spans="2:7" ht="24.95" customHeight="1">
      <c r="B1" s="206" t="s">
        <v>187</v>
      </c>
      <c r="C1" s="206"/>
    </row>
    <row r="2" spans="2:7" ht="24.95" customHeight="1">
      <c r="B2" s="512" t="s">
        <v>116</v>
      </c>
      <c r="C2" s="513"/>
      <c r="D2" s="207" t="s">
        <v>188</v>
      </c>
      <c r="E2" s="207" t="s">
        <v>189</v>
      </c>
      <c r="F2" s="207" t="s">
        <v>190</v>
      </c>
      <c r="G2" s="207" t="s">
        <v>191</v>
      </c>
    </row>
    <row r="3" spans="2:7" ht="24.95" customHeight="1">
      <c r="B3" s="512" t="s">
        <v>192</v>
      </c>
      <c r="C3" s="207" t="s">
        <v>193</v>
      </c>
      <c r="D3" s="208">
        <v>1300000</v>
      </c>
      <c r="E3" s="208">
        <v>1200000</v>
      </c>
      <c r="F3" s="208">
        <v>900000</v>
      </c>
      <c r="G3" s="517" t="s">
        <v>194</v>
      </c>
    </row>
    <row r="4" spans="2:7" ht="24.95" customHeight="1">
      <c r="B4" s="514"/>
      <c r="C4" s="207" t="s">
        <v>195</v>
      </c>
      <c r="D4" s="210">
        <f>D3*12</f>
        <v>15600000</v>
      </c>
      <c r="E4" s="210">
        <f>E3*12</f>
        <v>14400000</v>
      </c>
      <c r="F4" s="210">
        <f>F3*12</f>
        <v>10800000</v>
      </c>
      <c r="G4" s="514"/>
    </row>
    <row r="5" spans="2:7" ht="24.95" customHeight="1">
      <c r="B5" s="209"/>
      <c r="C5" s="209"/>
    </row>
    <row r="6" spans="2:7" ht="24.95" customHeight="1">
      <c r="B6" s="209"/>
      <c r="C6" s="209"/>
    </row>
    <row r="7" spans="2:7" ht="24.95" customHeight="1" thickBot="1">
      <c r="B7" s="206" t="s">
        <v>196</v>
      </c>
      <c r="C7" s="206"/>
    </row>
    <row r="8" spans="2:7" ht="24.95" customHeight="1">
      <c r="B8" s="512" t="s">
        <v>116</v>
      </c>
      <c r="C8" s="513"/>
      <c r="D8" s="207" t="s">
        <v>188</v>
      </c>
      <c r="E8" s="211" t="s">
        <v>189</v>
      </c>
      <c r="F8" s="215" t="s">
        <v>190</v>
      </c>
      <c r="G8" s="214" t="s">
        <v>191</v>
      </c>
    </row>
    <row r="9" spans="2:7" ht="24.95" customHeight="1">
      <c r="B9" s="512" t="s">
        <v>192</v>
      </c>
      <c r="C9" s="207" t="s">
        <v>193</v>
      </c>
      <c r="D9" s="208">
        <v>1350000</v>
      </c>
      <c r="E9" s="212">
        <v>1250000</v>
      </c>
      <c r="F9" s="216">
        <v>900000</v>
      </c>
      <c r="G9" s="515" t="s">
        <v>194</v>
      </c>
    </row>
    <row r="10" spans="2:7" ht="24.95" customHeight="1" thickBot="1">
      <c r="B10" s="514"/>
      <c r="C10" s="207" t="s">
        <v>195</v>
      </c>
      <c r="D10" s="210">
        <f>D9*12</f>
        <v>16200000</v>
      </c>
      <c r="E10" s="213">
        <f>E9*12</f>
        <v>15000000</v>
      </c>
      <c r="F10" s="217">
        <f>F9*12</f>
        <v>10800000</v>
      </c>
      <c r="G10" s="516"/>
    </row>
    <row r="12" spans="2:7" ht="24.95" customHeight="1" thickBot="1">
      <c r="B12" s="206" t="s">
        <v>197</v>
      </c>
      <c r="C12" s="206"/>
    </row>
    <row r="13" spans="2:7" ht="24.95" customHeight="1">
      <c r="B13" s="512" t="s">
        <v>116</v>
      </c>
      <c r="C13" s="513"/>
      <c r="D13" s="207" t="s">
        <v>188</v>
      </c>
      <c r="E13" s="211" t="s">
        <v>189</v>
      </c>
      <c r="F13" s="215" t="s">
        <v>190</v>
      </c>
      <c r="G13" s="214" t="s">
        <v>191</v>
      </c>
    </row>
    <row r="14" spans="2:7" ht="24.95" customHeight="1">
      <c r="B14" s="512" t="s">
        <v>192</v>
      </c>
      <c r="C14" s="207" t="s">
        <v>193</v>
      </c>
      <c r="D14" s="208">
        <v>900000</v>
      </c>
      <c r="E14" s="212">
        <v>850000</v>
      </c>
      <c r="F14" s="216">
        <v>750000</v>
      </c>
      <c r="G14" s="515" t="s">
        <v>194</v>
      </c>
    </row>
    <row r="15" spans="2:7" ht="24.95" customHeight="1" thickBot="1">
      <c r="B15" s="514"/>
      <c r="C15" s="207" t="s">
        <v>195</v>
      </c>
      <c r="D15" s="210">
        <f>D14*12</f>
        <v>10800000</v>
      </c>
      <c r="E15" s="213">
        <f>E14*12</f>
        <v>10200000</v>
      </c>
      <c r="F15" s="217">
        <f>F14*12</f>
        <v>9000000</v>
      </c>
      <c r="G15" s="516"/>
    </row>
    <row r="17" spans="2:7" ht="24.95" customHeight="1" thickBot="1">
      <c r="B17" s="206" t="s">
        <v>198</v>
      </c>
      <c r="C17" s="206"/>
    </row>
    <row r="18" spans="2:7" ht="24.95" customHeight="1">
      <c r="B18" s="512" t="s">
        <v>116</v>
      </c>
      <c r="C18" s="513"/>
      <c r="D18" s="207" t="s">
        <v>188</v>
      </c>
      <c r="E18" s="211" t="s">
        <v>189</v>
      </c>
      <c r="F18" s="215" t="s">
        <v>190</v>
      </c>
      <c r="G18" s="214" t="s">
        <v>191</v>
      </c>
    </row>
    <row r="19" spans="2:7" ht="24.95" customHeight="1">
      <c r="B19" s="512" t="s">
        <v>192</v>
      </c>
      <c r="C19" s="207" t="s">
        <v>193</v>
      </c>
      <c r="D19" s="208">
        <v>900000</v>
      </c>
      <c r="E19" s="212">
        <v>800000</v>
      </c>
      <c r="F19" s="216">
        <v>650000</v>
      </c>
      <c r="G19" s="515" t="s">
        <v>194</v>
      </c>
    </row>
    <row r="20" spans="2:7" ht="24.95" customHeight="1" thickBot="1">
      <c r="B20" s="514"/>
      <c r="C20" s="207" t="s">
        <v>195</v>
      </c>
      <c r="D20" s="210">
        <f>D19*12</f>
        <v>10800000</v>
      </c>
      <c r="E20" s="213">
        <f>E19*12</f>
        <v>9600000</v>
      </c>
      <c r="F20" s="217">
        <f>F19*12</f>
        <v>7800000</v>
      </c>
      <c r="G20" s="516"/>
    </row>
  </sheetData>
  <mergeCells count="12">
    <mergeCell ref="B18:C18"/>
    <mergeCell ref="G19:G20"/>
    <mergeCell ref="B19:B20"/>
    <mergeCell ref="B14:B15"/>
    <mergeCell ref="G14:G15"/>
    <mergeCell ref="B13:C13"/>
    <mergeCell ref="B8:C8"/>
    <mergeCell ref="B9:B10"/>
    <mergeCell ref="G9:G10"/>
    <mergeCell ref="B2:C2"/>
    <mergeCell ref="B3:B4"/>
    <mergeCell ref="G3:G4"/>
  </mergeCells>
  <phoneticPr fontId="2" type="noConversion"/>
  <pageMargins left="0.2" right="0.2" top="0.75" bottom="0.75" header="0.3" footer="0.3"/>
  <pageSetup paperSize="9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9"/>
  <sheetViews>
    <sheetView zoomScale="130" zoomScaleNormal="130" workbookViewId="0">
      <selection activeCell="D3" sqref="D3:G9"/>
    </sheetView>
  </sheetViews>
  <sheetFormatPr defaultColWidth="8.88671875" defaultRowHeight="20.100000000000001" customHeight="1"/>
  <cols>
    <col min="1" max="1" width="8.88671875" style="76" customWidth="1"/>
    <col min="2" max="2" width="24.109375" style="76" bestFit="1" customWidth="1"/>
    <col min="3" max="3" width="35.44140625" style="76" bestFit="1" customWidth="1"/>
    <col min="4" max="4" width="9.88671875" style="76" bestFit="1" customWidth="1"/>
    <col min="5" max="5" width="12.44140625" style="218" bestFit="1" customWidth="1"/>
    <col min="6" max="6" width="8.88671875" style="76" customWidth="1"/>
    <col min="7" max="7" width="14.109375" style="77" bestFit="1" customWidth="1"/>
    <col min="8" max="8" width="10.77734375" style="76" bestFit="1" customWidth="1"/>
    <col min="9" max="9" width="8.88671875" style="76" customWidth="1"/>
    <col min="10" max="16384" width="8.88671875" style="76"/>
  </cols>
  <sheetData>
    <row r="1" spans="1:8" ht="20.100000000000001" customHeight="1">
      <c r="A1" s="75" t="s">
        <v>199</v>
      </c>
    </row>
    <row r="2" spans="1:8" ht="20.100000000000001" customHeight="1">
      <c r="A2" s="76" t="s">
        <v>76</v>
      </c>
      <c r="B2" s="76" t="s">
        <v>200</v>
      </c>
      <c r="C2" s="76" t="s">
        <v>201</v>
      </c>
      <c r="D2" s="76" t="s">
        <v>202</v>
      </c>
      <c r="E2" s="218" t="s">
        <v>203</v>
      </c>
      <c r="F2" s="76" t="s">
        <v>204</v>
      </c>
      <c r="G2" s="77" t="s">
        <v>205</v>
      </c>
      <c r="H2" s="76" t="s">
        <v>192</v>
      </c>
    </row>
    <row r="3" spans="1:8" ht="20.100000000000001" customHeight="1">
      <c r="A3" s="76">
        <v>1</v>
      </c>
      <c r="B3" s="76" t="s">
        <v>206</v>
      </c>
      <c r="C3" s="76" t="s">
        <v>207</v>
      </c>
      <c r="D3" s="76" t="s">
        <v>208</v>
      </c>
      <c r="E3" s="218">
        <v>77578.880000000005</v>
      </c>
      <c r="F3" s="76" t="s">
        <v>84</v>
      </c>
      <c r="G3" s="77">
        <v>39974</v>
      </c>
      <c r="H3" s="78">
        <v>10800000</v>
      </c>
    </row>
    <row r="4" spans="1:8" ht="20.100000000000001" customHeight="1">
      <c r="A4" s="76">
        <v>2</v>
      </c>
      <c r="B4" s="76" t="s">
        <v>209</v>
      </c>
      <c r="C4" s="76" t="s">
        <v>210</v>
      </c>
      <c r="D4" s="76" t="s">
        <v>208</v>
      </c>
      <c r="E4" s="218">
        <v>159958.14000000001</v>
      </c>
      <c r="F4" s="76" t="s">
        <v>84</v>
      </c>
      <c r="H4" s="78">
        <v>15000000</v>
      </c>
    </row>
    <row r="5" spans="1:8" ht="20.100000000000001" customHeight="1">
      <c r="A5" s="76">
        <v>3</v>
      </c>
      <c r="B5" s="76" t="s">
        <v>211</v>
      </c>
      <c r="C5" s="76" t="s">
        <v>212</v>
      </c>
      <c r="D5" s="76" t="s">
        <v>208</v>
      </c>
      <c r="E5" s="218">
        <v>70545.100000000006</v>
      </c>
      <c r="F5" s="76" t="s">
        <v>84</v>
      </c>
      <c r="H5" s="78">
        <v>10800000</v>
      </c>
    </row>
    <row r="6" spans="1:8" ht="20.100000000000001" customHeight="1">
      <c r="A6" s="76">
        <v>4</v>
      </c>
      <c r="B6" s="76" t="s">
        <v>213</v>
      </c>
      <c r="C6" s="76" t="s">
        <v>214</v>
      </c>
      <c r="D6" s="76" t="s">
        <v>208</v>
      </c>
      <c r="E6" s="218">
        <v>30771.77</v>
      </c>
      <c r="F6" s="76" t="s">
        <v>87</v>
      </c>
      <c r="G6" s="77">
        <v>44589</v>
      </c>
      <c r="H6" s="78">
        <v>4200000</v>
      </c>
    </row>
    <row r="7" spans="1:8" ht="20.100000000000001" customHeight="1">
      <c r="A7" s="76">
        <v>5</v>
      </c>
      <c r="B7" s="76" t="s">
        <v>215</v>
      </c>
      <c r="C7" s="76" t="s">
        <v>216</v>
      </c>
      <c r="D7" s="76" t="s">
        <v>208</v>
      </c>
      <c r="E7" s="218">
        <v>143763.76</v>
      </c>
      <c r="F7" s="76" t="s">
        <v>84</v>
      </c>
      <c r="H7" s="78">
        <v>15000000</v>
      </c>
    </row>
    <row r="8" spans="1:8" ht="20.100000000000001" customHeight="1">
      <c r="A8" s="76">
        <v>6</v>
      </c>
      <c r="B8" s="76" t="s">
        <v>217</v>
      </c>
      <c r="C8" s="76" t="s">
        <v>218</v>
      </c>
      <c r="D8" s="76" t="s">
        <v>208</v>
      </c>
      <c r="E8" s="218">
        <v>33408.769999999997</v>
      </c>
      <c r="F8" s="76" t="s">
        <v>87</v>
      </c>
      <c r="G8" s="77">
        <v>31665</v>
      </c>
      <c r="H8" s="78">
        <v>4200000</v>
      </c>
    </row>
    <row r="9" spans="1:8" ht="20.100000000000001" customHeight="1">
      <c r="A9" s="76">
        <v>7</v>
      </c>
      <c r="B9" s="76" t="s">
        <v>219</v>
      </c>
      <c r="C9" s="76" t="s">
        <v>220</v>
      </c>
      <c r="D9" s="76" t="s">
        <v>208</v>
      </c>
      <c r="E9" s="218">
        <v>33039.160000000003</v>
      </c>
      <c r="F9" s="76" t="s">
        <v>87</v>
      </c>
      <c r="G9" s="77">
        <v>41271</v>
      </c>
      <c r="H9" s="78">
        <v>7800000</v>
      </c>
    </row>
  </sheetData>
  <phoneticPr fontId="2" type="noConversion"/>
  <pageMargins left="0.2" right="0.2" top="0.75" bottom="0.75" header="0.3" footer="0.3"/>
  <pageSetup paperSize="9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A9"/>
  <sheetViews>
    <sheetView zoomScale="130" zoomScaleNormal="130" workbookViewId="0">
      <selection activeCell="G13" sqref="G13"/>
    </sheetView>
  </sheetViews>
  <sheetFormatPr defaultColWidth="8.88671875" defaultRowHeight="20.100000000000001" customHeight="1"/>
  <cols>
    <col min="1" max="1" width="8.88671875" style="236" customWidth="1"/>
    <col min="2" max="2" width="18.77734375" style="236" bestFit="1" customWidth="1"/>
    <col min="3" max="3" width="36.5546875" style="236" bestFit="1" customWidth="1"/>
    <col min="4" max="4" width="8.88671875" style="238" customWidth="1"/>
    <col min="5" max="5" width="8.88671875" style="236" customWidth="1"/>
    <col min="6" max="6" width="11.21875" style="238" bestFit="1" customWidth="1"/>
    <col min="7" max="7" width="9.109375" style="238" bestFit="1" customWidth="1"/>
    <col min="8" max="8" width="8.88671875" style="236" customWidth="1"/>
    <col min="9" max="16384" width="8.88671875" style="236"/>
  </cols>
  <sheetData>
    <row r="1" spans="1:27" ht="20.100000000000001" customHeight="1">
      <c r="A1" s="236" t="s">
        <v>221</v>
      </c>
      <c r="B1" s="236" t="s">
        <v>200</v>
      </c>
      <c r="C1" s="236" t="s">
        <v>201</v>
      </c>
      <c r="D1" s="238" t="s">
        <v>39</v>
      </c>
      <c r="E1" s="236" t="s">
        <v>204</v>
      </c>
      <c r="F1" s="238" t="s">
        <v>192</v>
      </c>
      <c r="G1" s="238" t="s">
        <v>222</v>
      </c>
    </row>
    <row r="2" spans="1:27" ht="20.100000000000001" customHeight="1">
      <c r="A2" s="236">
        <v>1</v>
      </c>
      <c r="B2" s="237" t="s">
        <v>223</v>
      </c>
      <c r="C2" s="237" t="s">
        <v>224</v>
      </c>
      <c r="D2" s="235">
        <v>163451.9</v>
      </c>
      <c r="E2" s="234" t="s">
        <v>84</v>
      </c>
      <c r="F2" s="235">
        <f t="shared" ref="F2:F8" si="0">G2*12</f>
        <v>18000000</v>
      </c>
      <c r="G2" s="235">
        <v>1500000</v>
      </c>
      <c r="H2" s="234"/>
      <c r="I2" s="235"/>
      <c r="J2" s="234"/>
      <c r="K2" s="234"/>
      <c r="L2" s="234"/>
      <c r="M2" s="234"/>
      <c r="N2" s="234"/>
      <c r="O2" s="235"/>
      <c r="P2" s="235"/>
      <c r="Q2" s="234"/>
      <c r="R2" s="234"/>
      <c r="S2" s="234"/>
      <c r="T2" s="234"/>
      <c r="U2" s="234"/>
      <c r="V2" s="234"/>
      <c r="W2" s="234"/>
      <c r="X2" s="234"/>
      <c r="Y2" s="234"/>
      <c r="Z2" s="234"/>
      <c r="AA2" s="234"/>
    </row>
    <row r="3" spans="1:27" ht="20.100000000000001" customHeight="1">
      <c r="A3" s="236">
        <v>2</v>
      </c>
      <c r="B3" s="237" t="s">
        <v>225</v>
      </c>
      <c r="C3" s="237" t="s">
        <v>226</v>
      </c>
      <c r="D3" s="235">
        <v>31580.2</v>
      </c>
      <c r="E3" s="234" t="s">
        <v>87</v>
      </c>
      <c r="F3" s="235">
        <f t="shared" si="0"/>
        <v>9600000</v>
      </c>
      <c r="G3" s="235">
        <v>800000</v>
      </c>
      <c r="H3" s="234"/>
      <c r="I3" s="235"/>
      <c r="J3" s="234"/>
      <c r="K3" s="234"/>
      <c r="L3" s="234"/>
      <c r="M3" s="234"/>
      <c r="N3" s="234"/>
      <c r="O3" s="235"/>
      <c r="P3" s="235"/>
      <c r="Q3" s="234"/>
      <c r="R3" s="234"/>
      <c r="S3" s="234"/>
      <c r="T3" s="234"/>
      <c r="U3" s="234"/>
      <c r="V3" s="234"/>
      <c r="W3" s="234"/>
      <c r="X3" s="234"/>
      <c r="Y3" s="234"/>
      <c r="Z3" s="234"/>
      <c r="AA3" s="234"/>
    </row>
    <row r="4" spans="1:27" ht="20.100000000000001" customHeight="1">
      <c r="A4" s="236">
        <v>3</v>
      </c>
      <c r="B4" s="237" t="s">
        <v>227</v>
      </c>
      <c r="C4" s="237" t="s">
        <v>228</v>
      </c>
      <c r="D4" s="235">
        <v>66924.899999999994</v>
      </c>
      <c r="E4" s="234" t="s">
        <v>84</v>
      </c>
      <c r="F4" s="235">
        <f t="shared" si="0"/>
        <v>15000000</v>
      </c>
      <c r="G4" s="235">
        <v>1250000</v>
      </c>
      <c r="H4" s="234"/>
      <c r="I4" s="235"/>
      <c r="J4" s="234"/>
      <c r="K4" s="234"/>
      <c r="L4" s="234"/>
      <c r="M4" s="234"/>
      <c r="N4" s="234"/>
      <c r="O4" s="235"/>
      <c r="P4" s="235"/>
      <c r="Q4" s="234"/>
      <c r="R4" s="234"/>
      <c r="S4" s="234"/>
      <c r="T4" s="234"/>
      <c r="U4" s="234"/>
      <c r="V4" s="234"/>
      <c r="W4" s="234"/>
      <c r="X4" s="234"/>
      <c r="Y4" s="234"/>
      <c r="Z4" s="234"/>
      <c r="AA4" s="234"/>
    </row>
    <row r="5" spans="1:27" ht="20.100000000000001" customHeight="1">
      <c r="A5" s="236">
        <v>4</v>
      </c>
      <c r="B5" s="237" t="s">
        <v>229</v>
      </c>
      <c r="C5" s="237" t="s">
        <v>230</v>
      </c>
      <c r="D5" s="235">
        <v>5591.3</v>
      </c>
      <c r="E5" s="234" t="s">
        <v>89</v>
      </c>
      <c r="F5" s="235">
        <f t="shared" si="0"/>
        <v>4800000</v>
      </c>
      <c r="G5" s="235">
        <v>400000</v>
      </c>
      <c r="H5" s="234"/>
      <c r="I5" s="235"/>
      <c r="J5" s="234"/>
      <c r="K5" s="234"/>
      <c r="L5" s="234"/>
      <c r="M5" s="234"/>
      <c r="N5" s="234"/>
      <c r="O5" s="235"/>
      <c r="P5" s="235"/>
      <c r="Q5" s="234"/>
      <c r="R5" s="234"/>
      <c r="S5" s="234"/>
      <c r="T5" s="234"/>
      <c r="U5" s="234"/>
      <c r="V5" s="234"/>
      <c r="W5" s="234"/>
      <c r="X5" s="234"/>
      <c r="Y5" s="234"/>
      <c r="Z5" s="234"/>
      <c r="AA5" s="234"/>
    </row>
    <row r="6" spans="1:27" ht="20.100000000000001" customHeight="1">
      <c r="A6" s="236">
        <v>5</v>
      </c>
      <c r="B6" s="237" t="s">
        <v>231</v>
      </c>
      <c r="C6" s="237" t="s">
        <v>232</v>
      </c>
      <c r="D6" s="238">
        <v>34188.9</v>
      </c>
      <c r="E6" s="236" t="s">
        <v>87</v>
      </c>
      <c r="F6" s="235">
        <f t="shared" si="0"/>
        <v>9600000</v>
      </c>
      <c r="G6" s="238">
        <v>800000</v>
      </c>
    </row>
    <row r="7" spans="1:27" ht="20.100000000000001" customHeight="1">
      <c r="A7" s="236">
        <v>6</v>
      </c>
      <c r="B7" s="237" t="s">
        <v>233</v>
      </c>
      <c r="C7" s="237" t="s">
        <v>234</v>
      </c>
      <c r="D7" s="238">
        <v>25854.5</v>
      </c>
      <c r="E7" s="236" t="s">
        <v>88</v>
      </c>
      <c r="F7" s="235">
        <f t="shared" si="0"/>
        <v>7200000</v>
      </c>
      <c r="G7" s="238">
        <v>600000</v>
      </c>
    </row>
    <row r="8" spans="1:27" ht="20.100000000000001" customHeight="1">
      <c r="A8" s="236">
        <v>7</v>
      </c>
      <c r="B8" s="237" t="s">
        <v>235</v>
      </c>
      <c r="C8" s="237" t="s">
        <v>236</v>
      </c>
      <c r="D8" s="238">
        <v>17379.2</v>
      </c>
      <c r="E8" s="236" t="s">
        <v>88</v>
      </c>
      <c r="F8" s="235">
        <f t="shared" si="0"/>
        <v>6000000</v>
      </c>
      <c r="G8" s="238">
        <v>500000</v>
      </c>
    </row>
    <row r="9" spans="1:27" ht="20.100000000000001" customHeight="1">
      <c r="A9" s="518"/>
      <c r="B9" s="518"/>
      <c r="C9" s="518"/>
      <c r="D9" s="519"/>
      <c r="E9" s="518"/>
      <c r="F9" s="238">
        <f>SUM(F2:F8)</f>
        <v>70200000</v>
      </c>
    </row>
  </sheetData>
  <mergeCells count="1">
    <mergeCell ref="A9:E9"/>
  </mergeCells>
  <phoneticPr fontId="2" type="noConversion"/>
  <pageMargins left="0.2" right="0.2" top="0.75" bottom="0.75" header="0.3" footer="0.3"/>
  <pageSetup paperSize="9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  <pageSetUpPr fitToPage="1"/>
  </sheetPr>
  <dimension ref="A1:N23"/>
  <sheetViews>
    <sheetView showGridLines="0" zoomScaleNormal="100" zoomScaleSheetLayoutView="100" workbookViewId="0">
      <selection activeCell="E26" sqref="E26"/>
    </sheetView>
  </sheetViews>
  <sheetFormatPr defaultRowHeight="13.5"/>
  <cols>
    <col min="1" max="1" width="21.21875" bestFit="1" customWidth="1"/>
    <col min="2" max="2" width="8.33203125" bestFit="1" customWidth="1"/>
    <col min="3" max="3" width="4.88671875" bestFit="1" customWidth="1"/>
    <col min="4" max="4" width="8.33203125" bestFit="1" customWidth="1"/>
    <col min="5" max="5" width="9.5546875" bestFit="1" customWidth="1"/>
    <col min="6" max="6" width="8.33203125" bestFit="1" customWidth="1"/>
    <col min="7" max="7" width="9.5546875" bestFit="1" customWidth="1"/>
    <col min="8" max="8" width="8.33203125" bestFit="1" customWidth="1"/>
    <col min="9" max="10" width="9.5546875" bestFit="1" customWidth="1"/>
    <col min="11" max="12" width="8.21875" bestFit="1" customWidth="1"/>
  </cols>
  <sheetData>
    <row r="1" spans="1:14" s="265" customFormat="1" ht="17.25" customHeight="1" thickBot="1">
      <c r="A1" s="262" t="s">
        <v>237</v>
      </c>
      <c r="B1" s="263"/>
      <c r="C1" s="264"/>
      <c r="D1" s="264"/>
      <c r="E1" s="264"/>
      <c r="F1" s="264"/>
      <c r="G1" s="264"/>
      <c r="H1" s="263"/>
      <c r="I1" s="263"/>
      <c r="J1" s="263"/>
      <c r="K1" s="263"/>
      <c r="L1" s="263"/>
    </row>
    <row r="2" spans="1:14" s="253" customFormat="1" ht="22.5" customHeight="1">
      <c r="A2" s="522" t="s">
        <v>238</v>
      </c>
      <c r="B2" s="524" t="s">
        <v>239</v>
      </c>
      <c r="C2" s="526" t="s">
        <v>204</v>
      </c>
      <c r="D2" s="522" t="s">
        <v>240</v>
      </c>
      <c r="E2" s="521"/>
      <c r="F2" s="520" t="s">
        <v>241</v>
      </c>
      <c r="G2" s="521"/>
      <c r="H2" s="530" t="s">
        <v>242</v>
      </c>
      <c r="I2" s="506"/>
      <c r="J2" s="521"/>
      <c r="K2" s="528" t="s">
        <v>243</v>
      </c>
      <c r="L2" s="528" t="s">
        <v>244</v>
      </c>
    </row>
    <row r="3" spans="1:14" s="253" customFormat="1" ht="22.5" customHeight="1" thickBot="1">
      <c r="A3" s="523"/>
      <c r="B3" s="525"/>
      <c r="C3" s="527"/>
      <c r="D3" s="254" t="s">
        <v>193</v>
      </c>
      <c r="E3" s="256" t="s">
        <v>195</v>
      </c>
      <c r="F3" s="257" t="s">
        <v>193</v>
      </c>
      <c r="G3" s="255" t="s">
        <v>195</v>
      </c>
      <c r="H3" s="258" t="s">
        <v>245</v>
      </c>
      <c r="I3" s="259" t="s">
        <v>246</v>
      </c>
      <c r="J3" s="260" t="s">
        <v>247</v>
      </c>
      <c r="K3" s="529"/>
      <c r="L3" s="529"/>
    </row>
    <row r="4" spans="1:14" s="253" customFormat="1" ht="22.5" customHeight="1">
      <c r="A4" s="267" t="s">
        <v>248</v>
      </c>
      <c r="B4" s="268">
        <v>5000</v>
      </c>
      <c r="C4" s="269" t="s">
        <v>89</v>
      </c>
      <c r="D4" s="270">
        <v>225000</v>
      </c>
      <c r="E4" s="271">
        <v>2700000</v>
      </c>
      <c r="F4" s="272">
        <v>80000</v>
      </c>
      <c r="G4" s="273">
        <f t="shared" ref="G4:G9" si="0">F4*12</f>
        <v>960000</v>
      </c>
      <c r="H4" s="270">
        <f t="shared" ref="H4:H9" si="1">E4*15%</f>
        <v>405000</v>
      </c>
      <c r="I4" s="274">
        <f t="shared" ref="I4:I9" si="2">E4-G4-H4</f>
        <v>1335000</v>
      </c>
      <c r="J4" s="275">
        <f t="shared" ref="J4:J9" si="3">SUM(H4:I4)</f>
        <v>1740000</v>
      </c>
      <c r="K4" s="276">
        <v>4</v>
      </c>
      <c r="L4" s="276">
        <v>4</v>
      </c>
    </row>
    <row r="5" spans="1:14" s="253" customFormat="1" ht="22.5" customHeight="1" thickBot="1">
      <c r="A5" s="277" t="s">
        <v>249</v>
      </c>
      <c r="B5" s="278">
        <v>10000</v>
      </c>
      <c r="C5" s="279" t="s">
        <v>89</v>
      </c>
      <c r="D5" s="280">
        <v>225000</v>
      </c>
      <c r="E5" s="281">
        <f>D5*12</f>
        <v>2700000</v>
      </c>
      <c r="F5" s="282">
        <v>80000</v>
      </c>
      <c r="G5" s="283">
        <f t="shared" si="0"/>
        <v>960000</v>
      </c>
      <c r="H5" s="280">
        <f t="shared" si="1"/>
        <v>405000</v>
      </c>
      <c r="I5" s="284">
        <f t="shared" si="2"/>
        <v>1335000</v>
      </c>
      <c r="J5" s="285">
        <f t="shared" si="3"/>
        <v>1740000</v>
      </c>
      <c r="K5" s="286">
        <v>4</v>
      </c>
      <c r="L5" s="286">
        <v>4</v>
      </c>
    </row>
    <row r="6" spans="1:14" s="253" customFormat="1" ht="22.5" customHeight="1" thickBot="1">
      <c r="A6" s="267" t="s">
        <v>250</v>
      </c>
      <c r="B6" s="268">
        <v>15000</v>
      </c>
      <c r="C6" s="269" t="s">
        <v>88</v>
      </c>
      <c r="D6" s="270">
        <v>275000</v>
      </c>
      <c r="E6" s="271">
        <v>3300000</v>
      </c>
      <c r="F6" s="272">
        <v>130000</v>
      </c>
      <c r="G6" s="273">
        <f t="shared" si="0"/>
        <v>1560000</v>
      </c>
      <c r="H6" s="270">
        <f t="shared" si="1"/>
        <v>495000</v>
      </c>
      <c r="I6" s="274">
        <f t="shared" si="2"/>
        <v>1245000</v>
      </c>
      <c r="J6" s="275">
        <f t="shared" si="3"/>
        <v>1740000</v>
      </c>
      <c r="K6" s="276">
        <v>6</v>
      </c>
      <c r="L6" s="276">
        <v>6</v>
      </c>
    </row>
    <row r="7" spans="1:14" s="253" customFormat="1" ht="22.5" customHeight="1" thickBot="1">
      <c r="A7" s="287" t="s">
        <v>251</v>
      </c>
      <c r="B7" s="288">
        <v>30000</v>
      </c>
      <c r="C7" s="289" t="s">
        <v>87</v>
      </c>
      <c r="D7" s="290">
        <v>350000</v>
      </c>
      <c r="E7" s="291">
        <v>4200000</v>
      </c>
      <c r="F7" s="292">
        <v>150000</v>
      </c>
      <c r="G7" s="293">
        <f t="shared" si="0"/>
        <v>1800000</v>
      </c>
      <c r="H7" s="290">
        <f t="shared" si="1"/>
        <v>630000</v>
      </c>
      <c r="I7" s="294">
        <f t="shared" si="2"/>
        <v>1770000</v>
      </c>
      <c r="J7" s="295">
        <f t="shared" si="3"/>
        <v>2400000</v>
      </c>
      <c r="K7" s="296">
        <v>8</v>
      </c>
      <c r="L7" s="296">
        <v>8</v>
      </c>
    </row>
    <row r="8" spans="1:14" s="253" customFormat="1" ht="22.5" customHeight="1">
      <c r="A8" s="297" t="s">
        <v>252</v>
      </c>
      <c r="B8" s="298">
        <v>60000</v>
      </c>
      <c r="C8" s="299" t="s">
        <v>84</v>
      </c>
      <c r="D8" s="300">
        <v>450000</v>
      </c>
      <c r="E8" s="301">
        <v>5400000</v>
      </c>
      <c r="F8" s="302">
        <v>180000</v>
      </c>
      <c r="G8" s="303">
        <f t="shared" si="0"/>
        <v>2160000</v>
      </c>
      <c r="H8" s="300">
        <f t="shared" si="1"/>
        <v>810000</v>
      </c>
      <c r="I8" s="304">
        <f t="shared" si="2"/>
        <v>2430000</v>
      </c>
      <c r="J8" s="305">
        <f t="shared" si="3"/>
        <v>3240000</v>
      </c>
      <c r="K8" s="306">
        <v>10</v>
      </c>
      <c r="L8" s="306">
        <v>10</v>
      </c>
    </row>
    <row r="9" spans="1:14" s="253" customFormat="1" ht="22.5" customHeight="1" thickBot="1">
      <c r="A9" s="277" t="s">
        <v>253</v>
      </c>
      <c r="B9" s="278">
        <v>150000</v>
      </c>
      <c r="C9" s="279" t="s">
        <v>84</v>
      </c>
      <c r="D9" s="280">
        <v>450000</v>
      </c>
      <c r="E9" s="281">
        <v>5400000</v>
      </c>
      <c r="F9" s="282">
        <v>180000</v>
      </c>
      <c r="G9" s="283">
        <f t="shared" si="0"/>
        <v>2160000</v>
      </c>
      <c r="H9" s="280">
        <f t="shared" si="1"/>
        <v>810000</v>
      </c>
      <c r="I9" s="284">
        <f t="shared" si="2"/>
        <v>2430000</v>
      </c>
      <c r="J9" s="285">
        <f t="shared" si="3"/>
        <v>3240000</v>
      </c>
      <c r="K9" s="286">
        <v>10</v>
      </c>
      <c r="L9" s="286">
        <v>10</v>
      </c>
    </row>
    <row r="10" spans="1:14" s="253" customFormat="1" ht="14.25" customHeight="1">
      <c r="N10" s="261"/>
    </row>
    <row r="11" spans="1:14" s="265" customFormat="1" ht="22.5" customHeight="1" thickBot="1">
      <c r="A11" s="262" t="s">
        <v>254</v>
      </c>
      <c r="B11" s="263"/>
      <c r="C11" s="264"/>
      <c r="D11" s="264"/>
      <c r="E11" s="264"/>
      <c r="F11" s="264"/>
      <c r="G11" s="264"/>
      <c r="H11" s="263"/>
      <c r="I11" s="263"/>
      <c r="J11" s="263"/>
      <c r="K11" s="263"/>
      <c r="L11" s="263"/>
      <c r="N11" s="266"/>
    </row>
    <row r="12" spans="1:14" s="253" customFormat="1" ht="22.5" customHeight="1">
      <c r="A12" s="522" t="s">
        <v>238</v>
      </c>
      <c r="B12" s="524" t="s">
        <v>239</v>
      </c>
      <c r="C12" s="526" t="s">
        <v>204</v>
      </c>
      <c r="D12" s="522" t="s">
        <v>240</v>
      </c>
      <c r="E12" s="521"/>
      <c r="F12" s="520" t="s">
        <v>241</v>
      </c>
      <c r="G12" s="521"/>
      <c r="H12" s="530" t="s">
        <v>242</v>
      </c>
      <c r="I12" s="506"/>
      <c r="J12" s="521"/>
      <c r="K12" s="528" t="s">
        <v>243</v>
      </c>
      <c r="L12" s="528" t="s">
        <v>244</v>
      </c>
      <c r="N12" s="261"/>
    </row>
    <row r="13" spans="1:14" s="253" customFormat="1" ht="22.5" customHeight="1" thickBot="1">
      <c r="A13" s="523"/>
      <c r="B13" s="525"/>
      <c r="C13" s="527"/>
      <c r="D13" s="254" t="s">
        <v>193</v>
      </c>
      <c r="E13" s="256" t="s">
        <v>195</v>
      </c>
      <c r="F13" s="257" t="s">
        <v>193</v>
      </c>
      <c r="G13" s="255" t="s">
        <v>195</v>
      </c>
      <c r="H13" s="258" t="s">
        <v>245</v>
      </c>
      <c r="I13" s="259" t="s">
        <v>246</v>
      </c>
      <c r="J13" s="260" t="s">
        <v>247</v>
      </c>
      <c r="K13" s="529"/>
      <c r="L13" s="529"/>
      <c r="N13" s="261"/>
    </row>
    <row r="14" spans="1:14" s="253" customFormat="1" ht="22.5" customHeight="1">
      <c r="A14" s="267" t="s">
        <v>248</v>
      </c>
      <c r="B14" s="268">
        <v>5000</v>
      </c>
      <c r="C14" s="269" t="s">
        <v>89</v>
      </c>
      <c r="D14" s="270">
        <v>200000</v>
      </c>
      <c r="E14" s="271">
        <v>2400000</v>
      </c>
      <c r="F14" s="272">
        <v>80000</v>
      </c>
      <c r="G14" s="273">
        <f t="shared" ref="G14:G19" si="4">F14*12</f>
        <v>960000</v>
      </c>
      <c r="H14" s="270">
        <f t="shared" ref="H14:H19" si="5">E14*15%</f>
        <v>360000</v>
      </c>
      <c r="I14" s="274">
        <f t="shared" ref="I14:I19" si="6">E14-G14-H14</f>
        <v>1080000</v>
      </c>
      <c r="J14" s="275">
        <f t="shared" ref="J14:J19" si="7">SUM(H14:I14)</f>
        <v>1440000</v>
      </c>
      <c r="K14" s="276">
        <v>4</v>
      </c>
      <c r="L14" s="276">
        <v>4</v>
      </c>
      <c r="N14" s="261"/>
    </row>
    <row r="15" spans="1:14" s="253" customFormat="1" ht="22.5" customHeight="1" thickBot="1">
      <c r="A15" s="277" t="s">
        <v>249</v>
      </c>
      <c r="B15" s="278">
        <v>10000</v>
      </c>
      <c r="C15" s="279" t="s">
        <v>89</v>
      </c>
      <c r="D15" s="280">
        <v>200000</v>
      </c>
      <c r="E15" s="281">
        <v>2400000</v>
      </c>
      <c r="F15" s="282">
        <v>80000</v>
      </c>
      <c r="G15" s="283">
        <f t="shared" si="4"/>
        <v>960000</v>
      </c>
      <c r="H15" s="280">
        <f t="shared" si="5"/>
        <v>360000</v>
      </c>
      <c r="I15" s="284">
        <f t="shared" si="6"/>
        <v>1080000</v>
      </c>
      <c r="J15" s="285">
        <f t="shared" si="7"/>
        <v>1440000</v>
      </c>
      <c r="K15" s="286">
        <v>4</v>
      </c>
      <c r="L15" s="286">
        <v>4</v>
      </c>
      <c r="N15" s="261"/>
    </row>
    <row r="16" spans="1:14" s="253" customFormat="1" ht="22.5" customHeight="1" thickBot="1">
      <c r="A16" s="267" t="s">
        <v>250</v>
      </c>
      <c r="B16" s="268">
        <v>15000</v>
      </c>
      <c r="C16" s="269" t="s">
        <v>88</v>
      </c>
      <c r="D16" s="270">
        <v>225000</v>
      </c>
      <c r="E16" s="271">
        <v>2700000</v>
      </c>
      <c r="F16" s="272">
        <v>130000</v>
      </c>
      <c r="G16" s="273">
        <f t="shared" si="4"/>
        <v>1560000</v>
      </c>
      <c r="H16" s="270">
        <f t="shared" si="5"/>
        <v>405000</v>
      </c>
      <c r="I16" s="274">
        <f t="shared" si="6"/>
        <v>735000</v>
      </c>
      <c r="J16" s="275">
        <f t="shared" si="7"/>
        <v>1140000</v>
      </c>
      <c r="K16" s="276">
        <v>6</v>
      </c>
      <c r="L16" s="276">
        <v>6</v>
      </c>
    </row>
    <row r="17" spans="1:12" s="253" customFormat="1" ht="22.5" customHeight="1" thickBot="1">
      <c r="A17" s="287" t="s">
        <v>251</v>
      </c>
      <c r="B17" s="288">
        <v>30000</v>
      </c>
      <c r="C17" s="289" t="s">
        <v>87</v>
      </c>
      <c r="D17" s="290">
        <v>300000</v>
      </c>
      <c r="E17" s="291">
        <v>3600000</v>
      </c>
      <c r="F17" s="292">
        <v>150000</v>
      </c>
      <c r="G17" s="293">
        <f t="shared" si="4"/>
        <v>1800000</v>
      </c>
      <c r="H17" s="290">
        <f t="shared" si="5"/>
        <v>540000</v>
      </c>
      <c r="I17" s="294">
        <f t="shared" si="6"/>
        <v>1260000</v>
      </c>
      <c r="J17" s="295">
        <f t="shared" si="7"/>
        <v>1800000</v>
      </c>
      <c r="K17" s="296">
        <v>8</v>
      </c>
      <c r="L17" s="296">
        <v>8</v>
      </c>
    </row>
    <row r="18" spans="1:12" s="253" customFormat="1" ht="22.5" customHeight="1">
      <c r="A18" s="297" t="s">
        <v>252</v>
      </c>
      <c r="B18" s="298">
        <v>60000</v>
      </c>
      <c r="C18" s="299" t="s">
        <v>84</v>
      </c>
      <c r="D18" s="300">
        <v>400000</v>
      </c>
      <c r="E18" s="301">
        <v>4800000</v>
      </c>
      <c r="F18" s="302">
        <v>180000</v>
      </c>
      <c r="G18" s="303">
        <f t="shared" si="4"/>
        <v>2160000</v>
      </c>
      <c r="H18" s="300">
        <f t="shared" si="5"/>
        <v>720000</v>
      </c>
      <c r="I18" s="304">
        <f t="shared" si="6"/>
        <v>1920000</v>
      </c>
      <c r="J18" s="305">
        <f t="shared" si="7"/>
        <v>2640000</v>
      </c>
      <c r="K18" s="306">
        <v>10</v>
      </c>
      <c r="L18" s="306">
        <v>10</v>
      </c>
    </row>
    <row r="19" spans="1:12" s="253" customFormat="1" ht="22.5" customHeight="1" thickBot="1">
      <c r="A19" s="277" t="s">
        <v>253</v>
      </c>
      <c r="B19" s="278">
        <v>150000</v>
      </c>
      <c r="C19" s="279" t="s">
        <v>84</v>
      </c>
      <c r="D19" s="280">
        <v>400000</v>
      </c>
      <c r="E19" s="281">
        <v>4800000</v>
      </c>
      <c r="F19" s="282">
        <v>180000</v>
      </c>
      <c r="G19" s="283">
        <f t="shared" si="4"/>
        <v>2160000</v>
      </c>
      <c r="H19" s="280">
        <f t="shared" si="5"/>
        <v>720000</v>
      </c>
      <c r="I19" s="284">
        <f t="shared" si="6"/>
        <v>1920000</v>
      </c>
      <c r="J19" s="285">
        <f t="shared" si="7"/>
        <v>2640000</v>
      </c>
      <c r="K19" s="286">
        <v>10</v>
      </c>
      <c r="L19" s="286">
        <v>10</v>
      </c>
    </row>
    <row r="21" spans="1:12" s="308" customFormat="1">
      <c r="A21" s="307" t="s">
        <v>255</v>
      </c>
    </row>
    <row r="22" spans="1:12" s="308" customFormat="1">
      <c r="A22" s="309" t="s">
        <v>256</v>
      </c>
    </row>
    <row r="23" spans="1:12" s="308" customFormat="1">
      <c r="A23" s="309" t="s">
        <v>257</v>
      </c>
    </row>
  </sheetData>
  <mergeCells count="16">
    <mergeCell ref="L12:L13"/>
    <mergeCell ref="K12:K13"/>
    <mergeCell ref="H12:J12"/>
    <mergeCell ref="A2:A3"/>
    <mergeCell ref="H2:J2"/>
    <mergeCell ref="B2:B3"/>
    <mergeCell ref="K2:K3"/>
    <mergeCell ref="D12:E12"/>
    <mergeCell ref="L2:L3"/>
    <mergeCell ref="F2:G2"/>
    <mergeCell ref="F12:G12"/>
    <mergeCell ref="D2:E2"/>
    <mergeCell ref="A12:A13"/>
    <mergeCell ref="B12:B13"/>
    <mergeCell ref="C2:C3"/>
    <mergeCell ref="C12:C13"/>
  </mergeCells>
  <phoneticPr fontId="2" type="noConversion"/>
  <pageMargins left="0.2" right="0.2" top="0.75" bottom="0.7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H11"/>
  <sheetViews>
    <sheetView showGridLines="0" workbookViewId="0">
      <selection activeCell="G8" sqref="G8"/>
    </sheetView>
  </sheetViews>
  <sheetFormatPr defaultRowHeight="16.5"/>
  <cols>
    <col min="1" max="1" width="8.88671875" style="253" customWidth="1"/>
    <col min="2" max="16384" width="8.88671875" style="253"/>
  </cols>
  <sheetData>
    <row r="1" spans="1:8" s="265" customFormat="1">
      <c r="A1" s="311" t="s">
        <v>258</v>
      </c>
      <c r="B1" s="312"/>
      <c r="C1" s="312"/>
      <c r="D1" s="312"/>
      <c r="E1" s="312"/>
      <c r="F1" s="312"/>
      <c r="G1" s="312"/>
      <c r="H1" s="313"/>
    </row>
    <row r="2" spans="1:8" ht="23.25" customHeight="1">
      <c r="A2" s="314" t="s">
        <v>259</v>
      </c>
      <c r="H2" s="315"/>
    </row>
    <row r="3" spans="1:8" ht="23.25" customHeight="1">
      <c r="A3" s="314" t="s">
        <v>260</v>
      </c>
      <c r="H3" s="315"/>
    </row>
    <row r="4" spans="1:8" ht="23.25" customHeight="1">
      <c r="A4" s="314" t="s">
        <v>261</v>
      </c>
      <c r="H4" s="315"/>
    </row>
    <row r="5" spans="1:8" ht="23.25" customHeight="1">
      <c r="A5" s="314" t="s">
        <v>262</v>
      </c>
      <c r="H5" s="315"/>
    </row>
    <row r="6" spans="1:8" ht="23.25" customHeight="1">
      <c r="A6" s="314" t="s">
        <v>263</v>
      </c>
      <c r="H6" s="315"/>
    </row>
    <row r="7" spans="1:8" ht="23.25" customHeight="1">
      <c r="A7" s="314" t="s">
        <v>264</v>
      </c>
      <c r="H7" s="315"/>
    </row>
    <row r="8" spans="1:8" ht="23.25" customHeight="1">
      <c r="A8" s="314" t="s">
        <v>265</v>
      </c>
      <c r="H8" s="315"/>
    </row>
    <row r="9" spans="1:8" ht="23.25" customHeight="1">
      <c r="A9" s="316" t="s">
        <v>266</v>
      </c>
      <c r="H9" s="315"/>
    </row>
    <row r="10" spans="1:8" ht="17.25" customHeight="1" thickBot="1">
      <c r="A10" s="317"/>
      <c r="B10" s="318"/>
      <c r="C10" s="318"/>
      <c r="D10" s="318"/>
      <c r="E10" s="318"/>
      <c r="F10" s="318"/>
      <c r="G10" s="318"/>
      <c r="H10" s="319"/>
    </row>
    <row r="11" spans="1:8">
      <c r="A11" s="310"/>
    </row>
  </sheetData>
  <phoneticPr fontId="2" type="noConversion"/>
  <pageMargins left="0.2" right="0.2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6</vt:i4>
      </vt:variant>
    </vt:vector>
  </HeadingPairs>
  <TitlesOfParts>
    <vt:vector size="17" baseType="lpstr">
      <vt:lpstr>표지</vt:lpstr>
      <vt:lpstr>1. 견적서</vt:lpstr>
      <vt:lpstr>2.1 성능점검 산출내역</vt:lpstr>
      <vt:lpstr>2.2 유지점검 산출내역</vt:lpstr>
      <vt:lpstr>2.3 선임 산출내역</vt:lpstr>
      <vt:lpstr>3. 업무처리 절차</vt:lpstr>
      <vt:lpstr>Sheet1</vt:lpstr>
      <vt:lpstr>Sheet2</vt:lpstr>
      <vt:lpstr>Sheet3</vt:lpstr>
      <vt:lpstr>26'1월견적표</vt:lpstr>
      <vt:lpstr>26'1월계약진행</vt:lpstr>
      <vt:lpstr>'1. 견적서'!Print_Area</vt:lpstr>
      <vt:lpstr>'2.1 성능점검 산출내역'!Print_Area</vt:lpstr>
      <vt:lpstr>'2.2 유지점검 산출내역'!Print_Area</vt:lpstr>
      <vt:lpstr>'2.3 선임 산출내역'!Print_Area</vt:lpstr>
      <vt:lpstr>'3. 업무처리 절차'!Print_Area</vt:lpstr>
      <vt:lpstr>표지!Print_Area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2026-03-05T06:30:02Z</cp:lastPrinted>
  <dcterms:created xsi:type="dcterms:W3CDTF">1999-08-28T01:02:59Z</dcterms:created>
  <dcterms:modified xsi:type="dcterms:W3CDTF">2026-03-23T06:07:41Z</dcterms:modified>
</cp:coreProperties>
</file>